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1.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6.xml" ContentType="application/vnd.openxmlformats-officedocument.spreadsheetml.comments+xml"/>
  <Override PartName="/xl/featurePropertyBag/featurePropertyBag.xml" ContentType="application/vnd.ms-excel.featurepropertyba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bookViews>
    <workbookView xWindow="-28920" yWindow="-120" windowWidth="29040" windowHeight="15720" tabRatio="926" xr2:uid="{00000000-000D-0000-FFFF-FFFF00000000}"/>
  </bookViews>
  <sheets>
    <sheet name="Overview" sheetId="45" r:id="rId1"/>
    <sheet name="Tune-Up" sheetId="60" r:id="rId2"/>
    <sheet name="2G-3G" sheetId="44" r:id="rId3"/>
    <sheet name="SAR EN" sheetId="50" r:id="rId11"/>
    <sheet name="Test Campaign" sheetId="39" r:id="rId13"/>
  </sheets>
  <definedNames>
    <definedName name="_xlnm._FilterDatabase" localSheetId="2" hidden="1">'2G-3G'!$B$2:$BR$50</definedName>
    <definedName name="_xlnm._FilterDatabase" localSheetId="3" hidden="1">'SAR EN'!$C$2:$DE$330</definedName>
    <definedName name="_xlnm._FilterDatabase" localSheetId="4" hidden="1">'Test Campaign'!$A$1:$BP$1</definedName>
  </definedNames>
  <calcPr calcId="0" calcMode="auto" fullCalcOnLoad="1" forceFullCalc="1" calcOnSav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s>
  <commentList>
    <comment ref="AU2" authorId="0" shapeId="0" xr:uid="{00000000-0006-0000-0200-000001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200-000002000000}">
      <text>
        <r>
          <rPr>
            <b/>
            <sz val="9"/>
            <color indexed="81"/>
            <rFont val="Tahoma"/>
            <family val="2"/>
          </rPr>
          <t>Miguel Lacave García:</t>
        </r>
        <r>
          <rPr>
            <sz val="9"/>
            <color indexed="81"/>
            <rFont val="Tahoma"/>
            <family val="2"/>
          </rPr>
          <t xml:space="preserve">
SAR puede ser NM siempre que haya fast SAR</t>
        </r>
      </text>
    </comment>
    <comment ref="BG2" authorId="1" shapeId="0" xr:uid="{00000000-0006-0000-0200-000003000000}">
      <text>
        <r>
          <rPr>
            <b/>
            <sz val="9"/>
            <color indexed="81"/>
            <rFont val="Tahoma"/>
            <family val="2"/>
          </rPr>
          <t>Autor:</t>
        </r>
        <r>
          <rPr>
            <sz val="9"/>
            <color indexed="81"/>
            <rFont val="Tahoma"/>
            <family val="2"/>
          </rPr>
          <t xml:space="preserve">
YYYY-MM-DD HH:MM:SS (hour will set to 00:00:00)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Francisco José Sánchez Calleja</author>
    <author>jmfl</author>
  </authors>
  <commentList>
    <comment ref="AT1" authorId="0" shapeId="0" xr:uid="{00000000-0006-0000-0A00-000001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U1" authorId="0" shapeId="0" xr:uid="{00000000-0006-0000-0A00-000002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V1" authorId="0" shapeId="0" xr:uid="{00000000-0006-0000-0A00-000003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W1" authorId="0" shapeId="0" xr:uid="{00000000-0006-0000-0A00-000004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Z1" authorId="0" shapeId="0" xr:uid="{00000000-0006-0000-0A00-000005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A1" authorId="0" shapeId="0" xr:uid="{00000000-0006-0000-0A00-000006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B1" authorId="0" shapeId="0" xr:uid="{00000000-0006-0000-0A00-000007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C1" authorId="0" shapeId="0" xr:uid="{00000000-0006-0000-0A00-000008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AU2" authorId="0" shapeId="0" xr:uid="{00000000-0006-0000-0A00-000009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A00-00000A000000}">
      <text>
        <r>
          <rPr>
            <b/>
            <sz val="9"/>
            <color indexed="81"/>
            <rFont val="Tahoma"/>
            <family val="2"/>
          </rPr>
          <t>Miguel Lacave García:</t>
        </r>
        <r>
          <rPr>
            <sz val="9"/>
            <color indexed="81"/>
            <rFont val="Tahoma"/>
            <family val="2"/>
          </rPr>
          <t xml:space="preserve">
SAR puede ser NM siempre que haya fast SAR</t>
        </r>
      </text>
    </comment>
    <comment ref="BE2" authorId="1" shapeId="0" xr:uid="{00000000-0006-0000-0A00-00000B000000}">
      <text>
        <r>
          <rPr>
            <b/>
            <sz val="9"/>
            <color indexed="81"/>
            <rFont val="Tahoma"/>
            <family val="2"/>
          </rPr>
          <t>Autor:</t>
        </r>
        <r>
          <rPr>
            <sz val="9"/>
            <color indexed="81"/>
            <rFont val="Tahoma"/>
            <family val="2"/>
          </rPr>
          <t xml:space="preserve">
YYYY-MM-DD HH:MM:SS (hour will set to 00:00:00)</t>
        </r>
      </text>
    </comment>
    <comment ref="BF2" authorId="0" shapeId="0" xr:uid="{00000000-0006-0000-0A00-00000C000000}">
      <text>
        <r>
          <rPr>
            <b/>
            <sz val="9"/>
            <color indexed="81"/>
            <rFont val="Tahoma"/>
            <family val="2"/>
          </rPr>
          <t>Miguel Lacave García:</t>
        </r>
        <r>
          <rPr>
            <sz val="9"/>
            <color indexed="81"/>
            <rFont val="Tahoma"/>
            <family val="2"/>
          </rPr>
          <t xml:space="preserve">
TEST duration in seconds</t>
        </r>
      </text>
    </comment>
    <comment ref="BG2" authorId="1" shapeId="0" xr:uid="{00000000-0006-0000-0A00-00000D000000}">
      <text>
        <r>
          <rPr>
            <b/>
            <sz val="9"/>
            <color indexed="81"/>
            <rFont val="Tahoma"/>
            <family val="2"/>
          </rPr>
          <t>Autor:</t>
        </r>
        <r>
          <rPr>
            <sz val="9"/>
            <color indexed="81"/>
            <rFont val="Tahoma"/>
            <family val="2"/>
          </rPr>
          <t xml:space="preserve">
YYYY-MM-DD HH:MM:SS (hour will set to 00:00:00)</t>
        </r>
      </text>
    </comment>
    <comment ref="BH2" authorId="1" shapeId="0" xr:uid="{00000000-0006-0000-0A00-00000E000000}">
      <text>
        <r>
          <rPr>
            <b/>
            <sz val="9"/>
            <color indexed="81"/>
            <rFont val="Tahoma"/>
            <family val="2"/>
          </rPr>
          <t>Autor:</t>
        </r>
        <r>
          <rPr>
            <sz val="9"/>
            <color indexed="81"/>
            <rFont val="Tahoma"/>
            <family val="2"/>
          </rPr>
          <t xml:space="preserve">
seconds</t>
        </r>
      </text>
    </comment>
    <comment ref="BV2" authorId="0" shapeId="0" xr:uid="{00000000-0006-0000-0A00-00000F000000}">
      <text>
        <r>
          <rPr>
            <b/>
            <sz val="9"/>
            <color indexed="81"/>
            <rFont val="Tahoma"/>
            <family val="2"/>
          </rPr>
          <t>Miguel Lacave García:</t>
        </r>
        <r>
          <rPr>
            <sz val="9"/>
            <color indexed="81"/>
            <rFont val="Tahoma"/>
            <family val="2"/>
          </rPr>
          <t xml:space="preserve">
Antenas de 1 a 4 por cada banda/tecnología.
Los nombres de las antenas se asignan en la hoja "Overview"</t>
        </r>
      </text>
    </comment>
    <comment ref="CC2" authorId="0" shapeId="0" xr:uid="{00000000-0006-0000-0A00-000010000000}">
      <text>
        <r>
          <rPr>
            <b/>
            <sz val="9"/>
            <color indexed="81"/>
            <rFont val="Tahoma"/>
            <family val="2"/>
          </rPr>
          <t>Miguel Lacave García:</t>
        </r>
        <r>
          <rPr>
            <sz val="9"/>
            <color indexed="81"/>
            <rFont val="Tahoma"/>
            <family val="2"/>
          </rPr>
          <t xml:space="preserve">
Channel and freq are selected from "Conducted measurements" automatically according to maximum power values measured.
If there are no values in conducted measurements channel mid, low and high are selected by default.
Values for ANTENNA 1/2/3/4 come from MODULE PORT 1/2/3/4 respectively.
For LTE, the freq and ch are from conducted values module port 1 and only the highest BW</t>
        </r>
      </text>
    </comment>
    <comment ref="CK2" authorId="2" shapeId="0" xr:uid="{00000000-0006-0000-0A00-000011000000}">
      <text>
        <r>
          <rPr>
            <b/>
            <sz val="9"/>
            <color indexed="81"/>
            <rFont val="Tahoma"/>
            <family val="2"/>
          </rPr>
          <t>From Conducted measurements</t>
        </r>
      </text>
    </comment>
    <comment ref="CL2" authorId="3" shapeId="0" xr:uid="{00000000-0006-0000-0A00-000012000000}">
      <text>
        <r>
          <rPr>
            <b/>
            <sz val="8"/>
            <color indexed="81"/>
            <rFont val="Tahoma"/>
            <family val="2"/>
          </rPr>
          <t>Criterio de validez del método Fast SAR para FCC según KDB 447498 D01</t>
        </r>
      </text>
    </comment>
    <comment ref="DB2" authorId="0" shapeId="0" xr:uid="{00000000-0006-0000-0A00-000013000000}">
      <text>
        <r>
          <rPr>
            <b/>
            <sz val="9"/>
            <color indexed="81"/>
            <rFont val="Tahoma"/>
            <family val="2"/>
          </rPr>
          <t>Miguel Lacave García:</t>
        </r>
        <r>
          <rPr>
            <sz val="9"/>
            <color indexed="81"/>
            <rFont val="Tahoma"/>
            <family val="2"/>
          </rPr>
          <t xml:space="preserve">
Del module port 1
Calculos para SAR con las conducidas del module port 2 no implementado</t>
        </r>
      </text>
    </comment>
  </commentList>
</comments>
</file>

<file path=xl/sharedStrings.xml><?xml version="1.0" encoding="utf-8"?>
<sst xmlns="http://schemas.openxmlformats.org/spreadsheetml/2006/main" count="3137311" uniqueCount="1517">
  <si>
    <t>1 gr.</t>
  </si>
  <si>
    <t>Temperatura (ºC)</t>
  </si>
  <si>
    <t>Humedad (%)</t>
  </si>
  <si>
    <t>Potencia Conducida</t>
  </si>
  <si>
    <t>Instrumentación adicional</t>
  </si>
  <si>
    <t>Drift
(%)</t>
  </si>
  <si>
    <t>802.11a</t>
  </si>
  <si>
    <t>5.6 GHz</t>
  </si>
  <si>
    <t>5.2 GHz</t>
  </si>
  <si>
    <t>5.8 GHz</t>
  </si>
  <si>
    <t>QPSK</t>
  </si>
  <si>
    <t>16QAM</t>
  </si>
  <si>
    <t xml:space="preserve">max </t>
  </si>
  <si>
    <t>MEDIDAS SAR 50% RB</t>
  </si>
  <si>
    <t>SAR 100% RB</t>
  </si>
  <si>
    <t xml:space="preserve">maximo </t>
  </si>
  <si>
    <t>WCDMA</t>
  </si>
  <si>
    <t>HSPA</t>
  </si>
  <si>
    <t>HSPA+</t>
  </si>
  <si>
    <t>medida por SAR&gt; 1 en esa config</t>
  </si>
  <si>
    <t>EU</t>
  </si>
  <si>
    <t>Si SAR&gt; 1,80</t>
  </si>
  <si>
    <t>Si QPSK+05&lt; QAM o si SAR&gt; 1,80</t>
  </si>
  <si>
    <t>medida por bw 1 RB si SAR&gt;1,80</t>
  </si>
  <si>
    <t>Ch</t>
  </si>
  <si>
    <t>Mode</t>
  </si>
  <si>
    <t>UL RB Allocation</t>
  </si>
  <si>
    <t>MPR</t>
  </si>
  <si>
    <t>HSDPA</t>
  </si>
  <si>
    <t>Subtest</t>
  </si>
  <si>
    <t>64</t>
  </si>
  <si>
    <t>1</t>
  </si>
  <si>
    <t>Channel Number</t>
  </si>
  <si>
    <t xml:space="preserve"> Frame Average Output Power (dBm)</t>
  </si>
  <si>
    <t>PCL</t>
  </si>
  <si>
    <t>Modulation</t>
  </si>
  <si>
    <t>Power 1 Slot</t>
  </si>
  <si>
    <t>Power 2 Slot</t>
  </si>
  <si>
    <t>Power 3Slot</t>
  </si>
  <si>
    <t>Power 4 Slot</t>
  </si>
  <si>
    <t>Band</t>
  </si>
  <si>
    <t>Channel</t>
  </si>
  <si>
    <t>Average Output Power (dBm)</t>
  </si>
  <si>
    <t>No medir QAM</t>
  </si>
  <si>
    <t>Dist
(mm)</t>
  </si>
  <si>
    <t>Freq
(MHz)</t>
  </si>
  <si>
    <t>Data Rate</t>
  </si>
  <si>
    <t>Gain Control</t>
  </si>
  <si>
    <t>802.11b</t>
  </si>
  <si>
    <t>1 Mbps</t>
  </si>
  <si>
    <t>802.11g</t>
  </si>
  <si>
    <t>6 Mbps</t>
  </si>
  <si>
    <t>802.11n</t>
  </si>
  <si>
    <t>HT0</t>
  </si>
  <si>
    <t>802.11ac</t>
  </si>
  <si>
    <t>VHT0</t>
  </si>
  <si>
    <t>802.11n*</t>
  </si>
  <si>
    <t>DC-HSDPA</t>
  </si>
  <si>
    <t>Position</t>
  </si>
  <si>
    <t>Date</t>
  </si>
  <si>
    <t>Scale 
factor</t>
  </si>
  <si>
    <t>Front Face</t>
  </si>
  <si>
    <t>Back Face</t>
  </si>
  <si>
    <t>Left Edge</t>
  </si>
  <si>
    <t>Right Edge</t>
  </si>
  <si>
    <t>Top Edge</t>
  </si>
  <si>
    <t>Bottom Edge</t>
  </si>
  <si>
    <t>I</t>
  </si>
  <si>
    <t>VIII</t>
  </si>
  <si>
    <t>Left Cheek</t>
  </si>
  <si>
    <t>Left Tilt</t>
  </si>
  <si>
    <t>Right Cheek</t>
  </si>
  <si>
    <t>Right Tilt</t>
  </si>
  <si>
    <t>100% RB</t>
  </si>
  <si>
    <t>III</t>
  </si>
  <si>
    <t>V</t>
  </si>
  <si>
    <t>VII</t>
  </si>
  <si>
    <t>N/A</t>
  </si>
  <si>
    <t>GSM</t>
  </si>
  <si>
    <t>2.4 GHz</t>
  </si>
  <si>
    <t>BT</t>
  </si>
  <si>
    <t>GPRS</t>
  </si>
  <si>
    <t>U-NII-3</t>
  </si>
  <si>
    <t>U-NII-2C</t>
  </si>
  <si>
    <t>U-NII-1</t>
  </si>
  <si>
    <t>U-NII-2A</t>
  </si>
  <si>
    <t>Frequency band
(MHz)</t>
  </si>
  <si>
    <t>Fast SAR
(W/kg)</t>
  </si>
  <si>
    <t>1 W Target
SAR (W/kg)</t>
  </si>
  <si>
    <t>1 W Norm.
SAR (W/kg)</t>
  </si>
  <si>
    <t>Head/Body</t>
  </si>
  <si>
    <t>Head</t>
  </si>
  <si>
    <t>Body</t>
  </si>
  <si>
    <t>SAR over</t>
  </si>
  <si>
    <t>10 gr.</t>
  </si>
  <si>
    <t>SAR
(W/kg)</t>
  </si>
  <si>
    <t>Technology</t>
  </si>
  <si>
    <t>Frequency</t>
  </si>
  <si>
    <t>Frame Average Output Power (dBm)</t>
  </si>
  <si>
    <t>Duty Cycle</t>
  </si>
  <si>
    <t>Aquí irían todas los test cases posibles (en este ejemplo no están listados todos)</t>
  </si>
  <si>
    <t>Liquids</t>
  </si>
  <si>
    <t>Conductivity</t>
  </si>
  <si>
    <t>Frequency
(MHz)</t>
  </si>
  <si>
    <t>Estos son otros datos que deben incluirse en el report. No son ensayos sobre la muestra, sino sobre los líquidos que han de usarse durante la medida SAR que han de presentarse en los reports. La instrumentación utilizada es diferente a la de un ensayo sobre una muestra.</t>
  </si>
  <si>
    <t>Deviation</t>
  </si>
  <si>
    <t>Permittivity</t>
  </si>
  <si>
    <t>Target</t>
  </si>
  <si>
    <t>Measured values</t>
  </si>
  <si>
    <t>Uplink Slots</t>
  </si>
  <si>
    <t>EGPRS</t>
  </si>
  <si>
    <t>TR</t>
  </si>
  <si>
    <t>Test specification</t>
  </si>
  <si>
    <t>Version</t>
  </si>
  <si>
    <t>Test case</t>
  </si>
  <si>
    <t>Antenna</t>
  </si>
  <si>
    <t>Module Port</t>
  </si>
  <si>
    <t>Bandwidth (MHz)</t>
  </si>
  <si>
    <t>SCS (kHz)</t>
  </si>
  <si>
    <t>Target Permitivity (ε)</t>
  </si>
  <si>
    <t>Target Conductivity (σ (S/m))</t>
  </si>
  <si>
    <t>Frequency (MHz)</t>
  </si>
  <si>
    <t>1 W Target SAR (W/Kg)</t>
  </si>
  <si>
    <t>Distance (mm)</t>
  </si>
  <si>
    <t>Verdict</t>
  </si>
  <si>
    <t>Estimated SAR 10-g (W/Kg)</t>
  </si>
  <si>
    <t>Measured Permittivity (ε)</t>
  </si>
  <si>
    <t>Fast SAR (W/Kg)</t>
  </si>
  <si>
    <t>SAR 10-g (W/Kg)</t>
  </si>
  <si>
    <t>Burst Average Output Power (dBm)</t>
  </si>
  <si>
    <t>SAR (W/Kg)</t>
  </si>
  <si>
    <t>1 W Nor. SAR (W/Kg)</t>
  </si>
  <si>
    <t>Measured Conductivity (σ (S/m))</t>
  </si>
  <si>
    <t>Power Drift (%)</t>
  </si>
  <si>
    <t>Deviation Permittivity (%)</t>
  </si>
  <si>
    <t>Drift (%)</t>
  </si>
  <si>
    <t>Deviation Conductivity (%)</t>
  </si>
  <si>
    <t>Plot No. (-)</t>
  </si>
  <si>
    <t>Date of Execution</t>
  </si>
  <si>
    <t>Samples</t>
  </si>
  <si>
    <t>Operation Mode</t>
  </si>
  <si>
    <t>Test Operator</t>
  </si>
  <si>
    <t>Uncertainty</t>
  </si>
  <si>
    <t>Used Test Equipment</t>
  </si>
  <si>
    <t>Comment</t>
  </si>
  <si>
    <t>Bug tracking link</t>
  </si>
  <si>
    <t>Result filename</t>
  </si>
  <si>
    <t>Env. Conditions</t>
  </si>
  <si>
    <t>FDD30</t>
  </si>
  <si>
    <t>1RB Low</t>
  </si>
  <si>
    <t>P</t>
  </si>
  <si>
    <t>60</t>
  </si>
  <si>
    <t>S/01</t>
  </si>
  <si>
    <t>Sondas</t>
  </si>
  <si>
    <t>EX3DV4 - SN 7461</t>
  </si>
  <si>
    <t>Calentamiento:</t>
  </si>
  <si>
    <t>Temperatura:</t>
  </si>
  <si>
    <t>Hora</t>
  </si>
  <si>
    <t>Temperatura Liq (ºC)</t>
  </si>
  <si>
    <t>Dipolo:</t>
  </si>
  <si>
    <t>Inicio</t>
  </si>
  <si>
    <t>Fin</t>
  </si>
  <si>
    <t>Sonda:</t>
  </si>
  <si>
    <t>Frecuencia</t>
  </si>
  <si>
    <t>Nivel Gen.</t>
  </si>
  <si>
    <t>Medidor de Potencia</t>
  </si>
  <si>
    <t>Observaciones</t>
  </si>
  <si>
    <t>(MHz)</t>
  </si>
  <si>
    <t>(dBm)</t>
  </si>
  <si>
    <t>Sensor A (mW)</t>
  </si>
  <si>
    <t>Sensor B (dBm)</t>
  </si>
  <si>
    <t>Aprox. 250/100mW</t>
  </si>
  <si>
    <t>1º</t>
  </si>
  <si>
    <t>Lectura estabilizada</t>
  </si>
  <si>
    <t>2º</t>
  </si>
  <si>
    <t>Cambio al dipolo</t>
  </si>
  <si>
    <t>3º</t>
  </si>
  <si>
    <t>Ajuste</t>
  </si>
  <si>
    <t>4º</t>
  </si>
  <si>
    <t>Dipolos</t>
  </si>
  <si>
    <t>D450V3- SN 1092</t>
  </si>
  <si>
    <t>Acop,HP</t>
  </si>
  <si>
    <t>Máx durante ensayo</t>
  </si>
  <si>
    <t>5º</t>
  </si>
  <si>
    <t>D750V3 - SN 1036</t>
  </si>
  <si>
    <t>Mín durante ensayo</t>
  </si>
  <si>
    <t>6º</t>
  </si>
  <si>
    <t>D900V2 - SN 1d007</t>
  </si>
  <si>
    <t>D1640V2 - SN 333</t>
  </si>
  <si>
    <t>Medida SAR</t>
  </si>
  <si>
    <t>Valor en antena</t>
  </si>
  <si>
    <t>SAR 1W</t>
  </si>
  <si>
    <t>SAR W/g</t>
  </si>
  <si>
    <t>Desviacion (%)</t>
  </si>
  <si>
    <t>Veredicto</t>
  </si>
  <si>
    <t>D1800V2 - SN 2d099</t>
  </si>
  <si>
    <t>NARDA</t>
  </si>
  <si>
    <t>SAR(1g)</t>
  </si>
  <si>
    <t>D2000V2 - SN 1021</t>
  </si>
  <si>
    <t>SAR(10g)</t>
  </si>
  <si>
    <t>D2300V2 - SN 1105</t>
  </si>
  <si>
    <t>D2450V2 - SN 756</t>
  </si>
  <si>
    <t>Valor SAR extrap</t>
  </si>
  <si>
    <t>D2600V2 - SN 1023</t>
  </si>
  <si>
    <t>Fast SAR 1g</t>
  </si>
  <si>
    <t>D3300V2 - SN 1024</t>
  </si>
  <si>
    <t>Fast SAR 10g</t>
  </si>
  <si>
    <t>D3500V2 - SN 1117</t>
  </si>
  <si>
    <t>D3700V2 - SN 1088</t>
  </si>
  <si>
    <t>D3900V2 - SN 1063</t>
  </si>
  <si>
    <t>D4200V2 - SN 1021</t>
  </si>
  <si>
    <t>D4600V2 - SN 1057</t>
  </si>
  <si>
    <t>D4900V2 - SN 1053</t>
  </si>
  <si>
    <t>Cabeza</t>
  </si>
  <si>
    <t>Cuerpo</t>
  </si>
  <si>
    <t>D450V3</t>
  </si>
  <si>
    <t>D750V3</t>
  </si>
  <si>
    <t>D900V2</t>
  </si>
  <si>
    <t>D1640V2</t>
  </si>
  <si>
    <t>D1800V2</t>
  </si>
  <si>
    <t>D2000V2</t>
  </si>
  <si>
    <t>D2300V2</t>
  </si>
  <si>
    <t>D2450V2</t>
  </si>
  <si>
    <t>D2600V2</t>
  </si>
  <si>
    <t>D3300V2</t>
  </si>
  <si>
    <t>D3500V2</t>
  </si>
  <si>
    <t>D3700V2</t>
  </si>
  <si>
    <t>D3900V2</t>
  </si>
  <si>
    <t>D4200V2</t>
  </si>
  <si>
    <t>D4600V2</t>
  </si>
  <si>
    <t>D4900V2</t>
  </si>
  <si>
    <t>D5GHzV2
5800 MHz</t>
  </si>
  <si>
    <t>Head/Body:</t>
  </si>
  <si>
    <t>Fast scan validity?</t>
  </si>
  <si>
    <t>Measure Zoom           Scan+ Zoom        Scan next max</t>
  </si>
  <si>
    <t>Measure 
Low &amp; High</t>
  </si>
  <si>
    <t>Max Power     (Target+Tune-up) (dBm)</t>
  </si>
  <si>
    <t>Conducted Power Measured (dBm)</t>
  </si>
  <si>
    <t>Max Power     (Target+Tune-up) (mW)</t>
  </si>
  <si>
    <t>Conducted
 Power
 Measured
 (mW)</t>
  </si>
  <si>
    <t xml:space="preserve"> Average Output Power (dBm) </t>
  </si>
  <si>
    <t>Module
port</t>
  </si>
  <si>
    <t>2.2</t>
  </si>
  <si>
    <t>2.1</t>
  </si>
  <si>
    <t>FDDI</t>
  </si>
  <si>
    <t>FDDII</t>
  </si>
  <si>
    <t>FDDIII</t>
  </si>
  <si>
    <t>FDDIV</t>
  </si>
  <si>
    <t>FDDV</t>
  </si>
  <si>
    <t>FDDVII</t>
  </si>
  <si>
    <t>FDDVIII</t>
  </si>
  <si>
    <t>FDDXI</t>
  </si>
  <si>
    <t>FDDXII</t>
  </si>
  <si>
    <t>FDDVI</t>
  </si>
  <si>
    <t>FDDXIII</t>
  </si>
  <si>
    <t>FDDXIX</t>
  </si>
  <si>
    <t>LTE</t>
  </si>
  <si>
    <t>FDD1</t>
  </si>
  <si>
    <t>Bandwidth
(MHz)</t>
  </si>
  <si>
    <t>UL RB Start</t>
  </si>
  <si>
    <t>1RB Mid</t>
  </si>
  <si>
    <t>1RB High</t>
  </si>
  <si>
    <t>No medir
BW</t>
  </si>
  <si>
    <t>Máx 1 RB</t>
  </si>
  <si>
    <t>Máx 50 RB</t>
  </si>
  <si>
    <t>Máx 100 RB</t>
  </si>
  <si>
    <t>Reported SAR 10-g (W/Kg)</t>
  </si>
  <si>
    <t>FDD2</t>
  </si>
  <si>
    <t>FDD3</t>
  </si>
  <si>
    <t>Configuración</t>
  </si>
  <si>
    <t>NARDA/ HP</t>
  </si>
  <si>
    <t>NARDA/HP</t>
  </si>
  <si>
    <t>D5GHzV2(5250MHz) - SN 1071</t>
  </si>
  <si>
    <t>D5GHzV2
5250 MHz</t>
  </si>
  <si>
    <t>D5GHzV2(5800MHz) - SN 1071</t>
  </si>
  <si>
    <t>Elegir valor de lista desplegable</t>
  </si>
  <si>
    <t>Insertar valor manualmente</t>
  </si>
  <si>
    <t>Copiar valores de software de Temp/Hum</t>
  </si>
  <si>
    <t>Celdas bloqueadas</t>
  </si>
  <si>
    <t>Test duration
(min)</t>
  </si>
  <si>
    <t>Date
(yyyy/mm/dd)</t>
  </si>
  <si>
    <t xml:space="preserve">Sub
Test
</t>
  </si>
  <si>
    <t>Project information</t>
  </si>
  <si>
    <t>Projet/Offer:</t>
  </si>
  <si>
    <t>Revised by:</t>
  </si>
  <si>
    <t>Starting Date:</t>
  </si>
  <si>
    <t>Revision date:</t>
  </si>
  <si>
    <t>Ending Date:</t>
  </si>
  <si>
    <t>Standards</t>
  </si>
  <si>
    <t>Test Procedure:</t>
  </si>
  <si>
    <t>Environmental conditions:</t>
  </si>
  <si>
    <t>Minimum</t>
  </si>
  <si>
    <t>Maximum</t>
  </si>
  <si>
    <t>Temperature (ºC)</t>
  </si>
  <si>
    <t>Relative humidity (%)</t>
  </si>
  <si>
    <t>Product information</t>
  </si>
  <si>
    <t xml:space="preserve">Control number </t>
  </si>
  <si>
    <t>Device description</t>
  </si>
  <si>
    <t>Model</t>
  </si>
  <si>
    <t>Serial Number</t>
  </si>
  <si>
    <t>H/W</t>
  </si>
  <si>
    <t>S/W</t>
  </si>
  <si>
    <t>NCs used</t>
  </si>
  <si>
    <t>Concatenation of used NCs</t>
  </si>
  <si>
    <r>
      <t>PEAN000_</t>
    </r>
    <r>
      <rPr>
        <sz val="11"/>
        <color indexed="10"/>
        <rFont val="Calibri"/>
        <family val="2"/>
      </rPr>
      <t>XX</t>
    </r>
  </si>
  <si>
    <t>Date of reception</t>
  </si>
  <si>
    <t>Date of Setup</t>
  </si>
  <si>
    <t>Setup Duration</t>
  </si>
  <si>
    <t>Module port</t>
  </si>
  <si>
    <t>BW</t>
  </si>
  <si>
    <t>Freq</t>
  </si>
  <si>
    <t>2412</t>
  </si>
  <si>
    <t>2442</t>
  </si>
  <si>
    <t>2472</t>
  </si>
  <si>
    <t>2422</t>
  </si>
  <si>
    <t>2462</t>
  </si>
  <si>
    <t>5180</t>
  </si>
  <si>
    <t>5200</t>
  </si>
  <si>
    <t>5240</t>
  </si>
  <si>
    <t>5220</t>
  </si>
  <si>
    <t>5190</t>
  </si>
  <si>
    <t>5230</t>
  </si>
  <si>
    <t>5210</t>
  </si>
  <si>
    <t>5250</t>
  </si>
  <si>
    <t>5260</t>
  </si>
  <si>
    <t>5280</t>
  </si>
  <si>
    <t>5300</t>
  </si>
  <si>
    <t>5320</t>
  </si>
  <si>
    <t>5270</t>
  </si>
  <si>
    <t>5310</t>
  </si>
  <si>
    <t>5290</t>
  </si>
  <si>
    <t>5500</t>
  </si>
  <si>
    <t>5560</t>
  </si>
  <si>
    <t>5510</t>
  </si>
  <si>
    <t>5550</t>
  </si>
  <si>
    <t>5530</t>
  </si>
  <si>
    <t>5570</t>
  </si>
  <si>
    <t>5755</t>
  </si>
  <si>
    <t>5795</t>
  </si>
  <si>
    <t>5775</t>
  </si>
  <si>
    <t>7</t>
  </si>
  <si>
    <t>13</t>
  </si>
  <si>
    <t>3</t>
  </si>
  <si>
    <t>11</t>
  </si>
  <si>
    <t>36</t>
  </si>
  <si>
    <t>40</t>
  </si>
  <si>
    <t>44</t>
  </si>
  <si>
    <t>48</t>
  </si>
  <si>
    <t>38</t>
  </si>
  <si>
    <t>46</t>
  </si>
  <si>
    <t>42</t>
  </si>
  <si>
    <t>50</t>
  </si>
  <si>
    <t>52</t>
  </si>
  <si>
    <t>56</t>
  </si>
  <si>
    <t>54</t>
  </si>
  <si>
    <t>62</t>
  </si>
  <si>
    <t>58</t>
  </si>
  <si>
    <t>100</t>
  </si>
  <si>
    <t>112</t>
  </si>
  <si>
    <t>102</t>
  </si>
  <si>
    <t>110</t>
  </si>
  <si>
    <t>106</t>
  </si>
  <si>
    <t>114</t>
  </si>
  <si>
    <t>151</t>
  </si>
  <si>
    <t>159</t>
  </si>
  <si>
    <t>155</t>
  </si>
  <si>
    <t>Region</t>
  </si>
  <si>
    <t>FDD4</t>
  </si>
  <si>
    <t>FDD5</t>
  </si>
  <si>
    <t>FDD6</t>
  </si>
  <si>
    <t>FDD7</t>
  </si>
  <si>
    <t>FDD8</t>
  </si>
  <si>
    <t>FDD9</t>
  </si>
  <si>
    <t>FDD10</t>
  </si>
  <si>
    <t>FDD11</t>
  </si>
  <si>
    <t>FDD12</t>
  </si>
  <si>
    <t>FDD13</t>
  </si>
  <si>
    <t>FDD14</t>
  </si>
  <si>
    <t>FDD17</t>
  </si>
  <si>
    <t>FDD18</t>
  </si>
  <si>
    <t>FDD19</t>
  </si>
  <si>
    <t>FDD20</t>
  </si>
  <si>
    <t>FDD21</t>
  </si>
  <si>
    <t>FDD22</t>
  </si>
  <si>
    <t>FDD23</t>
  </si>
  <si>
    <t>FDD24</t>
  </si>
  <si>
    <t>FDD25</t>
  </si>
  <si>
    <t>FDD26</t>
  </si>
  <si>
    <t>FDD27</t>
  </si>
  <si>
    <t>FDD28</t>
  </si>
  <si>
    <t>Corregir formulas de No medir BW del canal medio</t>
  </si>
  <si>
    <t>FCC/ISED</t>
  </si>
  <si>
    <t>EU/FCC/ISED</t>
  </si>
  <si>
    <t>?</t>
  </si>
  <si>
    <t>TABLE OF RESULTS FOR TACS4</t>
  </si>
  <si>
    <t>Targets</t>
  </si>
  <si>
    <t>Lists</t>
  </si>
  <si>
    <t>Power Drift
(dB)</t>
  </si>
  <si>
    <t>Extremity</t>
  </si>
  <si>
    <t>Exposure
Conditions</t>
  </si>
  <si>
    <t>802.11ax</t>
  </si>
  <si>
    <t>6</t>
  </si>
  <si>
    <t>2437</t>
  </si>
  <si>
    <t>When specified max output 'power is = 
for both bands 'for UNII 1 and 2A begin SAR 
for UNII 1 and 2A begin SAR 'measurements in this band, 
 if the highest reported SAR 'for UNII 2A is ≤ 1.2 W/kg, 
no SAR for UNII band 1, if &gt; 1.2 W/kg, 'both bands should be tested</t>
  </si>
  <si>
    <t>if different output power, 
begin'with the highest power mode, 
if the highest SAR adjusted by the ratio of 
the lower is &lt; 1.2 W/kg, 
no SAR for the lower power mode</t>
  </si>
  <si>
    <t>SISO</t>
  </si>
  <si>
    <t>5G</t>
  </si>
  <si>
    <t>n1</t>
  </si>
  <si>
    <t>Setup duration
(min)</t>
  </si>
  <si>
    <t>n2</t>
  </si>
  <si>
    <t>TX Config</t>
  </si>
  <si>
    <t>Duty Cycle
(%)</t>
  </si>
  <si>
    <t>WLAN</t>
  </si>
  <si>
    <t>Duty Cycle (%)</t>
  </si>
  <si>
    <t>2.5</t>
  </si>
  <si>
    <t>TX Configuration</t>
  </si>
  <si>
    <t>Exposure Conditions</t>
  </si>
  <si>
    <t>Test Duration (min)</t>
  </si>
  <si>
    <t>Setup duration (min)</t>
  </si>
  <si>
    <t>Close to Head</t>
  </si>
  <si>
    <t>Close to Ear</t>
  </si>
  <si>
    <t>Reported
SAR
 10g
(W/kg)</t>
  </si>
  <si>
    <t>5.2-5.3 GHz</t>
  </si>
  <si>
    <t>Plot
#</t>
  </si>
  <si>
    <t>GPRS 4TX</t>
  </si>
  <si>
    <t>1º Max GSM:</t>
  </si>
  <si>
    <t>2º Max GSM:</t>
  </si>
  <si>
    <r>
      <t>3º</t>
    </r>
    <r>
      <rPr>
        <sz val="10"/>
        <rFont val="Arial"/>
        <family val="2"/>
      </rPr>
      <t xml:space="preserve"> Max GSM:</t>
    </r>
  </si>
  <si>
    <t>1º Max GPRS:</t>
  </si>
  <si>
    <t>2º Max GPRS:</t>
  </si>
  <si>
    <t>3º Max GPRS:</t>
  </si>
  <si>
    <t>1º Max EGPRS:</t>
  </si>
  <si>
    <t>2º Max EGPRS:</t>
  </si>
  <si>
    <t>3º Max EGPRS:</t>
  </si>
  <si>
    <t>Channels with maximum and minimum power values for calculation in SAR sheet</t>
  </si>
  <si>
    <t>Low/ Mid/ High</t>
  </si>
  <si>
    <t>Frq</t>
  </si>
  <si>
    <t>franky</t>
  </si>
  <si>
    <t>Value</t>
  </si>
  <si>
    <t>NA</t>
  </si>
  <si>
    <t>GPRS 1TX</t>
  </si>
  <si>
    <t>GPRS 2TX</t>
  </si>
  <si>
    <t>GPRS 3TX</t>
  </si>
  <si>
    <t>EGPRS 1TX</t>
  </si>
  <si>
    <t>EGPRS 2TX</t>
  </si>
  <si>
    <t>EGPRS 3TX</t>
  </si>
  <si>
    <t>EGPRS 4TX</t>
  </si>
  <si>
    <t>II</t>
  </si>
  <si>
    <t>IV</t>
  </si>
  <si>
    <t>NA/AUS</t>
  </si>
  <si>
    <t>VI</t>
  </si>
  <si>
    <t>IX</t>
  </si>
  <si>
    <t>XIX</t>
  </si>
  <si>
    <t>EU/AUS</t>
  </si>
  <si>
    <t>EU/NA/AUS</t>
  </si>
  <si>
    <t>EU/NA</t>
  </si>
  <si>
    <t>UL MIMO</t>
  </si>
  <si>
    <t>LTE Cat-M1</t>
  </si>
  <si>
    <t>LTE NB-IoT</t>
  </si>
  <si>
    <t>5G NR</t>
  </si>
  <si>
    <t>n3</t>
  </si>
  <si>
    <t>n5</t>
  </si>
  <si>
    <t>n7</t>
  </si>
  <si>
    <t>n8</t>
  </si>
  <si>
    <t>n12</t>
  </si>
  <si>
    <t>n14</t>
  </si>
  <si>
    <t>n20</t>
  </si>
  <si>
    <t>n25</t>
  </si>
  <si>
    <t>n26</t>
  </si>
  <si>
    <t>n28</t>
  </si>
  <si>
    <t>n30</t>
  </si>
  <si>
    <t>n34</t>
  </si>
  <si>
    <t>n38</t>
  </si>
  <si>
    <t>n40</t>
  </si>
  <si>
    <t>n41</t>
  </si>
  <si>
    <t>n47</t>
  </si>
  <si>
    <t>n48</t>
  </si>
  <si>
    <t>n50</t>
  </si>
  <si>
    <t>n51</t>
  </si>
  <si>
    <t>n65</t>
  </si>
  <si>
    <t>n66</t>
  </si>
  <si>
    <t>n70</t>
  </si>
  <si>
    <t>n71</t>
  </si>
  <si>
    <t>n77</t>
  </si>
  <si>
    <r>
      <t>5G NR</t>
    </r>
    <r>
      <rPr>
        <sz val="10"/>
        <color rgb="FFFF0000"/>
        <rFont val="Calibri"/>
        <family val="2"/>
        <scheme val="minor"/>
      </rPr>
      <t/>
    </r>
  </si>
  <si>
    <t>n78</t>
  </si>
  <si>
    <t>n79</t>
  </si>
  <si>
    <t>n90</t>
  </si>
  <si>
    <t>802.11b/g/n</t>
  </si>
  <si>
    <t>802.11a/n/ac</t>
  </si>
  <si>
    <t>5.3 GHz</t>
  </si>
  <si>
    <t>2400 - 2483.5</t>
  </si>
  <si>
    <t>2400 - 2483,5</t>
  </si>
  <si>
    <t>824 - 849</t>
  </si>
  <si>
    <t>890 - 915</t>
  </si>
  <si>
    <t>1710 - 1785</t>
  </si>
  <si>
    <t>1850 - 1910</t>
  </si>
  <si>
    <t>1920 - 1980</t>
  </si>
  <si>
    <t>1710 - 1755</t>
  </si>
  <si>
    <t>830 - 840</t>
  </si>
  <si>
    <t>2500 - 2570</t>
  </si>
  <si>
    <t>880 - 915</t>
  </si>
  <si>
    <t>1749.9 - 1784.9</t>
  </si>
  <si>
    <t>830 - 845</t>
  </si>
  <si>
    <t>1710 - 1770</t>
  </si>
  <si>
    <t>1427.9 - 1447.9</t>
  </si>
  <si>
    <t>699 - 716</t>
  </si>
  <si>
    <t>777 - 787</t>
  </si>
  <si>
    <t>788 - 798</t>
  </si>
  <si>
    <t>704 - 716</t>
  </si>
  <si>
    <t>815 - 830</t>
  </si>
  <si>
    <t>832 - 862</t>
  </si>
  <si>
    <t>1447.9 - 1462.9</t>
  </si>
  <si>
    <t>3410 - 3490</t>
  </si>
  <si>
    <t>2000 - 2020</t>
  </si>
  <si>
    <t>1626.5 - 1660.5</t>
  </si>
  <si>
    <t>1850 - 1915</t>
  </si>
  <si>
    <t>814 - 849</t>
  </si>
  <si>
    <t>807 - 824</t>
  </si>
  <si>
    <t>703 - 748</t>
  </si>
  <si>
    <t>2305 - 2315</t>
  </si>
  <si>
    <t>452.5 - 457.5</t>
  </si>
  <si>
    <t>1900 - 1920</t>
  </si>
  <si>
    <t>2010 - 2025</t>
  </si>
  <si>
    <t>1930 - 1990</t>
  </si>
  <si>
    <t>1910 - 1930</t>
  </si>
  <si>
    <t>2570 - 2620</t>
  </si>
  <si>
    <t>1880 - 1920</t>
  </si>
  <si>
    <t>2300 - 2400</t>
  </si>
  <si>
    <t>2496 - 2690</t>
  </si>
  <si>
    <t>3400 - 3600</t>
  </si>
  <si>
    <t>3600 - 3800</t>
  </si>
  <si>
    <t>703 - 803</t>
  </si>
  <si>
    <t>1447 - 1467</t>
  </si>
  <si>
    <t>5855 - 5925</t>
  </si>
  <si>
    <t>3550 - 3700</t>
  </si>
  <si>
    <t>1432 - 1517</t>
  </si>
  <si>
    <t>1427 - 1432</t>
  </si>
  <si>
    <t>3300 - 3400</t>
  </si>
  <si>
    <t>2483.5 - 2495</t>
  </si>
  <si>
    <t>1920 - 2010</t>
  </si>
  <si>
    <t>1710 - 1780</t>
  </si>
  <si>
    <t>698 - 728</t>
  </si>
  <si>
    <t>1695 - 1710</t>
  </si>
  <si>
    <t>663 - 698</t>
  </si>
  <si>
    <t>451 - 456</t>
  </si>
  <si>
    <t>450 - 455</t>
  </si>
  <si>
    <t>1427 - 1470</t>
  </si>
  <si>
    <t>698 - 716</t>
  </si>
  <si>
    <t>410 - 415</t>
  </si>
  <si>
    <t>412 - 417</t>
  </si>
  <si>
    <t>3400 - 4200</t>
  </si>
  <si>
    <t>3700 - 3980</t>
  </si>
  <si>
    <t>3450 - 3650</t>
  </si>
  <si>
    <t>3400 - 3800</t>
  </si>
  <si>
    <t>4400 - 5000</t>
  </si>
  <si>
    <t>2412 - 2484</t>
  </si>
  <si>
    <t>5150 - 5250</t>
  </si>
  <si>
    <t>5260 - 5320</t>
  </si>
  <si>
    <t>5500 - 5700</t>
  </si>
  <si>
    <t>UMTS</t>
  </si>
  <si>
    <t>Tech</t>
  </si>
  <si>
    <t>Max Conducted Power Including Tune-Up tolerance
(dBm)</t>
  </si>
  <si>
    <t>1º Max WDMA:</t>
  </si>
  <si>
    <t>2º Max WDMA:</t>
  </si>
  <si>
    <r>
      <t>3º</t>
    </r>
    <r>
      <rPr>
        <sz val="10"/>
        <rFont val="Arial"/>
        <family val="2"/>
      </rPr>
      <t xml:space="preserve"> Max WCDMA:</t>
    </r>
  </si>
  <si>
    <t>Ant</t>
  </si>
  <si>
    <t>GFSK</t>
  </si>
  <si>
    <t>8-DPSK</t>
  </si>
  <si>
    <t>Low Energy</t>
  </si>
  <si>
    <t>Custom</t>
  </si>
  <si>
    <t>LE</t>
  </si>
  <si>
    <t>BR/DH5</t>
  </si>
  <si>
    <t>EDR2/2DH5</t>
  </si>
  <si>
    <t>EDR3/3DH5</t>
  </si>
  <si>
    <t>Corresponding mode</t>
  </si>
  <si>
    <t>AUTOMATION TO SELECT MODE, CH AND FREQ IN SAR SHEET</t>
  </si>
  <si>
    <t>Maximum 1RB of CH low(1)mid(2)high(3)</t>
  </si>
  <si>
    <t>Corresponding ch</t>
  </si>
  <si>
    <t>Corresponding freq</t>
  </si>
  <si>
    <t>Ordered 1RB power value</t>
  </si>
  <si>
    <t>Maximum 50%RB of CH low(1)mid(2)high(3)</t>
  </si>
  <si>
    <t>Ordered 50%RB power value</t>
  </si>
  <si>
    <t>Maximum 100%RB of CH low(1)mid(2)high(3)</t>
  </si>
  <si>
    <t>Ordered 100%RB power value</t>
  </si>
  <si>
    <t>50% RB Low</t>
  </si>
  <si>
    <t>50% RB Mid</t>
  </si>
  <si>
    <t>50% RB High</t>
  </si>
  <si>
    <t>Order Max values</t>
  </si>
  <si>
    <t>poner como en 5G</t>
  </si>
  <si>
    <t>TBD</t>
  </si>
  <si>
    <t>Limit SAR
10g (W/kg)</t>
  </si>
  <si>
    <t>Reported
SAR
 1g
(W/kg)</t>
  </si>
  <si>
    <t>Limit SAR
1g (W/kg)</t>
  </si>
  <si>
    <t>Copy of "Position" column (shall be hidden)</t>
  </si>
  <si>
    <t>Maximum avg pow</t>
  </si>
  <si>
    <t>Max mode</t>
  </si>
  <si>
    <t>without order</t>
  </si>
  <si>
    <t>Avg Powe</t>
  </si>
  <si>
    <t>CH</t>
  </si>
  <si>
    <t>Order of MODES</t>
  </si>
  <si>
    <t>Order of channels to be measured</t>
  </si>
  <si>
    <t>Ordered by order of channels: Avg pow</t>
  </si>
  <si>
    <t>ORDERED MODES
Avg Pow</t>
  </si>
  <si>
    <t>mode</t>
  </si>
  <si>
    <t xml:space="preserve"> CH</t>
  </si>
  <si>
    <t xml:space="preserve"> Freq</t>
  </si>
  <si>
    <t>MODE+BW (Auxiliar)</t>
  </si>
  <si>
    <t>low</t>
  </si>
  <si>
    <t>high</t>
  </si>
  <si>
    <t>Copy of AK</t>
  </si>
  <si>
    <t>5500 - 5650</t>
  </si>
  <si>
    <t>5650 - 5850</t>
  </si>
  <si>
    <t>5150 - 5320</t>
  </si>
  <si>
    <t>5.2 - 5.3 GHz</t>
  </si>
  <si>
    <t>Avg Pow</t>
  </si>
  <si>
    <t>Order</t>
  </si>
  <si>
    <t>Ordered
Avg Pow</t>
  </si>
  <si>
    <t>Ordered
Mode</t>
  </si>
  <si>
    <t>Ordered
Ch</t>
  </si>
  <si>
    <t>Ordered
Freq</t>
  </si>
  <si>
    <t>Maximum Avg Powe value</t>
  </si>
  <si>
    <t>Mode with maximum avg pow value</t>
  </si>
  <si>
    <t>Mode for SAR:
Avg Pow</t>
  </si>
  <si>
    <t>Mode for SAR:
Mode</t>
  </si>
  <si>
    <t>Mode for SAR:
Ch</t>
  </si>
  <si>
    <t>Mode for SAR:
Freq</t>
  </si>
  <si>
    <t xml:space="preserve"> Bluetooth BR/DH5</t>
  </si>
  <si>
    <t xml:space="preserve"> Bluetooth EDR2</t>
  </si>
  <si>
    <t xml:space="preserve"> Bluetooth EDR3</t>
  </si>
  <si>
    <t xml:space="preserve"> Bluetooth Low Energy</t>
  </si>
  <si>
    <t>Pendiente</t>
  </si>
  <si>
    <t>Franky - Dar formato esto de abajo</t>
  </si>
  <si>
    <t>2.6</t>
  </si>
  <si>
    <t>Comments
(e.g. RF report ref)</t>
  </si>
  <si>
    <t>Measured Average Output Power
(dBm)</t>
  </si>
  <si>
    <t>Measured Peak/Burst Output Power
(dBm)</t>
  </si>
  <si>
    <t>Liquid</t>
  </si>
  <si>
    <t>Bluetooth</t>
  </si>
  <si>
    <t>MIMO</t>
  </si>
  <si>
    <t>SAR 
10-g
(W/kg)</t>
  </si>
  <si>
    <t>Reported
SAR
 10-g
(W/kg)</t>
  </si>
  <si>
    <t>Limit SAR
10-g (W/kg)</t>
  </si>
  <si>
    <t>Limit SAR 
10-g (W/kg)</t>
  </si>
  <si>
    <t>TX
Config</t>
  </si>
  <si>
    <t>Verdict
(Pass/Fail)</t>
  </si>
  <si>
    <t>Scale factor (-)</t>
  </si>
  <si>
    <t>Estimated SAR 1-g (W/Kg)</t>
  </si>
  <si>
    <t>SAR 1-g (W/Kg)</t>
  </si>
  <si>
    <t>Limit SAR 
1-g (W/kg)</t>
  </si>
  <si>
    <t>Reported SAR 1-g (W/Kg)</t>
  </si>
  <si>
    <t>4.1</t>
  </si>
  <si>
    <t>2.7</t>
  </si>
  <si>
    <t xml:space="preserve"> Estimated SAR 1-g (W/kg)</t>
  </si>
  <si>
    <t>SAR 1-g
(W/kg)</t>
  </si>
  <si>
    <t xml:space="preserve"> Estimated SAR 10-g (W/kg)</t>
  </si>
  <si>
    <t>SAR 10-g
(W/kg)</t>
  </si>
  <si>
    <t>Copy of "BW" column (shall be hidden)</t>
  </si>
  <si>
    <t>Copy of "Mode" column (shall be hidden)</t>
  </si>
  <si>
    <t>Copy of "Channel" column (shall be hidden)</t>
  </si>
  <si>
    <t>Copy of "Freq" column (shall be hidden)</t>
  </si>
  <si>
    <t>Room</t>
  </si>
  <si>
    <t>Sample
(S/01-S/02,...)</t>
  </si>
  <si>
    <t>Dasy5</t>
  </si>
  <si>
    <t>Room
(Dasy5 / Dasy6)</t>
  </si>
  <si>
    <t>Dasy6</t>
  </si>
  <si>
    <t>Test Equipment (type 'x' if used)</t>
  </si>
  <si>
    <t>IEEE Std 1528-2013 &amp; 47CFR Part 2.1093 &amp; applicable KDB Procedures</t>
  </si>
  <si>
    <t>Date
(yyyy-mm-dd hh:mm:ss)</t>
  </si>
  <si>
    <t>HE20</t>
  </si>
  <si>
    <t>HE40</t>
  </si>
  <si>
    <t>HE80</t>
  </si>
  <si>
    <t>HE160</t>
  </si>
  <si>
    <t>Module port:</t>
  </si>
  <si>
    <t>Name:</t>
  </si>
  <si>
    <t>Antenna:</t>
  </si>
  <si>
    <t>Antenna 1</t>
  </si>
  <si>
    <t>Antenna 2</t>
  </si>
  <si>
    <t>Antenna 3</t>
  </si>
  <si>
    <t>Antenna 4</t>
  </si>
  <si>
    <t>Module port 1</t>
  </si>
  <si>
    <t>Module port 2</t>
  </si>
  <si>
    <t>Module port 3</t>
  </si>
  <si>
    <t>Module port 4</t>
  </si>
  <si>
    <t>Duration</t>
  </si>
  <si>
    <t>2013;2020</t>
  </si>
  <si>
    <r>
      <t>IEEE Std 1528</t>
    </r>
    <r>
      <rPr>
        <sz val="9"/>
        <rFont val="Calibri"/>
        <family val="2"/>
      </rPr>
      <t>™;IEC/IEEE 62209-1528</t>
    </r>
  </si>
  <si>
    <t>S/02</t>
  </si>
  <si>
    <t>S/03</t>
  </si>
  <si>
    <t>PI/4 DQPSK</t>
  </si>
  <si>
    <t>2.3</t>
  </si>
  <si>
    <t>5.1</t>
  </si>
  <si>
    <t>5.2</t>
  </si>
  <si>
    <t>5.3</t>
  </si>
  <si>
    <t>5.4</t>
  </si>
  <si>
    <t>5.5</t>
  </si>
  <si>
    <t>5.6</t>
  </si>
  <si>
    <t>5.7</t>
  </si>
  <si>
    <t>Limit SAR 10-g (W/kg)</t>
  </si>
  <si>
    <t>Limit SAR 1-g (W/kg)</t>
  </si>
  <si>
    <t>Fecha (yyyy-mm-dd hh:mm:ss):</t>
  </si>
  <si>
    <t>Date
(yyyy-mm-dd
hh:mm:ss)</t>
  </si>
  <si>
    <t>Estimated SAR validity?</t>
  </si>
  <si>
    <t>Incluir líquidos en sheet SAR</t>
  </si>
  <si>
    <t>Meter en overview opción workesrs y cambiar límites y reglas de fast sar y tal x5</t>
  </si>
  <si>
    <t>Prioridad</t>
  </si>
  <si>
    <t>Vector Network Analyzer, Agilent Technologies model E5071C</t>
  </si>
  <si>
    <t>Vector Network Analyzer, Agilent Technologies model N9923A FieldFox</t>
  </si>
  <si>
    <t>Dielectric probe kit, SPEAG model DAK-3.5</t>
  </si>
  <si>
    <t>DAK software, SPEAG model DAK V1.10.325.10</t>
  </si>
  <si>
    <t>Dosimetric E-field Probe, SPEAG model EX3DV4</t>
  </si>
  <si>
    <t>Data acquisition device, SPEAG model DAE4</t>
  </si>
  <si>
    <t>Mounting Device for Hand-held devices,. SPEAG model SD000 HD1 HA</t>
  </si>
  <si>
    <t>Mounting Device for Hand-held devices,. SPEAG model MD4HHTV5</t>
  </si>
  <si>
    <t>Mounting Device for Laptops and Body-Worn Transmitters, SPEAG model LH1 001 AC</t>
  </si>
  <si>
    <t>SAM head-body simulator, SPEAG model TWIN SAM V4.0</t>
  </si>
  <si>
    <t>Oval flat phantom, SPEAG model ELI4</t>
  </si>
  <si>
    <t>Oval flat phantom, SPEAG model ELI4 V8.0</t>
  </si>
  <si>
    <t>Electro-optical converter, SPEAG model EOC3</t>
  </si>
  <si>
    <t>Robot, Stäubli model RX60BL</t>
  </si>
  <si>
    <t>Robot controller, Stäubli model CS7MB</t>
  </si>
  <si>
    <t>Measurement server, SPEAG model DASY5 SE UMS 011 BS</t>
  </si>
  <si>
    <t>SAR measurement software, SPEAG model DASY52</t>
  </si>
  <si>
    <t>Robot, Stäubli model TX60L</t>
  </si>
  <si>
    <t>Robot controller, Stäubli model CS8C</t>
  </si>
  <si>
    <t>Measurement server, SPEAG model DASY6 SE UMS 028 CA</t>
  </si>
  <si>
    <t>SAR measurement software, SPEAG model cDASY6</t>
  </si>
  <si>
    <t>Electro-optical converter, SPEAG model EOCip-60</t>
  </si>
  <si>
    <t>Head Tissue Equivalent Liquid for 450 MHz band, SPEAG model HSL450V2</t>
  </si>
  <si>
    <t>Head Tissue Equivalent Liquid for 750 MHz, SPEAG model HSL750V2</t>
  </si>
  <si>
    <t>Head Tissue Equivalent Liquid for 900 MHz band, SPEAG model HSL900</t>
  </si>
  <si>
    <t>Head Tissue Equivalent Liquid for 1350-1850 MHz band, SPEAG model HBBL1350-1850V3</t>
  </si>
  <si>
    <t>Head Tissue Equivalent Liquid for 1550-1950 MHz band, SPEAG model HBBL1550-1950V3</t>
  </si>
  <si>
    <t>Head Tissue Equivalent Liquid for 1900-3800 MHz band, SPEAG model HBBL1900-3800V3</t>
  </si>
  <si>
    <t>Head Tissue Equivalent Liquid for 5 GHz band, SPEAG model HSL5800</t>
  </si>
  <si>
    <t>Head Tissue Equivalent Liquid for 0.6-10 GHz, SPEAG model HBBL600-10000V6</t>
  </si>
  <si>
    <t>Head Tissue Equivalent Liquid for 3500-5800 MHz, SPEAG model HBBL3500-5800V5</t>
  </si>
  <si>
    <t>Dipole validation kit 450 MHz, SPEAG model D450V3</t>
  </si>
  <si>
    <t>Dipole validation kit 750 MHz, SPEAG model D750V3</t>
  </si>
  <si>
    <t>Dipole validation kit 900 MHz, SPEAG model D900V2</t>
  </si>
  <si>
    <t>Dipole validation kit 1640 MHz, SPEAG model D1640V2</t>
  </si>
  <si>
    <t>Dipole validation kit 1800 MHz, SPEAG model D1800V2</t>
  </si>
  <si>
    <t>Dipole validation kit 2000 MHz, SPEAG model D2000V2</t>
  </si>
  <si>
    <t>Dipole validation kit 2300 MHz, SPEAG model D2300V2</t>
  </si>
  <si>
    <t>Dipole validation kit 2450 MHz, SPEAG model D2450V2</t>
  </si>
  <si>
    <t>Dipole validation kit 2600 MHz, SPEAG model D2600V2</t>
  </si>
  <si>
    <t>Dipole validation kit 3300 MHz, SPEAG model D3300V2</t>
  </si>
  <si>
    <t>Dipole validation kit 3500 MHz, SPEAG model D3500V2</t>
  </si>
  <si>
    <t>Dipole validation kit 3700 MHz, SPEAG model D3700V2</t>
  </si>
  <si>
    <t>Dipole validation kit 3900 MHz, SPEAG model D3900V2</t>
  </si>
  <si>
    <t>Dipole validation kit 4200 MHz, SPEAG model D4200V2</t>
  </si>
  <si>
    <t>Dipole validation kit 4600 MHz, SPEAG model D4600V2</t>
  </si>
  <si>
    <t>Dipole validation kit 4900 MHz, SPEAG model D4900V2</t>
  </si>
  <si>
    <t>Dipole validation kit 5 GHz, SPEAG model D5GHzV2</t>
  </si>
  <si>
    <t>Signal RF Generator, R&amp;S model SMU200A</t>
  </si>
  <si>
    <t>Power amplifier, MITEQ model AMF-4D-00400600-50-30P</t>
  </si>
  <si>
    <t>DC Power supply, Agilent model U8002A</t>
  </si>
  <si>
    <t>Dual directional coupler, NARDA model 4227-16</t>
  </si>
  <si>
    <t>Dual directional coupler, HP model 778D</t>
  </si>
  <si>
    <t>Power sensor, Agilent model E9300A</t>
  </si>
  <si>
    <t>Dual Power meter, Agilent model E4419B</t>
  </si>
  <si>
    <t>20 dB Attenuator, WEINSCHEL model 75A-20-11</t>
  </si>
  <si>
    <t>NC - Room
SAR-Conducted System</t>
  </si>
  <si>
    <t>NC - Room
DASY6</t>
  </si>
  <si>
    <t>NC - Room
DASY5</t>
  </si>
  <si>
    <t>Power Divider, PICOSECOND PULSE LABS model 5333-104</t>
  </si>
  <si>
    <t>Universal Radio Communication Tester, R&amp;S model CMU200</t>
  </si>
  <si>
    <t>Wideband Radio Communication Tester, R&amp;S model CMW500</t>
  </si>
  <si>
    <t>Radio Communication Tester, R&amp;S model CMX500</t>
  </si>
  <si>
    <t>UXM 5G RF Test Platform, Keysight model E7515B</t>
  </si>
  <si>
    <t>Bluetooth signalling unit, Anritsu model MT8852B</t>
  </si>
  <si>
    <t>Digital thermometer, LKM Electronics model DTM3000-Spezial</t>
  </si>
  <si>
    <t>Temperature and humidity probe, Pico Technology model HUMIDIPROBE</t>
  </si>
  <si>
    <t>Power Sensor 8 kHz a 6GHz, R&amp;S model NRP6A</t>
  </si>
  <si>
    <t>Power Sensor 50 MHz-18GHz, R&amp;S model NRP-Z81</t>
  </si>
  <si>
    <t>UL
Slots</t>
  </si>
  <si>
    <t>See comment</t>
  </si>
  <si>
    <t>ANT-SAR Dasy5 (NC: 3420)</t>
  </si>
  <si>
    <t>ANT-SAR Dasy6 (NC: 8867)</t>
  </si>
  <si>
    <t>ANT-SAR Conducted</t>
  </si>
  <si>
    <t xml:space="preserve">ISED   </t>
  </si>
  <si>
    <t xml:space="preserve">Australia   </t>
  </si>
  <si>
    <t xml:space="preserve">EN Head   </t>
  </si>
  <si>
    <t xml:space="preserve">EN Body   </t>
  </si>
  <si>
    <t>ACMA - Radiocommunications (Electromagnetic Radiation - Human Exposure) Std 2014</t>
  </si>
  <si>
    <t>Test Rooms:</t>
  </si>
  <si>
    <t>duty cycle wifi automatico en FCC conforme a conducidas</t>
  </si>
  <si>
    <t>CAtM y NBIOT como lo metemos?</t>
  </si>
  <si>
    <t>Additional operators:</t>
  </si>
  <si>
    <t>Pending</t>
  </si>
  <si>
    <t>Custom1</t>
  </si>
  <si>
    <t>Custom2</t>
  </si>
  <si>
    <t>Custom3</t>
  </si>
  <si>
    <t>Custom4</t>
  </si>
  <si>
    <t>Custom5</t>
  </si>
  <si>
    <t>Custom6</t>
  </si>
  <si>
    <t>Custom7</t>
  </si>
  <si>
    <t>Custom8</t>
  </si>
  <si>
    <r>
      <t>IEEE Std 1528</t>
    </r>
    <r>
      <rPr>
        <sz val="9"/>
        <rFont val="Calibri"/>
        <family val="2"/>
      </rPr>
      <t>™;IEC/IEEE 62209-1528</t>
    </r>
    <r>
      <rPr>
        <sz val="11"/>
        <color theme="1"/>
        <rFont val="Calibri"/>
        <family val="2"/>
        <scheme val="minor"/>
      </rPr>
      <t/>
    </r>
  </si>
  <si>
    <t>EX3DV4 - SN 7766</t>
  </si>
  <si>
    <t>Bandas LTE / reglas</t>
  </si>
  <si>
    <t>Bandas 5G / nuevas medidas</t>
  </si>
  <si>
    <t>WiFi 6E (&gt;6GHz)</t>
  </si>
  <si>
    <t>Simultaneidad sheet --&gt; franky ya tiene un boceto en otra excel</t>
  </si>
  <si>
    <t>Incluir resultados liquidos</t>
  </si>
  <si>
    <t>Cert.
[EN/FCC/ISED]</t>
  </si>
  <si>
    <t>EN</t>
  </si>
  <si>
    <t>EN/FCC/ISED</t>
  </si>
  <si>
    <t>Cert.
[EN/
FCC/
ISED]</t>
  </si>
  <si>
    <t>Cert. (EN/FCC/ISED):</t>
  </si>
  <si>
    <t>Certification</t>
  </si>
  <si>
    <t>Sample
(S/02-S/02,...)</t>
  </si>
  <si>
    <t>FCC</t>
  </si>
  <si>
    <t>ISED</t>
  </si>
  <si>
    <t>EN 62209-1</t>
  </si>
  <si>
    <t>EN 62209-2</t>
  </si>
  <si>
    <t>IEEE Std 1528™</t>
  </si>
  <si>
    <t>IEC/IEEE 62209-1528</t>
  </si>
  <si>
    <t>EU radiated</t>
  </si>
  <si>
    <t>Eu conducted</t>
  </si>
  <si>
    <t>Versions:</t>
  </si>
  <si>
    <t>Standards:</t>
  </si>
  <si>
    <t>2010/A1:2019</t>
  </si>
  <si>
    <t>"x"</t>
  </si>
  <si>
    <t xml:space="preserve">     Medida de características dieléctricas</t>
  </si>
  <si>
    <t xml:space="preserve">     Validación y Medida SAR</t>
  </si>
  <si>
    <t>S/04</t>
  </si>
  <si>
    <t>Any other info</t>
  </si>
  <si>
    <r>
      <t xml:space="preserve">Room
</t>
    </r>
    <r>
      <rPr>
        <sz val="11"/>
        <rFont val="Calibri"/>
        <family val="2"/>
        <scheme val="minor"/>
      </rPr>
      <t>(Dasy5
Dasy6
ANT-SAR Conducted)</t>
    </r>
  </si>
  <si>
    <t>Test (description of the test: tech, freq, etc...)</t>
  </si>
  <si>
    <r>
      <t xml:space="preserve">Cert.
[EN o FCC o ISED]
</t>
    </r>
    <r>
      <rPr>
        <b/>
        <sz val="11"/>
        <color rgb="FFFF0000"/>
        <rFont val="Calibri"/>
        <family val="2"/>
        <scheme val="minor"/>
      </rPr>
      <t>Only include one cert per test</t>
    </r>
  </si>
  <si>
    <t>overlap</t>
  </si>
  <si>
    <t>1912,5</t>
  </si>
  <si>
    <t>1927,5</t>
  </si>
  <si>
    <t>2577,5</t>
  </si>
  <si>
    <t>2612,5</t>
  </si>
  <si>
    <t>2572,5</t>
  </si>
  <si>
    <t>2617,5</t>
  </si>
  <si>
    <t>1887,5</t>
  </si>
  <si>
    <t>1882,5</t>
  </si>
  <si>
    <t>1917,5</t>
  </si>
  <si>
    <t>2307,5</t>
  </si>
  <si>
    <t>2392,5</t>
  </si>
  <si>
    <t>2302,5</t>
  </si>
  <si>
    <t>2397,5</t>
  </si>
  <si>
    <t>2503,5</t>
  </si>
  <si>
    <t>2682,5</t>
  </si>
  <si>
    <t>2498,5</t>
  </si>
  <si>
    <t>2687,5</t>
  </si>
  <si>
    <t>3407,5</t>
  </si>
  <si>
    <t>3592,5</t>
  </si>
  <si>
    <t>3402,5</t>
  </si>
  <si>
    <t>3597,5</t>
  </si>
  <si>
    <t>3607,5</t>
  </si>
  <si>
    <t>3792,5</t>
  </si>
  <si>
    <t>3602,5</t>
  </si>
  <si>
    <t>3797,5</t>
  </si>
  <si>
    <t>710,5</t>
  </si>
  <si>
    <t>795,5</t>
  </si>
  <si>
    <t>705,5</t>
  </si>
  <si>
    <t>800,5</t>
  </si>
  <si>
    <t>FDD66</t>
  </si>
  <si>
    <t>1717,5</t>
  </si>
  <si>
    <t>1772,5</t>
  </si>
  <si>
    <t>1712,5</t>
  </si>
  <si>
    <t>1777,5</t>
  </si>
  <si>
    <t>FDD71</t>
  </si>
  <si>
    <t>680,5</t>
  </si>
  <si>
    <t>670,5</t>
  </si>
  <si>
    <t>690,5</t>
  </si>
  <si>
    <t>665,5</t>
  </si>
  <si>
    <t>695,5</t>
  </si>
  <si>
    <t>TDD44</t>
  </si>
  <si>
    <t>TDD40</t>
  </si>
  <si>
    <t>TDD38</t>
  </si>
  <si>
    <t>TDD42</t>
  </si>
  <si>
    <t>TDD43</t>
  </si>
  <si>
    <t>TDD33</t>
  </si>
  <si>
    <t>TDD34</t>
  </si>
  <si>
    <t>TDD35</t>
  </si>
  <si>
    <t>TDD36</t>
  </si>
  <si>
    <t>TDD37</t>
  </si>
  <si>
    <t>TDD39</t>
  </si>
  <si>
    <t>TDD41</t>
  </si>
  <si>
    <r>
      <t>IEEE Std 1528</t>
    </r>
    <r>
      <rPr>
        <sz val="9"/>
        <rFont val="Calibri"/>
        <family val="2"/>
      </rPr>
      <t>™;IEC/IEEE 62209-1529</t>
    </r>
    <r>
      <rPr>
        <sz val="11"/>
        <color theme="1"/>
        <rFont val="Calibri"/>
        <family val="2"/>
        <scheme val="minor"/>
      </rPr>
      <t/>
    </r>
  </si>
  <si>
    <t>2013;2021</t>
  </si>
  <si>
    <r>
      <t>IEEE Std 1528</t>
    </r>
    <r>
      <rPr>
        <sz val="9"/>
        <rFont val="Calibri"/>
        <family val="2"/>
      </rPr>
      <t>™;IEC/IEEE 62209-1530</t>
    </r>
    <r>
      <rPr>
        <sz val="11"/>
        <color theme="1"/>
        <rFont val="Calibri"/>
        <family val="2"/>
        <scheme val="minor"/>
      </rPr>
      <t/>
    </r>
  </si>
  <si>
    <t>2013;2022</t>
  </si>
  <si>
    <r>
      <t>IEEE Std 1528</t>
    </r>
    <r>
      <rPr>
        <sz val="9"/>
        <rFont val="Calibri"/>
        <family val="2"/>
      </rPr>
      <t>™;IEC/IEEE 62209-1531</t>
    </r>
    <r>
      <rPr>
        <sz val="11"/>
        <color theme="1"/>
        <rFont val="Calibri"/>
        <family val="2"/>
        <scheme val="minor"/>
      </rPr>
      <t/>
    </r>
  </si>
  <si>
    <t>2013;2023</t>
  </si>
  <si>
    <r>
      <t>IEEE Std 1528</t>
    </r>
    <r>
      <rPr>
        <sz val="9"/>
        <rFont val="Calibri"/>
        <family val="2"/>
      </rPr>
      <t>™;IEC/IEEE 62209-1532</t>
    </r>
    <r>
      <rPr>
        <sz val="11"/>
        <color theme="1"/>
        <rFont val="Calibri"/>
        <family val="2"/>
        <scheme val="minor"/>
      </rPr>
      <t/>
    </r>
  </si>
  <si>
    <t>2013;2024</t>
  </si>
  <si>
    <r>
      <t>IEEE Std 1528</t>
    </r>
    <r>
      <rPr>
        <sz val="9"/>
        <rFont val="Calibri"/>
        <family val="2"/>
      </rPr>
      <t>™;IEC/IEEE 62209-1533</t>
    </r>
    <r>
      <rPr>
        <sz val="11"/>
        <color theme="1"/>
        <rFont val="Calibri"/>
        <family val="2"/>
        <scheme val="minor"/>
      </rPr>
      <t/>
    </r>
  </si>
  <si>
    <t>2013;2025</t>
  </si>
  <si>
    <r>
      <t>IEEE Std 1528</t>
    </r>
    <r>
      <rPr>
        <sz val="9"/>
        <rFont val="Calibri"/>
        <family val="2"/>
      </rPr>
      <t>™;IEC/IEEE 62209-1534</t>
    </r>
    <r>
      <rPr>
        <sz val="11"/>
        <color theme="1"/>
        <rFont val="Calibri"/>
        <family val="2"/>
        <scheme val="minor"/>
      </rPr>
      <t/>
    </r>
  </si>
  <si>
    <t>2013;2026</t>
  </si>
  <si>
    <r>
      <t>IEEE Std 1528</t>
    </r>
    <r>
      <rPr>
        <sz val="9"/>
        <rFont val="Calibri"/>
        <family val="2"/>
      </rPr>
      <t>™;IEC/IEEE 62209-1535</t>
    </r>
    <r>
      <rPr>
        <sz val="11"/>
        <color theme="1"/>
        <rFont val="Calibri"/>
        <family val="2"/>
        <scheme val="minor"/>
      </rPr>
      <t/>
    </r>
  </si>
  <si>
    <t>2013;2027</t>
  </si>
  <si>
    <r>
      <t>IEEE Std 1528</t>
    </r>
    <r>
      <rPr>
        <sz val="9"/>
        <rFont val="Calibri"/>
        <family val="2"/>
      </rPr>
      <t>™;IEC/IEEE 62209-1536</t>
    </r>
    <r>
      <rPr>
        <sz val="11"/>
        <color theme="1"/>
        <rFont val="Calibri"/>
        <family val="2"/>
        <scheme val="minor"/>
      </rPr>
      <t/>
    </r>
  </si>
  <si>
    <t>2013;2028</t>
  </si>
  <si>
    <r>
      <t>IEEE Std 1528</t>
    </r>
    <r>
      <rPr>
        <sz val="9"/>
        <rFont val="Calibri"/>
        <family val="2"/>
      </rPr>
      <t>™;IEC/IEEE 62209-1537</t>
    </r>
    <r>
      <rPr>
        <sz val="11"/>
        <color theme="1"/>
        <rFont val="Calibri"/>
        <family val="2"/>
        <scheme val="minor"/>
      </rPr>
      <t/>
    </r>
  </si>
  <si>
    <t>2013;2029</t>
  </si>
  <si>
    <r>
      <t>IEEE Std 1528</t>
    </r>
    <r>
      <rPr>
        <sz val="9"/>
        <rFont val="Calibri"/>
        <family val="2"/>
      </rPr>
      <t>™;IEC/IEEE 62209-1538</t>
    </r>
    <r>
      <rPr>
        <sz val="11"/>
        <color theme="1"/>
        <rFont val="Calibri"/>
        <family val="2"/>
        <scheme val="minor"/>
      </rPr>
      <t/>
    </r>
  </si>
  <si>
    <t>2013;2030</t>
  </si>
  <si>
    <r>
      <t>IEEE Std 1528</t>
    </r>
    <r>
      <rPr>
        <sz val="9"/>
        <rFont val="Calibri"/>
        <family val="2"/>
      </rPr>
      <t>™;IEC/IEEE 62209-1539</t>
    </r>
    <r>
      <rPr>
        <sz val="11"/>
        <color theme="1"/>
        <rFont val="Calibri"/>
        <family val="2"/>
        <scheme val="minor"/>
      </rPr>
      <t/>
    </r>
  </si>
  <si>
    <t>2013;2031</t>
  </si>
  <si>
    <r>
      <t>IEEE Std 1528</t>
    </r>
    <r>
      <rPr>
        <sz val="9"/>
        <rFont val="Calibri"/>
        <family val="2"/>
      </rPr>
      <t>™;IEC/IEEE 62209-1540</t>
    </r>
    <r>
      <rPr>
        <sz val="11"/>
        <color theme="1"/>
        <rFont val="Calibri"/>
        <family val="2"/>
        <scheme val="minor"/>
      </rPr>
      <t/>
    </r>
  </si>
  <si>
    <t>2013;2032</t>
  </si>
  <si>
    <r>
      <t>IEEE Std 1528</t>
    </r>
    <r>
      <rPr>
        <sz val="9"/>
        <rFont val="Calibri"/>
        <family val="2"/>
      </rPr>
      <t>™;IEC/IEEE 62209-1541</t>
    </r>
    <r>
      <rPr>
        <sz val="11"/>
        <color theme="1"/>
        <rFont val="Calibri"/>
        <family val="2"/>
        <scheme val="minor"/>
      </rPr>
      <t/>
    </r>
  </si>
  <si>
    <t>2013;2033</t>
  </si>
  <si>
    <r>
      <t>IEEE Std 1528</t>
    </r>
    <r>
      <rPr>
        <sz val="9"/>
        <rFont val="Calibri"/>
        <family val="2"/>
      </rPr>
      <t>™;IEC/IEEE 62209-1542</t>
    </r>
    <r>
      <rPr>
        <sz val="11"/>
        <color theme="1"/>
        <rFont val="Calibri"/>
        <family val="2"/>
        <scheme val="minor"/>
      </rPr>
      <t/>
    </r>
  </si>
  <si>
    <t>2013;2034</t>
  </si>
  <si>
    <r>
      <t>IEEE Std 1528</t>
    </r>
    <r>
      <rPr>
        <sz val="9"/>
        <rFont val="Calibri"/>
        <family val="2"/>
      </rPr>
      <t>™;IEC/IEEE 62209-1543</t>
    </r>
    <r>
      <rPr>
        <sz val="11"/>
        <color theme="1"/>
        <rFont val="Calibri"/>
        <family val="2"/>
        <scheme val="minor"/>
      </rPr>
      <t/>
    </r>
  </si>
  <si>
    <t>2013;2035</t>
  </si>
  <si>
    <r>
      <t>IEEE Std 1528</t>
    </r>
    <r>
      <rPr>
        <sz val="9"/>
        <rFont val="Calibri"/>
        <family val="2"/>
      </rPr>
      <t>™;IEC/IEEE 62209-1544</t>
    </r>
    <r>
      <rPr>
        <sz val="11"/>
        <color theme="1"/>
        <rFont val="Calibri"/>
        <family val="2"/>
        <scheme val="minor"/>
      </rPr>
      <t/>
    </r>
  </si>
  <si>
    <t>2013;2036</t>
  </si>
  <si>
    <r>
      <t>IEEE Std 1528</t>
    </r>
    <r>
      <rPr>
        <sz val="9"/>
        <rFont val="Calibri"/>
        <family val="2"/>
      </rPr>
      <t>™;IEC/IEEE 62209-1545</t>
    </r>
    <r>
      <rPr>
        <sz val="11"/>
        <color theme="1"/>
        <rFont val="Calibri"/>
        <family val="2"/>
        <scheme val="minor"/>
      </rPr>
      <t/>
    </r>
  </si>
  <si>
    <t>2013;2037</t>
  </si>
  <si>
    <r>
      <t>IEEE Std 1528</t>
    </r>
    <r>
      <rPr>
        <sz val="9"/>
        <rFont val="Calibri"/>
        <family val="2"/>
      </rPr>
      <t>™;IEC/IEEE 62209-1546</t>
    </r>
    <r>
      <rPr>
        <sz val="11"/>
        <color theme="1"/>
        <rFont val="Calibri"/>
        <family val="2"/>
        <scheme val="minor"/>
      </rPr>
      <t/>
    </r>
  </si>
  <si>
    <t>2013;2038</t>
  </si>
  <si>
    <r>
      <t>IEEE Std 1528</t>
    </r>
    <r>
      <rPr>
        <sz val="9"/>
        <rFont val="Calibri"/>
        <family val="2"/>
      </rPr>
      <t>™;IEC/IEEE 62209-1547</t>
    </r>
    <r>
      <rPr>
        <sz val="11"/>
        <color theme="1"/>
        <rFont val="Calibri"/>
        <family val="2"/>
        <scheme val="minor"/>
      </rPr>
      <t/>
    </r>
  </si>
  <si>
    <t>2013;2039</t>
  </si>
  <si>
    <r>
      <t>IEEE Std 1528</t>
    </r>
    <r>
      <rPr>
        <sz val="9"/>
        <rFont val="Calibri"/>
        <family val="2"/>
      </rPr>
      <t>™;IEC/IEEE 62209-1548</t>
    </r>
    <r>
      <rPr>
        <sz val="11"/>
        <color theme="1"/>
        <rFont val="Calibri"/>
        <family val="2"/>
        <scheme val="minor"/>
      </rPr>
      <t/>
    </r>
  </si>
  <si>
    <t>2013;2040</t>
  </si>
  <si>
    <r>
      <t>IEEE Std 1528</t>
    </r>
    <r>
      <rPr>
        <sz val="9"/>
        <rFont val="Calibri"/>
        <family val="2"/>
      </rPr>
      <t>™;IEC/IEEE 62209-1549</t>
    </r>
    <r>
      <rPr>
        <sz val="11"/>
        <color theme="1"/>
        <rFont val="Calibri"/>
        <family val="2"/>
        <scheme val="minor"/>
      </rPr>
      <t/>
    </r>
  </si>
  <si>
    <t>2013;2041</t>
  </si>
  <si>
    <r>
      <t>IEEE Std 1528</t>
    </r>
    <r>
      <rPr>
        <sz val="9"/>
        <rFont val="Calibri"/>
        <family val="2"/>
      </rPr>
      <t>™;IEC/IEEE 62209-1550</t>
    </r>
    <r>
      <rPr>
        <sz val="11"/>
        <color theme="1"/>
        <rFont val="Calibri"/>
        <family val="2"/>
        <scheme val="minor"/>
      </rPr>
      <t/>
    </r>
  </si>
  <si>
    <t>2013;2042</t>
  </si>
  <si>
    <r>
      <t>IEEE Std 1528</t>
    </r>
    <r>
      <rPr>
        <sz val="9"/>
        <rFont val="Calibri"/>
        <family val="2"/>
      </rPr>
      <t>™;IEC/IEEE 62209-1551</t>
    </r>
    <r>
      <rPr>
        <sz val="11"/>
        <color theme="1"/>
        <rFont val="Calibri"/>
        <family val="2"/>
        <scheme val="minor"/>
      </rPr>
      <t/>
    </r>
  </si>
  <si>
    <t>2013;2043</t>
  </si>
  <si>
    <r>
      <t>IEEE Std 1528</t>
    </r>
    <r>
      <rPr>
        <sz val="9"/>
        <rFont val="Calibri"/>
        <family val="2"/>
      </rPr>
      <t>™;IEC/IEEE 62209-1552</t>
    </r>
    <r>
      <rPr>
        <sz val="11"/>
        <color theme="1"/>
        <rFont val="Calibri"/>
        <family val="2"/>
        <scheme val="minor"/>
      </rPr>
      <t/>
    </r>
  </si>
  <si>
    <t>2013;2044</t>
  </si>
  <si>
    <r>
      <t>IEEE Std 1528</t>
    </r>
    <r>
      <rPr>
        <sz val="9"/>
        <rFont val="Calibri"/>
        <family val="2"/>
      </rPr>
      <t>™;IEC/IEEE 62209-1553</t>
    </r>
    <r>
      <rPr>
        <sz val="11"/>
        <color theme="1"/>
        <rFont val="Calibri"/>
        <family val="2"/>
        <scheme val="minor"/>
      </rPr>
      <t/>
    </r>
  </si>
  <si>
    <t>2013;2045</t>
  </si>
  <si>
    <r>
      <t>IEEE Std 1528</t>
    </r>
    <r>
      <rPr>
        <sz val="9"/>
        <rFont val="Calibri"/>
        <family val="2"/>
      </rPr>
      <t>™;IEC/IEEE 62209-1554</t>
    </r>
    <r>
      <rPr>
        <sz val="11"/>
        <color theme="1"/>
        <rFont val="Calibri"/>
        <family val="2"/>
        <scheme val="minor"/>
      </rPr>
      <t/>
    </r>
  </si>
  <si>
    <t>2013;2046</t>
  </si>
  <si>
    <r>
      <t>IEEE Std 1528</t>
    </r>
    <r>
      <rPr>
        <sz val="9"/>
        <rFont val="Calibri"/>
        <family val="2"/>
      </rPr>
      <t>™;IEC/IEEE 62209-1555</t>
    </r>
    <r>
      <rPr>
        <sz val="11"/>
        <color theme="1"/>
        <rFont val="Calibri"/>
        <family val="2"/>
        <scheme val="minor"/>
      </rPr>
      <t/>
    </r>
  </si>
  <si>
    <t>2013;2047</t>
  </si>
  <si>
    <r>
      <t>IEEE Std 1528</t>
    </r>
    <r>
      <rPr>
        <sz val="9"/>
        <rFont val="Calibri"/>
        <family val="2"/>
      </rPr>
      <t>™;IEC/IEEE 62209-1556</t>
    </r>
    <r>
      <rPr>
        <sz val="11"/>
        <color theme="1"/>
        <rFont val="Calibri"/>
        <family val="2"/>
        <scheme val="minor"/>
      </rPr>
      <t/>
    </r>
  </si>
  <si>
    <t>2013;2048</t>
  </si>
  <si>
    <r>
      <t>IEEE Std 1528</t>
    </r>
    <r>
      <rPr>
        <sz val="9"/>
        <rFont val="Calibri"/>
        <family val="2"/>
      </rPr>
      <t>™;IEC/IEEE 62209-1557</t>
    </r>
    <r>
      <rPr>
        <sz val="11"/>
        <color theme="1"/>
        <rFont val="Calibri"/>
        <family val="2"/>
        <scheme val="minor"/>
      </rPr>
      <t/>
    </r>
  </si>
  <si>
    <t>2013;2049</t>
  </si>
  <si>
    <r>
      <t>IEEE Std 1528</t>
    </r>
    <r>
      <rPr>
        <sz val="9"/>
        <rFont val="Calibri"/>
        <family val="2"/>
      </rPr>
      <t>™;IEC/IEEE 62209-1558</t>
    </r>
    <r>
      <rPr>
        <sz val="11"/>
        <color theme="1"/>
        <rFont val="Calibri"/>
        <family val="2"/>
        <scheme val="minor"/>
      </rPr>
      <t/>
    </r>
  </si>
  <si>
    <t>2013;2050</t>
  </si>
  <si>
    <r>
      <t>IEEE Std 1528</t>
    </r>
    <r>
      <rPr>
        <sz val="9"/>
        <rFont val="Calibri"/>
        <family val="2"/>
      </rPr>
      <t>™;IEC/IEEE 62209-1559</t>
    </r>
    <r>
      <rPr>
        <sz val="11"/>
        <color theme="1"/>
        <rFont val="Calibri"/>
        <family val="2"/>
        <scheme val="minor"/>
      </rPr>
      <t/>
    </r>
  </si>
  <si>
    <t>2013;2051</t>
  </si>
  <si>
    <r>
      <t>IEEE Std 1528</t>
    </r>
    <r>
      <rPr>
        <sz val="9"/>
        <rFont val="Calibri"/>
        <family val="2"/>
      </rPr>
      <t>™;IEC/IEEE 62209-1560</t>
    </r>
    <r>
      <rPr>
        <sz val="11"/>
        <color theme="1"/>
        <rFont val="Calibri"/>
        <family val="2"/>
        <scheme val="minor"/>
      </rPr>
      <t/>
    </r>
  </si>
  <si>
    <t>2013;2052</t>
  </si>
  <si>
    <r>
      <t>IEEE Std 1528</t>
    </r>
    <r>
      <rPr>
        <sz val="9"/>
        <rFont val="Calibri"/>
        <family val="2"/>
      </rPr>
      <t>™;IEC/IEEE 62209-1561</t>
    </r>
    <r>
      <rPr>
        <sz val="11"/>
        <color theme="1"/>
        <rFont val="Calibri"/>
        <family val="2"/>
        <scheme val="minor"/>
      </rPr>
      <t/>
    </r>
  </si>
  <si>
    <t>2013;2053</t>
  </si>
  <si>
    <r>
      <t>IEEE Std 1528</t>
    </r>
    <r>
      <rPr>
        <sz val="9"/>
        <rFont val="Calibri"/>
        <family val="2"/>
      </rPr>
      <t>™;IEC/IEEE 62209-1562</t>
    </r>
    <r>
      <rPr>
        <sz val="11"/>
        <color theme="1"/>
        <rFont val="Calibri"/>
        <family val="2"/>
        <scheme val="minor"/>
      </rPr>
      <t/>
    </r>
  </si>
  <si>
    <t>2013;2054</t>
  </si>
  <si>
    <r>
      <t>IEEE Std 1528</t>
    </r>
    <r>
      <rPr>
        <sz val="9"/>
        <rFont val="Calibri"/>
        <family val="2"/>
      </rPr>
      <t>™;IEC/IEEE 62209-1563</t>
    </r>
    <r>
      <rPr>
        <sz val="11"/>
        <color theme="1"/>
        <rFont val="Calibri"/>
        <family val="2"/>
        <scheme val="minor"/>
      </rPr>
      <t/>
    </r>
  </si>
  <si>
    <t>2013;2055</t>
  </si>
  <si>
    <r>
      <t>IEEE Std 1528</t>
    </r>
    <r>
      <rPr>
        <sz val="9"/>
        <rFont val="Calibri"/>
        <family val="2"/>
      </rPr>
      <t>™;IEC/IEEE 62209-1564</t>
    </r>
    <r>
      <rPr>
        <sz val="11"/>
        <color theme="1"/>
        <rFont val="Calibri"/>
        <family val="2"/>
        <scheme val="minor"/>
      </rPr>
      <t/>
    </r>
  </si>
  <si>
    <t>2013;2056</t>
  </si>
  <si>
    <r>
      <t>IEEE Std 1528</t>
    </r>
    <r>
      <rPr>
        <sz val="9"/>
        <rFont val="Calibri"/>
        <family val="2"/>
      </rPr>
      <t>™;IEC/IEEE 62209-1565</t>
    </r>
    <r>
      <rPr>
        <sz val="11"/>
        <color theme="1"/>
        <rFont val="Calibri"/>
        <family val="2"/>
        <scheme val="minor"/>
      </rPr>
      <t/>
    </r>
  </si>
  <si>
    <t>2013;2057</t>
  </si>
  <si>
    <r>
      <t>IEEE Std 1528</t>
    </r>
    <r>
      <rPr>
        <sz val="9"/>
        <rFont val="Calibri"/>
        <family val="2"/>
      </rPr>
      <t>™;IEC/IEEE 62209-1566</t>
    </r>
    <r>
      <rPr>
        <sz val="11"/>
        <color theme="1"/>
        <rFont val="Calibri"/>
        <family val="2"/>
        <scheme val="minor"/>
      </rPr>
      <t/>
    </r>
  </si>
  <si>
    <t>2013;2058</t>
  </si>
  <si>
    <r>
      <t>IEEE Std 1528</t>
    </r>
    <r>
      <rPr>
        <sz val="9"/>
        <rFont val="Calibri"/>
        <family val="2"/>
      </rPr>
      <t>™;IEC/IEEE 62209-1567</t>
    </r>
    <r>
      <rPr>
        <sz val="11"/>
        <color theme="1"/>
        <rFont val="Calibri"/>
        <family val="2"/>
        <scheme val="minor"/>
      </rPr>
      <t/>
    </r>
  </si>
  <si>
    <t>2013;2059</t>
  </si>
  <si>
    <r>
      <t>IEEE Std 1528</t>
    </r>
    <r>
      <rPr>
        <sz val="9"/>
        <rFont val="Calibri"/>
        <family val="2"/>
      </rPr>
      <t>™;IEC/IEEE 62209-1568</t>
    </r>
    <r>
      <rPr>
        <sz val="11"/>
        <color theme="1"/>
        <rFont val="Calibri"/>
        <family val="2"/>
        <scheme val="minor"/>
      </rPr>
      <t/>
    </r>
  </si>
  <si>
    <t>2013;2060</t>
  </si>
  <si>
    <r>
      <t>IEEE Std 1528</t>
    </r>
    <r>
      <rPr>
        <sz val="9"/>
        <rFont val="Calibri"/>
        <family val="2"/>
      </rPr>
      <t>™;IEC/IEEE 62209-1569</t>
    </r>
    <r>
      <rPr>
        <sz val="11"/>
        <color theme="1"/>
        <rFont val="Calibri"/>
        <family val="2"/>
        <scheme val="minor"/>
      </rPr>
      <t/>
    </r>
  </si>
  <si>
    <t>2013;2061</t>
  </si>
  <si>
    <r>
      <t>IEEE Std 1528</t>
    </r>
    <r>
      <rPr>
        <sz val="9"/>
        <rFont val="Calibri"/>
        <family val="2"/>
      </rPr>
      <t>™;IEC/IEEE 62209-1570</t>
    </r>
    <r>
      <rPr>
        <sz val="11"/>
        <color theme="1"/>
        <rFont val="Calibri"/>
        <family val="2"/>
        <scheme val="minor"/>
      </rPr>
      <t/>
    </r>
  </si>
  <si>
    <t>2013;2062</t>
  </si>
  <si>
    <r>
      <t>IEEE Std 1528</t>
    </r>
    <r>
      <rPr>
        <sz val="9"/>
        <rFont val="Calibri"/>
        <family val="2"/>
      </rPr>
      <t>™;IEC/IEEE 62209-1571</t>
    </r>
    <r>
      <rPr>
        <sz val="11"/>
        <color theme="1"/>
        <rFont val="Calibri"/>
        <family val="2"/>
        <scheme val="minor"/>
      </rPr>
      <t/>
    </r>
  </si>
  <si>
    <t>2013;2063</t>
  </si>
  <si>
    <r>
      <t>IEEE Std 1528</t>
    </r>
    <r>
      <rPr>
        <sz val="9"/>
        <rFont val="Calibri"/>
        <family val="2"/>
      </rPr>
      <t>™;IEC/IEEE 62209-1572</t>
    </r>
    <r>
      <rPr>
        <sz val="11"/>
        <color theme="1"/>
        <rFont val="Calibri"/>
        <family val="2"/>
        <scheme val="minor"/>
      </rPr>
      <t/>
    </r>
  </si>
  <si>
    <t>2013;2064</t>
  </si>
  <si>
    <r>
      <t>IEEE Std 1528</t>
    </r>
    <r>
      <rPr>
        <sz val="9"/>
        <rFont val="Calibri"/>
        <family val="2"/>
      </rPr>
      <t>™;IEC/IEEE 62209-1573</t>
    </r>
    <r>
      <rPr>
        <sz val="11"/>
        <color theme="1"/>
        <rFont val="Calibri"/>
        <family val="2"/>
        <scheme val="minor"/>
      </rPr>
      <t/>
    </r>
  </si>
  <si>
    <t>2013;2065</t>
  </si>
  <si>
    <r>
      <t>IEEE Std 1528</t>
    </r>
    <r>
      <rPr>
        <sz val="9"/>
        <rFont val="Calibri"/>
        <family val="2"/>
      </rPr>
      <t>™;IEC/IEEE 62209-1574</t>
    </r>
    <r>
      <rPr>
        <sz val="11"/>
        <color theme="1"/>
        <rFont val="Calibri"/>
        <family val="2"/>
        <scheme val="minor"/>
      </rPr>
      <t/>
    </r>
  </si>
  <si>
    <t>2013;2066</t>
  </si>
  <si>
    <r>
      <t>IEEE Std 1528</t>
    </r>
    <r>
      <rPr>
        <sz val="9"/>
        <rFont val="Calibri"/>
        <family val="2"/>
      </rPr>
      <t>™;IEC/IEEE 62209-1575</t>
    </r>
    <r>
      <rPr>
        <sz val="11"/>
        <color theme="1"/>
        <rFont val="Calibri"/>
        <family val="2"/>
        <scheme val="minor"/>
      </rPr>
      <t/>
    </r>
  </si>
  <si>
    <t>2013;2067</t>
  </si>
  <si>
    <r>
      <t>IEEE Std 1528</t>
    </r>
    <r>
      <rPr>
        <sz val="9"/>
        <rFont val="Calibri"/>
        <family val="2"/>
      </rPr>
      <t>™;IEC/IEEE 62209-1576</t>
    </r>
    <r>
      <rPr>
        <sz val="11"/>
        <color theme="1"/>
        <rFont val="Calibri"/>
        <family val="2"/>
        <scheme val="minor"/>
      </rPr>
      <t/>
    </r>
  </si>
  <si>
    <t>2013;2068</t>
  </si>
  <si>
    <r>
      <t>IEEE Std 1528</t>
    </r>
    <r>
      <rPr>
        <sz val="9"/>
        <rFont val="Calibri"/>
        <family val="2"/>
      </rPr>
      <t>™;IEC/IEEE 62209-1577</t>
    </r>
    <r>
      <rPr>
        <sz val="11"/>
        <color theme="1"/>
        <rFont val="Calibri"/>
        <family val="2"/>
        <scheme val="minor"/>
      </rPr>
      <t/>
    </r>
  </si>
  <si>
    <t>2013;2069</t>
  </si>
  <si>
    <r>
      <t>IEEE Std 1528</t>
    </r>
    <r>
      <rPr>
        <sz val="9"/>
        <rFont val="Calibri"/>
        <family val="2"/>
      </rPr>
      <t>™;IEC/IEEE 62209-1578</t>
    </r>
    <r>
      <rPr>
        <sz val="11"/>
        <color theme="1"/>
        <rFont val="Calibri"/>
        <family val="2"/>
        <scheme val="minor"/>
      </rPr>
      <t/>
    </r>
  </si>
  <si>
    <t>2013;2070</t>
  </si>
  <si>
    <r>
      <t>IEEE Std 1528</t>
    </r>
    <r>
      <rPr>
        <sz val="9"/>
        <rFont val="Calibri"/>
        <family val="2"/>
      </rPr>
      <t>™;IEC/IEEE 62209-1579</t>
    </r>
    <r>
      <rPr>
        <sz val="11"/>
        <color theme="1"/>
        <rFont val="Calibri"/>
        <family val="2"/>
        <scheme val="minor"/>
      </rPr>
      <t/>
    </r>
  </si>
  <si>
    <t>2013;2071</t>
  </si>
  <si>
    <r>
      <t>IEEE Std 1528</t>
    </r>
    <r>
      <rPr>
        <sz val="9"/>
        <rFont val="Calibri"/>
        <family val="2"/>
      </rPr>
      <t>™;IEC/IEEE 62209-1580</t>
    </r>
    <r>
      <rPr>
        <sz val="11"/>
        <color theme="1"/>
        <rFont val="Calibri"/>
        <family val="2"/>
        <scheme val="minor"/>
      </rPr>
      <t/>
    </r>
  </si>
  <si>
    <t>2013;2072</t>
  </si>
  <si>
    <r>
      <t>IEEE Std 1528</t>
    </r>
    <r>
      <rPr>
        <sz val="9"/>
        <rFont val="Calibri"/>
        <family val="2"/>
      </rPr>
      <t>™;IEC/IEEE 62209-1581</t>
    </r>
    <r>
      <rPr>
        <sz val="11"/>
        <color theme="1"/>
        <rFont val="Calibri"/>
        <family val="2"/>
        <scheme val="minor"/>
      </rPr>
      <t/>
    </r>
  </si>
  <si>
    <t>2013;2073</t>
  </si>
  <si>
    <r>
      <t>IEEE Std 1528</t>
    </r>
    <r>
      <rPr>
        <sz val="9"/>
        <rFont val="Calibri"/>
        <family val="2"/>
      </rPr>
      <t>™;IEC/IEEE 62209-1582</t>
    </r>
    <r>
      <rPr>
        <sz val="11"/>
        <color theme="1"/>
        <rFont val="Calibri"/>
        <family val="2"/>
        <scheme val="minor"/>
      </rPr>
      <t/>
    </r>
  </si>
  <si>
    <t>2013;2074</t>
  </si>
  <si>
    <r>
      <t>IEEE Std 1528</t>
    </r>
    <r>
      <rPr>
        <sz val="9"/>
        <rFont val="Calibri"/>
        <family val="2"/>
      </rPr>
      <t>™;IEC/IEEE 62209-1583</t>
    </r>
    <r>
      <rPr>
        <sz val="11"/>
        <color theme="1"/>
        <rFont val="Calibri"/>
        <family val="2"/>
        <scheme val="minor"/>
      </rPr>
      <t/>
    </r>
  </si>
  <si>
    <t>2013;2075</t>
  </si>
  <si>
    <r>
      <t>IEEE Std 1528</t>
    </r>
    <r>
      <rPr>
        <sz val="9"/>
        <rFont val="Calibri"/>
        <family val="2"/>
      </rPr>
      <t>™;IEC/IEEE 62209-1584</t>
    </r>
    <r>
      <rPr>
        <sz val="11"/>
        <color theme="1"/>
        <rFont val="Calibri"/>
        <family val="2"/>
        <scheme val="minor"/>
      </rPr>
      <t/>
    </r>
  </si>
  <si>
    <t>2013;2076</t>
  </si>
  <si>
    <r>
      <t>IEEE Std 1528</t>
    </r>
    <r>
      <rPr>
        <sz val="9"/>
        <rFont val="Calibri"/>
        <family val="2"/>
      </rPr>
      <t>™;IEC/IEEE 62209-1585</t>
    </r>
    <r>
      <rPr>
        <sz val="11"/>
        <color theme="1"/>
        <rFont val="Calibri"/>
        <family val="2"/>
        <scheme val="minor"/>
      </rPr>
      <t/>
    </r>
  </si>
  <si>
    <t>2013;2077</t>
  </si>
  <si>
    <r>
      <t>IEEE Std 1528</t>
    </r>
    <r>
      <rPr>
        <sz val="9"/>
        <rFont val="Calibri"/>
        <family val="2"/>
      </rPr>
      <t>™;IEC/IEEE 62209-1586</t>
    </r>
    <r>
      <rPr>
        <sz val="11"/>
        <color theme="1"/>
        <rFont val="Calibri"/>
        <family val="2"/>
        <scheme val="minor"/>
      </rPr>
      <t/>
    </r>
  </si>
  <si>
    <t>2013;2078</t>
  </si>
  <si>
    <r>
      <t>IEEE Std 1528</t>
    </r>
    <r>
      <rPr>
        <sz val="9"/>
        <rFont val="Calibri"/>
        <family val="2"/>
      </rPr>
      <t>™;IEC/IEEE 62209-1587</t>
    </r>
    <r>
      <rPr>
        <sz val="11"/>
        <color theme="1"/>
        <rFont val="Calibri"/>
        <family val="2"/>
        <scheme val="minor"/>
      </rPr>
      <t/>
    </r>
  </si>
  <si>
    <t>2013;2079</t>
  </si>
  <si>
    <r>
      <t>IEEE Std 1528</t>
    </r>
    <r>
      <rPr>
        <sz val="9"/>
        <rFont val="Calibri"/>
        <family val="2"/>
      </rPr>
      <t>™;IEC/IEEE 62209-1588</t>
    </r>
    <r>
      <rPr>
        <sz val="11"/>
        <color theme="1"/>
        <rFont val="Calibri"/>
        <family val="2"/>
        <scheme val="minor"/>
      </rPr>
      <t/>
    </r>
  </si>
  <si>
    <t>2013;2080</t>
  </si>
  <si>
    <r>
      <t>IEEE Std 1528</t>
    </r>
    <r>
      <rPr>
        <sz val="9"/>
        <rFont val="Calibri"/>
        <family val="2"/>
      </rPr>
      <t>™;IEC/IEEE 62209-1589</t>
    </r>
    <r>
      <rPr>
        <sz val="11"/>
        <color theme="1"/>
        <rFont val="Calibri"/>
        <family val="2"/>
        <scheme val="minor"/>
      </rPr>
      <t/>
    </r>
  </si>
  <si>
    <t>2013;2081</t>
  </si>
  <si>
    <r>
      <t>IEEE Std 1528</t>
    </r>
    <r>
      <rPr>
        <sz val="9"/>
        <rFont val="Calibri"/>
        <family val="2"/>
      </rPr>
      <t>™;IEC/IEEE 62209-1590</t>
    </r>
    <r>
      <rPr>
        <sz val="11"/>
        <color theme="1"/>
        <rFont val="Calibri"/>
        <family val="2"/>
        <scheme val="minor"/>
      </rPr>
      <t/>
    </r>
  </si>
  <si>
    <t>2013;2082</t>
  </si>
  <si>
    <t>ch</t>
  </si>
  <si>
    <t>fq</t>
  </si>
  <si>
    <t>Help to include test standards per test case in the corresponding column of each sheet</t>
  </si>
  <si>
    <t>Test duration
(sec)</t>
  </si>
  <si>
    <t>Setup duration
(sec)</t>
  </si>
  <si>
    <t>Inlcude here any test done during the project and not needed for report (pretests, non valid tests, etc…)
If you need to insert hundreds of tests (for example conducted tests), insert one test with the total (for example a test called "batch of conducted tests")</t>
  </si>
  <si>
    <t>Date (yyyy-mm-dd hh:mm:ss)</t>
  </si>
  <si>
    <t>TACS4 ONE - Test Campaign generator</t>
  </si>
  <si>
    <t>Click to copy all performed test cases in Test Campaign sheet</t>
  </si>
  <si>
    <t>ISGC</t>
  </si>
  <si>
    <t>D5GHzV2
5600 MHz</t>
  </si>
  <si>
    <t>03267</t>
  </si>
  <si>
    <t>04482</t>
  </si>
  <si>
    <t>04171</t>
  </si>
  <si>
    <t>09448</t>
  </si>
  <si>
    <t>04859</t>
  </si>
  <si>
    <t>06125</t>
  </si>
  <si>
    <t>09513</t>
  </si>
  <si>
    <t>08902</t>
  </si>
  <si>
    <t>08867</t>
  </si>
  <si>
    <t>08894</t>
  </si>
  <si>
    <t>08895</t>
  </si>
  <si>
    <t>08898</t>
  </si>
  <si>
    <t>03430</t>
  </si>
  <si>
    <t>08876</t>
  </si>
  <si>
    <t>03424</t>
  </si>
  <si>
    <t>08896</t>
  </si>
  <si>
    <t>03526</t>
  </si>
  <si>
    <t>03422</t>
  </si>
  <si>
    <t>03525</t>
  </si>
  <si>
    <t>09168</t>
  </si>
  <si>
    <t>03438</t>
  </si>
  <si>
    <t>03420</t>
  </si>
  <si>
    <t>03436</t>
  </si>
  <si>
    <t>03847</t>
  </si>
  <si>
    <t>03423</t>
  </si>
  <si>
    <t>03920</t>
  </si>
  <si>
    <t>05581</t>
  </si>
  <si>
    <t>03631</t>
  </si>
  <si>
    <t>06028</t>
  </si>
  <si>
    <t>08844</t>
  </si>
  <si>
    <t>04173</t>
  </si>
  <si>
    <t>03636</t>
  </si>
  <si>
    <t>09449</t>
  </si>
  <si>
    <t>09450</t>
  </si>
  <si>
    <t>05580</t>
  </si>
  <si>
    <t>03919</t>
  </si>
  <si>
    <t>03426</t>
  </si>
  <si>
    <t>06030</t>
  </si>
  <si>
    <t>03427</t>
  </si>
  <si>
    <t>03428</t>
  </si>
  <si>
    <t>08148</t>
  </si>
  <si>
    <t>03429</t>
  </si>
  <si>
    <t>03527</t>
  </si>
  <si>
    <t>08761</t>
  </si>
  <si>
    <t>08762</t>
  </si>
  <si>
    <t>08763</t>
  </si>
  <si>
    <t>08764</t>
  </si>
  <si>
    <t>08765</t>
  </si>
  <si>
    <t>08766</t>
  </si>
  <si>
    <t>08767</t>
  </si>
  <si>
    <t>03524</t>
  </si>
  <si>
    <t>03346</t>
  </si>
  <si>
    <t>03485</t>
  </si>
  <si>
    <t>04835</t>
  </si>
  <si>
    <t>03630</t>
  </si>
  <si>
    <t>01084</t>
  </si>
  <si>
    <t>04391</t>
  </si>
  <si>
    <t>04392</t>
  </si>
  <si>
    <t>04393</t>
  </si>
  <si>
    <t>06672</t>
  </si>
  <si>
    <t>04164</t>
  </si>
  <si>
    <t>02402</t>
  </si>
  <si>
    <t>02216</t>
  </si>
  <si>
    <t>01829</t>
  </si>
  <si>
    <t>02827</t>
  </si>
  <si>
    <t>05395</t>
  </si>
  <si>
    <t>03934</t>
  </si>
  <si>
    <t>04804</t>
  </si>
  <si>
    <t>04948</t>
  </si>
  <si>
    <t>06667</t>
  </si>
  <si>
    <t>08669</t>
  </si>
  <si>
    <t>08849</t>
  </si>
  <si>
    <t>08912</t>
  </si>
  <si>
    <t>09227</t>
  </si>
  <si>
    <t>09229</t>
  </si>
  <si>
    <t>08922</t>
  </si>
  <si>
    <t>08923</t>
  </si>
  <si>
    <t>08066</t>
  </si>
  <si>
    <t>03440</t>
  </si>
  <si>
    <t>03453</t>
  </si>
  <si>
    <t>04170</t>
  </si>
  <si>
    <t>Narrowband Index</t>
  </si>
  <si>
    <t>100% RB Low</t>
  </si>
  <si>
    <t>100% RB High</t>
  </si>
  <si>
    <t xml:space="preserve">                                 </t>
  </si>
  <si>
    <t xml:space="preserve"> </t>
  </si>
  <si>
    <t>v</t>
  </si>
  <si>
    <t>3.75</t>
  </si>
  <si>
    <t>BPSK</t>
  </si>
  <si>
    <t>1747.5</t>
  </si>
  <si>
    <t>1732.5</t>
  </si>
  <si>
    <t>836.5</t>
  </si>
  <si>
    <t>897.5</t>
  </si>
  <si>
    <t>707.5</t>
  </si>
  <si>
    <t>1626.5</t>
  </si>
  <si>
    <t>1643.5</t>
  </si>
  <si>
    <t>1660.5</t>
  </si>
  <si>
    <t>1882.5</t>
  </si>
  <si>
    <t>831.5</t>
  </si>
  <si>
    <t>815.5</t>
  </si>
  <si>
    <t>725.5</t>
  </si>
  <si>
    <t>FDD31</t>
  </si>
  <si>
    <t>452.5</t>
  </si>
  <si>
    <t>457.5</t>
  </si>
  <si>
    <t>FDD68</t>
  </si>
  <si>
    <t>FDD70</t>
  </si>
  <si>
    <t>1702.5</t>
  </si>
  <si>
    <t>680.5</t>
  </si>
  <si>
    <t>FDD72</t>
  </si>
  <si>
    <t>453.5</t>
  </si>
  <si>
    <t>FDD74</t>
  </si>
  <si>
    <t>1448.5</t>
  </si>
  <si>
    <t>FDD85</t>
  </si>
  <si>
    <t>IEEE Std 1528™;IEC/IEEE 62209-1528</t>
  </si>
  <si>
    <t>SCS (KHz)</t>
  </si>
  <si>
    <t>BW
(MHz)</t>
  </si>
  <si>
    <t>2.4</t>
  </si>
  <si>
    <t>PI/2 BPSK</t>
  </si>
  <si>
    <t>Inner 1RB Left</t>
  </si>
  <si>
    <t>Inner 1RB Right</t>
  </si>
  <si>
    <t>Inner Full</t>
  </si>
  <si>
    <t>Edge Full Left</t>
  </si>
  <si>
    <t>Edge Full Right</t>
  </si>
  <si>
    <t>Edge 1RB Left</t>
  </si>
  <si>
    <t>Edge 1RB Right</t>
  </si>
  <si>
    <t>Outer Full</t>
  </si>
  <si>
    <t>64QAM</t>
  </si>
  <si>
    <t>256QAM</t>
  </si>
  <si>
    <t>n18</t>
  </si>
  <si>
    <t>n39</t>
  </si>
  <si>
    <t>MEDIR QPSK only</t>
  </si>
  <si>
    <t/>
  </si>
  <si>
    <t>Average Burst Output Power (dBm)</t>
  </si>
  <si>
    <t>Uplink time slot ratio</t>
  </si>
  <si>
    <t>EX3DV4 - SN 7875</t>
  </si>
  <si>
    <t>U-NII-4</t>
  </si>
  <si>
    <t>S/00</t>
  </si>
  <si>
    <t>Bandwidth</t>
  </si>
  <si>
    <t>Test Duration</t>
  </si>
  <si>
    <t>Test Specification</t>
  </si>
  <si>
    <t>Test Case</t>
  </si>
  <si>
    <t>SCS (Sub-Carrier Spacing) (KHz)</t>
  </si>
  <si>
    <t>Additional battery:</t>
  </si>
  <si>
    <t>Battery 1</t>
  </si>
  <si>
    <t>Battery 2</t>
  </si>
  <si>
    <t>Accessories:</t>
  </si>
  <si>
    <t>Accessory 1</t>
  </si>
  <si>
    <t>Accessory 2</t>
  </si>
  <si>
    <t>Accessory 3</t>
  </si>
  <si>
    <t>Accessory 4</t>
  </si>
  <si>
    <t>Accessory 5</t>
  </si>
  <si>
    <t>Accessory 6</t>
  </si>
  <si>
    <t>Accessory 7</t>
  </si>
  <si>
    <t>Accesorio 1: Front Face</t>
  </si>
  <si>
    <t>Accesorio 2: Bottom Edge</t>
  </si>
  <si>
    <t>D5GHzV2(5600MHz) - SN 1071</t>
  </si>
  <si>
    <t>D5GHzV2(5750MHz) - SN 1071</t>
  </si>
  <si>
    <t>D5GHzV2</t>
  </si>
  <si>
    <t>5750 MHz</t>
  </si>
  <si>
    <t>LTE CATM1</t>
  </si>
  <si>
    <t>IEEE Std 1528™;IEC/IEEE 62209-1542</t>
  </si>
  <si>
    <t>IEEE Std 1528™;IEC/IEEE 62209-1558</t>
  </si>
  <si>
    <t>IEEE Std 1528™;IEC/IEEE 62209-1574</t>
  </si>
  <si>
    <t>IEEE Std 1528™;IEC/IEEE 62209-1590</t>
  </si>
  <si>
    <t>Front of Face</t>
  </si>
  <si>
    <t>Accesorio 3: Back Face</t>
  </si>
  <si>
    <t>Accesorio 4: Front Face</t>
  </si>
  <si>
    <t>Accesorio 5: Back Face</t>
  </si>
  <si>
    <t>Accesorio 6: Front Face</t>
  </si>
  <si>
    <t>Accesorio 7: Front Face</t>
  </si>
  <si>
    <t>Accesorio 2: Back Face</t>
  </si>
  <si>
    <t>Accesorio 5: Bottom Edge</t>
  </si>
  <si>
    <t>Accesorio 4: Bottom Edge</t>
  </si>
  <si>
    <t>Accesorio 5: Left Edge</t>
  </si>
  <si>
    <t>Accesorio 2: Front Face</t>
  </si>
  <si>
    <t>Accesorio 6: Back Face</t>
  </si>
  <si>
    <t>Accesorio 3: Bottom Edge</t>
  </si>
  <si>
    <t>Accesorio 3: Front Face</t>
  </si>
  <si>
    <t>Accesorio 5: Top Edge</t>
  </si>
  <si>
    <t>Accesorio 4: Right Edge</t>
  </si>
  <si>
    <t>Accesorio 3: Top Edge</t>
  </si>
  <si>
    <t>Accesorio 7: Back Face</t>
  </si>
  <si>
    <t>Accesorio 1: Back Face</t>
  </si>
  <si>
    <t>Accesorio 5: Front Face</t>
  </si>
  <si>
    <t>General Public</t>
  </si>
  <si>
    <t>Occupational Public</t>
  </si>
  <si>
    <t>A233858</t>
  </si>
  <si>
    <r>
      <t xml:space="preserve">Operator:
</t>
    </r>
    <r>
      <rPr>
        <b/>
        <sz val="11"/>
        <color indexed="30"/>
        <rFont val="Calibri"/>
        <family val="2"/>
      </rPr>
      <t>(Sólo uno. Necesario para SPO. Poner siglas usuario SPO):</t>
    </r>
  </si>
  <si>
    <t>A506831</t>
  </si>
  <si>
    <t>Lista Operadores</t>
  </si>
  <si>
    <t>Variability Veredict</t>
  </si>
  <si>
    <t>No está implementada</t>
  </si>
  <si>
    <t>FilaConducted</t>
  </si>
  <si>
    <t>FilaTune-Up</t>
  </si>
  <si>
    <t>XXX</t>
  </si>
  <si>
    <t>n77 part Q</t>
  </si>
  <si>
    <t>n77 part O</t>
  </si>
  <si>
    <t>n285</t>
  </si>
  <si>
    <t>n284</t>
  </si>
  <si>
    <t>n283</t>
  </si>
  <si>
    <t>n282</t>
  </si>
  <si>
    <t>n281</t>
  </si>
  <si>
    <t>n280</t>
  </si>
  <si>
    <t>n279</t>
  </si>
  <si>
    <t>n278</t>
  </si>
  <si>
    <t>n277</t>
  </si>
  <si>
    <t>n276</t>
  </si>
  <si>
    <t>n275</t>
  </si>
  <si>
    <t>n274</t>
  </si>
  <si>
    <t>n273</t>
  </si>
  <si>
    <t>n272</t>
  </si>
  <si>
    <t>n271</t>
  </si>
  <si>
    <t>n270</t>
  </si>
  <si>
    <t>n269</t>
  </si>
  <si>
    <t>n268</t>
  </si>
  <si>
    <t>n267</t>
  </si>
  <si>
    <t>n266</t>
  </si>
  <si>
    <t>n265</t>
  </si>
  <si>
    <t>n264</t>
  </si>
  <si>
    <t>n263</t>
  </si>
  <si>
    <t>n262</t>
  </si>
  <si>
    <t>n261</t>
  </si>
  <si>
    <t>n260</t>
  </si>
  <si>
    <t>n259</t>
  </si>
  <si>
    <t>n258</t>
  </si>
  <si>
    <t>n257</t>
  </si>
  <si>
    <t>n256</t>
  </si>
  <si>
    <t>n255</t>
  </si>
  <si>
    <t>n254</t>
  </si>
  <si>
    <t>n253</t>
  </si>
  <si>
    <t>n252</t>
  </si>
  <si>
    <t>n251</t>
  </si>
  <si>
    <t>n250</t>
  </si>
  <si>
    <t>n249</t>
  </si>
  <si>
    <t>n248</t>
  </si>
  <si>
    <t>n247</t>
  </si>
  <si>
    <t>n246</t>
  </si>
  <si>
    <t>n245</t>
  </si>
  <si>
    <t>n244</t>
  </si>
  <si>
    <t>n243</t>
  </si>
  <si>
    <t>n242</t>
  </si>
  <si>
    <t>n241</t>
  </si>
  <si>
    <t>n240</t>
  </si>
  <si>
    <t>n239</t>
  </si>
  <si>
    <t>n238</t>
  </si>
  <si>
    <t>n237</t>
  </si>
  <si>
    <t>n236</t>
  </si>
  <si>
    <t>n235</t>
  </si>
  <si>
    <t>n234</t>
  </si>
  <si>
    <t>n233</t>
  </si>
  <si>
    <t>n232</t>
  </si>
  <si>
    <t>n231</t>
  </si>
  <si>
    <t>n230</t>
  </si>
  <si>
    <t>n229</t>
  </si>
  <si>
    <t>n228</t>
  </si>
  <si>
    <t>n227</t>
  </si>
  <si>
    <t>n226</t>
  </si>
  <si>
    <t>n225</t>
  </si>
  <si>
    <t>n224</t>
  </si>
  <si>
    <t>n223</t>
  </si>
  <si>
    <t>n222</t>
  </si>
  <si>
    <t>n221</t>
  </si>
  <si>
    <t>n220</t>
  </si>
  <si>
    <t>n219</t>
  </si>
  <si>
    <t>n218</t>
  </si>
  <si>
    <t>n217</t>
  </si>
  <si>
    <t>n216</t>
  </si>
  <si>
    <t>n215</t>
  </si>
  <si>
    <t>n214</t>
  </si>
  <si>
    <t>n213</t>
  </si>
  <si>
    <t>n212</t>
  </si>
  <si>
    <t>n211</t>
  </si>
  <si>
    <t>n210</t>
  </si>
  <si>
    <t>n209</t>
  </si>
  <si>
    <t>n208</t>
  </si>
  <si>
    <t>n207</t>
  </si>
  <si>
    <t>n206</t>
  </si>
  <si>
    <t>n205</t>
  </si>
  <si>
    <t>n204</t>
  </si>
  <si>
    <t>n203</t>
  </si>
  <si>
    <t>n202</t>
  </si>
  <si>
    <t>n201</t>
  </si>
  <si>
    <t>n200</t>
  </si>
  <si>
    <t>n199</t>
  </si>
  <si>
    <t>n198</t>
  </si>
  <si>
    <t>n197</t>
  </si>
  <si>
    <t>n196</t>
  </si>
  <si>
    <t>n195</t>
  </si>
  <si>
    <t>n194</t>
  </si>
  <si>
    <t>n193</t>
  </si>
  <si>
    <t>n192</t>
  </si>
  <si>
    <t>n191</t>
  </si>
  <si>
    <t>n190</t>
  </si>
  <si>
    <t>n189</t>
  </si>
  <si>
    <t>n188</t>
  </si>
  <si>
    <t>n187</t>
  </si>
  <si>
    <t>n186</t>
  </si>
  <si>
    <t>n185</t>
  </si>
  <si>
    <t>n184</t>
  </si>
  <si>
    <t>n183</t>
  </si>
  <si>
    <t>n182</t>
  </si>
  <si>
    <t>n181</t>
  </si>
  <si>
    <t>n180</t>
  </si>
  <si>
    <t>n179</t>
  </si>
  <si>
    <t>n178</t>
  </si>
  <si>
    <t>n177</t>
  </si>
  <si>
    <t>n176</t>
  </si>
  <si>
    <t>n175</t>
  </si>
  <si>
    <t>n174</t>
  </si>
  <si>
    <t>n173</t>
  </si>
  <si>
    <t>n172</t>
  </si>
  <si>
    <t>n171</t>
  </si>
  <si>
    <t>n170</t>
  </si>
  <si>
    <t>n169</t>
  </si>
  <si>
    <t>n168</t>
  </si>
  <si>
    <t>n167</t>
  </si>
  <si>
    <t>n166</t>
  </si>
  <si>
    <t>n165</t>
  </si>
  <si>
    <t>n164</t>
  </si>
  <si>
    <t>n163</t>
  </si>
  <si>
    <t>n162</t>
  </si>
  <si>
    <t>n161</t>
  </si>
  <si>
    <t>n160</t>
  </si>
  <si>
    <t>n159</t>
  </si>
  <si>
    <t>n158</t>
  </si>
  <si>
    <t>n157</t>
  </si>
  <si>
    <t>n156</t>
  </si>
  <si>
    <t>n155</t>
  </si>
  <si>
    <t>n154</t>
  </si>
  <si>
    <t>n153</t>
  </si>
  <si>
    <t>n152</t>
  </si>
  <si>
    <t>n151</t>
  </si>
  <si>
    <t>n150</t>
  </si>
  <si>
    <t>n149</t>
  </si>
  <si>
    <t>n148</t>
  </si>
  <si>
    <t>n147</t>
  </si>
  <si>
    <t>n146</t>
  </si>
  <si>
    <t>n145</t>
  </si>
  <si>
    <t>n144</t>
  </si>
  <si>
    <t>n143</t>
  </si>
  <si>
    <t>n142</t>
  </si>
  <si>
    <t>n141</t>
  </si>
  <si>
    <t>n140</t>
  </si>
  <si>
    <t>n139</t>
  </si>
  <si>
    <t>n138</t>
  </si>
  <si>
    <t>n137</t>
  </si>
  <si>
    <t>n136</t>
  </si>
  <si>
    <t>n135</t>
  </si>
  <si>
    <t>n134</t>
  </si>
  <si>
    <t>n133</t>
  </si>
  <si>
    <t>n132</t>
  </si>
  <si>
    <t>n131</t>
  </si>
  <si>
    <t>n130</t>
  </si>
  <si>
    <t>n129</t>
  </si>
  <si>
    <t>n128</t>
  </si>
  <si>
    <t>n127</t>
  </si>
  <si>
    <t>n126</t>
  </si>
  <si>
    <t>n125</t>
  </si>
  <si>
    <t>n124</t>
  </si>
  <si>
    <t>n123</t>
  </si>
  <si>
    <t>n122</t>
  </si>
  <si>
    <t>n121</t>
  </si>
  <si>
    <t>n120</t>
  </si>
  <si>
    <t>n119</t>
  </si>
  <si>
    <t>n118</t>
  </si>
  <si>
    <t>n117</t>
  </si>
  <si>
    <t>n116</t>
  </si>
  <si>
    <t>n115</t>
  </si>
  <si>
    <t>n114</t>
  </si>
  <si>
    <t>n113</t>
  </si>
  <si>
    <t>n112</t>
  </si>
  <si>
    <t>n111</t>
  </si>
  <si>
    <t>n110</t>
  </si>
  <si>
    <t>n109</t>
  </si>
  <si>
    <t>n108</t>
  </si>
  <si>
    <t>n107</t>
  </si>
  <si>
    <t>n106</t>
  </si>
  <si>
    <t>n105</t>
  </si>
  <si>
    <t>n104</t>
  </si>
  <si>
    <t>n103</t>
  </si>
  <si>
    <t>n102</t>
  </si>
  <si>
    <t>n101</t>
  </si>
  <si>
    <t>n100</t>
  </si>
  <si>
    <t>n99</t>
  </si>
  <si>
    <t>n98</t>
  </si>
  <si>
    <t>n97</t>
  </si>
  <si>
    <t>n96</t>
  </si>
  <si>
    <t>n95</t>
  </si>
  <si>
    <t>n94</t>
  </si>
  <si>
    <t>n93</t>
  </si>
  <si>
    <t>n92</t>
  </si>
  <si>
    <t>n91</t>
  </si>
  <si>
    <t>n89</t>
  </si>
  <si>
    <t>n88</t>
  </si>
  <si>
    <t>n87</t>
  </si>
  <si>
    <t>n86</t>
  </si>
  <si>
    <t>n85</t>
  </si>
  <si>
    <t>n84</t>
  </si>
  <si>
    <t>n83</t>
  </si>
  <si>
    <t>n82</t>
  </si>
  <si>
    <t>n81</t>
  </si>
  <si>
    <t>n80</t>
  </si>
  <si>
    <t>n76</t>
  </si>
  <si>
    <t>n75</t>
  </si>
  <si>
    <t>n74</t>
  </si>
  <si>
    <t>n73</t>
  </si>
  <si>
    <t>n72</t>
  </si>
  <si>
    <t>n69</t>
  </si>
  <si>
    <t>n68</t>
  </si>
  <si>
    <t>n67</t>
  </si>
  <si>
    <t>n64</t>
  </si>
  <si>
    <t>n63</t>
  </si>
  <si>
    <t>n62</t>
  </si>
  <si>
    <t>n61</t>
  </si>
  <si>
    <t>n60</t>
  </si>
  <si>
    <t>n59</t>
  </si>
  <si>
    <t>n58</t>
  </si>
  <si>
    <t>n57</t>
  </si>
  <si>
    <t>n56</t>
  </si>
  <si>
    <t>n55</t>
  </si>
  <si>
    <t>n54</t>
  </si>
  <si>
    <t>n53</t>
  </si>
  <si>
    <t>n52</t>
  </si>
  <si>
    <t>n49</t>
  </si>
  <si>
    <t>n46</t>
  </si>
  <si>
    <t>n45</t>
  </si>
  <si>
    <t>n44</t>
  </si>
  <si>
    <t>n43</t>
  </si>
  <si>
    <t>n42</t>
  </si>
  <si>
    <t>n37</t>
  </si>
  <si>
    <t>n36</t>
  </si>
  <si>
    <t>n35</t>
  </si>
  <si>
    <t>n33</t>
  </si>
  <si>
    <t>n32</t>
  </si>
  <si>
    <t>n31</t>
  </si>
  <si>
    <t>n29</t>
  </si>
  <si>
    <t>n27</t>
  </si>
  <si>
    <t>n24</t>
  </si>
  <si>
    <t>n23</t>
  </si>
  <si>
    <t>n22</t>
  </si>
  <si>
    <t>n21</t>
  </si>
  <si>
    <t>n19</t>
  </si>
  <si>
    <t>n17</t>
  </si>
  <si>
    <t>n16</t>
  </si>
  <si>
    <t>n15</t>
  </si>
  <si>
    <t>n13</t>
  </si>
  <si>
    <t>n11</t>
  </si>
  <si>
    <t>n10</t>
  </si>
  <si>
    <t>n9</t>
  </si>
  <si>
    <t>n6</t>
  </si>
  <si>
    <t>n4</t>
  </si>
  <si>
    <t>n0</t>
  </si>
  <si>
    <t>n286</t>
  </si>
  <si>
    <t>n77 RSS-192</t>
  </si>
  <si>
    <t>3450 - 3900</t>
  </si>
  <si>
    <t>3474.99</t>
  </si>
  <si>
    <t>n78 part Q</t>
  </si>
  <si>
    <t>n78 part O</t>
  </si>
  <si>
    <t>3300-3800</t>
  </si>
  <si>
    <t>3700-3800</t>
  </si>
  <si>
    <t>3450-3550</t>
  </si>
  <si>
    <t>n78 RSS-192</t>
  </si>
  <si>
    <t>3450-3800</t>
  </si>
  <si>
    <t>Overlaping</t>
  </si>
  <si>
    <t>CLA-6</t>
  </si>
  <si>
    <t>CLA-13</t>
  </si>
  <si>
    <t>EN 50360:2017/A1:2023 &amp; EN 62209-1:2016  &amp; IEC/IEEE 62209-1528:2020</t>
  </si>
  <si>
    <t>EN 50566:2017/A1:2023 &amp; EN 62209-2:2010/A1:2019  &amp; IEC/IEEE 62209-1528:2020</t>
  </si>
  <si>
    <t>FCC   &gt; 300MHz</t>
  </si>
  <si>
    <t>FCC   4 MHz – 9 MHz and 9 MHz – 19 MHz</t>
  </si>
  <si>
    <t>IEEE Std 1528-2013 &amp; 47CFR Part 2.1093 &amp; applicable KDB Procedures &amp; IEC/IEEE 62209-1528:2020</t>
  </si>
  <si>
    <t>RSS-102 ISSUE 6 (12-2023) &amp; RSS-102.SAR.MEAS Issue 2 &amp; IEC/IEEE 62209-1528:2020</t>
  </si>
  <si>
    <t>Dielectric probe kit, SPEAG model DAK-12</t>
  </si>
  <si>
    <t>Head Tissue Equivalent Liquid for 4-250 MHz, SPEAG model HBBL4-250V3</t>
  </si>
  <si>
    <t>Confined Loop Antenna 4MHz, SPEAG model CLA-6</t>
  </si>
  <si>
    <t>Confined Loop Antenna 13MHz, SPEAG model CLA-13</t>
  </si>
  <si>
    <t>Extendable Tripod</t>
  </si>
  <si>
    <t>Positioner System Validation Antenna CLA</t>
  </si>
  <si>
    <t>Signal RF Generator, R&amp;S model SMB100A</t>
  </si>
  <si>
    <t>Signal RF Generator, R&amp;S model SMC100A</t>
  </si>
  <si>
    <t>Power amplifier, R&amp;S model BBA100</t>
  </si>
  <si>
    <t>Power Sensor R&amp;S model NRP-Z91</t>
  </si>
  <si>
    <t>11090</t>
  </si>
  <si>
    <t>11091</t>
  </si>
  <si>
    <t>11093</t>
  </si>
  <si>
    <t>11094</t>
  </si>
  <si>
    <t>03432</t>
  </si>
  <si>
    <t>03433</t>
  </si>
  <si>
    <t>03434</t>
  </si>
  <si>
    <t>11092</t>
  </si>
  <si>
    <t>04783</t>
  </si>
  <si>
    <t>04545</t>
  </si>
  <si>
    <t>04591</t>
  </si>
  <si>
    <t>04786</t>
  </si>
  <si>
    <t>04787</t>
  </si>
  <si>
    <t>10729</t>
  </si>
  <si>
    <t>10897</t>
  </si>
  <si>
    <t>xxxxx_0X.X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</si>
</sst>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 \º\C"/>
    <numFmt numFmtId="167" formatCode="yyyy/mm/dd"/>
    <numFmt numFmtId="168" formatCode="yyyy\-mm\-dd\ hh:mm:ss"/>
    <numFmt numFmtId="169" formatCode="0.0%"/>
  </numFmts>
  <fonts count="1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b/>
      <sz val="10"/>
      <name val="Arial"/>
      <family val="2"/>
    </font>
    <font>
      <b/>
      <sz val="16"/>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8"/>
      <name val="Arial"/>
      <family val="2"/>
    </font>
    <font>
      <sz val="10"/>
      <name val="Times New Roman"/>
      <family val="1"/>
    </font>
    <font>
      <b/>
      <sz val="10"/>
      <name val="Times New Roman"/>
      <family val="1"/>
    </font>
    <font>
      <b/>
      <sz val="9"/>
      <color indexed="81"/>
      <name val="Tahoma"/>
      <family val="2"/>
    </font>
    <font>
      <sz val="9"/>
      <color indexed="81"/>
      <name val="Tahoma"/>
      <family val="2"/>
    </font>
    <font>
      <sz val="10"/>
      <color indexed="10"/>
      <name val="Arial"/>
      <family val="2"/>
    </font>
    <font>
      <i/>
      <sz val="10"/>
      <name val="Arial"/>
      <family val="2"/>
    </font>
    <font>
      <b/>
      <sz val="9"/>
      <name val="Arial"/>
      <family val="2"/>
    </font>
    <font>
      <sz val="6"/>
      <name val="Arial"/>
      <family val="2"/>
    </font>
    <font>
      <sz val="9"/>
      <name val="Arial"/>
      <family val="2"/>
    </font>
    <font>
      <b/>
      <sz val="24"/>
      <name val="Arial"/>
      <family val="2"/>
    </font>
    <font>
      <b/>
      <sz val="8"/>
      <color indexed="81"/>
      <name val="Tahoma"/>
      <family val="2"/>
    </font>
    <font>
      <b/>
      <u/>
      <sz val="10"/>
      <name val="Arial"/>
      <family val="2"/>
    </font>
    <font>
      <b/>
      <sz val="8"/>
      <name val="Arial"/>
      <family val="2"/>
    </font>
    <font>
      <b/>
      <sz val="11"/>
      <color indexed="30"/>
      <name val="Calibri"/>
      <family val="2"/>
    </font>
    <font>
      <sz val="11"/>
      <color theme="1"/>
      <name val="Calibri"/>
      <family val="2"/>
      <scheme val="minor"/>
    </font>
    <font>
      <sz val="11"/>
      <color rgb="FF006100"/>
      <name val="Calibri"/>
      <family val="2"/>
      <scheme val="minor"/>
    </font>
    <font>
      <sz val="11"/>
      <color rgb="FF9C0006"/>
      <name val="Calibri"/>
      <family val="2"/>
      <scheme val="minor"/>
    </font>
    <font>
      <sz val="11"/>
      <color indexed="8"/>
      <name val="Calibri"/>
      <family val="2"/>
      <scheme val="minor"/>
    </font>
    <font>
      <sz val="10"/>
      <color theme="0"/>
      <name val="Arial"/>
      <family val="2"/>
    </font>
    <font>
      <sz val="10"/>
      <color rgb="FFFF0000"/>
      <name val="Arial"/>
      <family val="2"/>
    </font>
    <font>
      <b/>
      <sz val="12"/>
      <color rgb="FF00B050"/>
      <name val="Arial"/>
      <family val="2"/>
    </font>
    <font>
      <b/>
      <sz val="10"/>
      <color rgb="FF00B050"/>
      <name val="Arial"/>
      <family val="2"/>
    </font>
    <font>
      <sz val="10"/>
      <color theme="9" tint="0.59999389629810485"/>
      <name val="Arial"/>
      <family val="2"/>
    </font>
    <font>
      <sz val="10"/>
      <color rgb="FFB2D69A"/>
      <name val="Arial"/>
      <family val="2"/>
    </font>
    <font>
      <sz val="10"/>
      <color theme="9" tint="0.79998168889431442"/>
      <name val="Arial"/>
      <family val="2"/>
    </font>
    <font>
      <sz val="10"/>
      <color theme="8" tint="0.79998168889431442"/>
      <name val="Arial"/>
      <family val="2"/>
    </font>
    <font>
      <sz val="10"/>
      <color rgb="FFC9E0F3"/>
      <name val="Arial"/>
      <family val="2"/>
    </font>
    <font>
      <sz val="10"/>
      <color rgb="FFB7D6EF"/>
      <name val="Arial"/>
      <family val="2"/>
    </font>
    <font>
      <sz val="10"/>
      <color theme="5" tint="0.79998168889431442"/>
      <name val="Arial"/>
      <family val="2"/>
    </font>
    <font>
      <sz val="10"/>
      <color theme="5" tint="0.59999389629810485"/>
      <name val="Arial"/>
      <family val="2"/>
    </font>
    <font>
      <sz val="10"/>
      <color theme="1"/>
      <name val="Arial"/>
      <family val="2"/>
    </font>
    <font>
      <sz val="10"/>
      <color theme="5" tint="0.39997558519241921"/>
      <name val="Arial"/>
      <family val="2"/>
    </font>
    <font>
      <sz val="10"/>
      <color theme="7" tint="0.79998168889431442"/>
      <name val="Arial"/>
      <family val="2"/>
    </font>
    <font>
      <sz val="10"/>
      <color theme="7" tint="0.59999389629810485"/>
      <name val="Arial"/>
      <family val="2"/>
    </font>
    <font>
      <sz val="10"/>
      <color theme="7" tint="0.39997558519241921"/>
      <name val="Arial"/>
      <family val="2"/>
    </font>
    <font>
      <sz val="10"/>
      <color rgb="FFE5FAFF"/>
      <name val="Arial"/>
      <family val="2"/>
    </font>
    <font>
      <sz val="10"/>
      <color rgb="FFD1F6FF"/>
      <name val="Arial"/>
      <family val="2"/>
    </font>
    <font>
      <sz val="10"/>
      <color rgb="FFB7F1FF"/>
      <name val="Arial"/>
      <family val="2"/>
    </font>
    <font>
      <sz val="10"/>
      <color rgb="FFE6DCEC"/>
      <name val="Arial"/>
      <family val="2"/>
    </font>
    <font>
      <sz val="10"/>
      <color rgb="FFF3EEF6"/>
      <name val="Arial"/>
      <family val="2"/>
    </font>
    <font>
      <sz val="10"/>
      <color rgb="FFD7C6E0"/>
      <name val="Arial"/>
      <family val="2"/>
    </font>
    <font>
      <b/>
      <sz val="10"/>
      <color theme="0"/>
      <name val="Arial"/>
      <family val="2"/>
    </font>
    <font>
      <sz val="10"/>
      <color theme="0"/>
      <name val="Times New Roman"/>
      <family val="1"/>
    </font>
    <font>
      <b/>
      <u/>
      <sz val="14"/>
      <name val="Calibri"/>
      <family val="2"/>
      <scheme val="minor"/>
    </font>
    <font>
      <sz val="10"/>
      <name val="Calibri"/>
      <family val="2"/>
      <scheme val="minor"/>
    </font>
    <font>
      <b/>
      <sz val="14"/>
      <name val="Calibri"/>
      <family val="2"/>
      <scheme val="minor"/>
    </font>
    <font>
      <b/>
      <sz val="11"/>
      <name val="Calibri"/>
      <family val="2"/>
      <scheme val="minor"/>
    </font>
    <font>
      <sz val="11"/>
      <name val="Calibri"/>
      <family val="2"/>
      <scheme val="minor"/>
    </font>
    <font>
      <b/>
      <u/>
      <sz val="11"/>
      <color theme="1"/>
      <name val="Calibri"/>
      <family val="2"/>
      <scheme val="minor"/>
    </font>
    <font>
      <sz val="10"/>
      <color theme="1"/>
      <name val="Times New Roman"/>
      <family val="1"/>
    </font>
    <font>
      <b/>
      <sz val="10"/>
      <color theme="1"/>
      <name val="Times New Roman"/>
      <family val="1"/>
    </font>
    <font>
      <b/>
      <sz val="10"/>
      <color theme="1"/>
      <name val="Arial"/>
      <family val="2"/>
    </font>
    <font>
      <sz val="10"/>
      <color theme="9" tint="0.39997558519241921"/>
      <name val="Arial"/>
      <family val="2"/>
    </font>
    <font>
      <sz val="10"/>
      <color theme="4" tint="0.39997558519241921"/>
      <name val="Arial"/>
      <family val="2"/>
    </font>
    <font>
      <sz val="10"/>
      <color theme="4" tint="0.59999389629810485"/>
      <name val="Arial"/>
      <family val="2"/>
    </font>
    <font>
      <sz val="10"/>
      <color theme="4" tint="0.79998168889431442"/>
      <name val="Arial"/>
      <family val="2"/>
    </font>
    <font>
      <sz val="10"/>
      <color rgb="FFE6FEEE"/>
      <name val="Arial"/>
      <family val="2"/>
    </font>
    <font>
      <sz val="10"/>
      <color rgb="FFCAFEDB"/>
      <name val="Arial"/>
      <family val="2"/>
    </font>
    <font>
      <sz val="10"/>
      <color rgb="FF70FC9F"/>
      <name val="Arial"/>
      <family val="2"/>
    </font>
    <font>
      <sz val="10"/>
      <color rgb="FFACFEC7"/>
      <name val="Arial"/>
      <family val="2"/>
    </font>
    <font>
      <sz val="10"/>
      <color rgb="FF8DFDB2"/>
      <name val="Arial"/>
      <family val="2"/>
    </font>
    <font>
      <sz val="10"/>
      <color rgb="FFFBD8C5"/>
      <name val="Arial"/>
      <family val="2"/>
    </font>
    <font>
      <sz val="10"/>
      <color theme="0" tint="-4.9989318521683403E-2"/>
      <name val="Calibri"/>
      <family val="2"/>
      <scheme val="minor"/>
    </font>
    <font>
      <b/>
      <sz val="10"/>
      <color theme="9" tint="0.59999389629810485"/>
      <name val="Calibri"/>
      <family val="2"/>
      <scheme val="minor"/>
    </font>
    <font>
      <b/>
      <sz val="10"/>
      <name val="Calibri"/>
      <family val="2"/>
      <scheme val="minor"/>
    </font>
    <font>
      <sz val="10"/>
      <color theme="0" tint="-4.9989318521683403E-2"/>
      <name val="Arial"/>
      <family val="2"/>
    </font>
    <font>
      <b/>
      <sz val="10"/>
      <color theme="4" tint="0.59999389629810485"/>
      <name val="Calibri"/>
      <family val="2"/>
      <scheme val="minor"/>
    </font>
    <font>
      <b/>
      <sz val="10"/>
      <color theme="5" tint="0.39997558519241921"/>
      <name val="Arial"/>
      <family val="2"/>
    </font>
    <font>
      <b/>
      <sz val="10"/>
      <color theme="7" tint="0.39997558519241921"/>
      <name val="Arial"/>
      <family val="2"/>
    </font>
    <font>
      <b/>
      <sz val="10"/>
      <color theme="0" tint="-0.14999847407452621"/>
      <name val="Arial"/>
      <family val="2"/>
    </font>
    <font>
      <sz val="10"/>
      <color theme="4" tint="0.79998168889431442"/>
      <name val="Calibri"/>
      <family val="2"/>
      <scheme val="minor"/>
    </font>
    <font>
      <sz val="10"/>
      <color theme="9" tint="0.79998168889431442"/>
      <name val="Calibri"/>
      <family val="2"/>
      <scheme val="minor"/>
    </font>
    <font>
      <sz val="11"/>
      <color theme="3" tint="-0.249977111117893"/>
      <name val="Calibri"/>
      <family val="2"/>
      <scheme val="minor"/>
    </font>
    <font>
      <sz val="10"/>
      <color rgb="FFFFEDB3"/>
      <name val="Arial"/>
      <family val="2"/>
    </font>
    <font>
      <sz val="10"/>
      <color rgb="FFFFE79B"/>
      <name val="Arial"/>
      <family val="2"/>
    </font>
    <font>
      <sz val="10"/>
      <color theme="7"/>
      <name val="Arial"/>
      <family val="2"/>
    </font>
    <font>
      <sz val="10"/>
      <color rgb="FFD0E4F4"/>
      <name val="Arial"/>
      <family val="2"/>
    </font>
    <font>
      <sz val="10"/>
      <color theme="4"/>
      <name val="Arial"/>
      <family val="2"/>
    </font>
    <font>
      <sz val="10"/>
      <color theme="5"/>
      <name val="Arial"/>
      <family val="2"/>
    </font>
    <font>
      <sz val="9"/>
      <color theme="9" tint="0.79998168889431442"/>
      <name val="Arial"/>
      <family val="2"/>
    </font>
    <font>
      <sz val="9"/>
      <color theme="9" tint="0.59999389629810485"/>
      <name val="Arial"/>
      <family val="2"/>
    </font>
    <font>
      <sz val="9"/>
      <color theme="3" tint="0.59999389629810485"/>
      <name val="Arial"/>
      <family val="2"/>
    </font>
    <font>
      <sz val="9"/>
      <color theme="4" tint="0.59999389629810485"/>
      <name val="Arial"/>
      <family val="2"/>
    </font>
    <font>
      <sz val="9"/>
      <color theme="5" tint="0.79998168889431442"/>
      <name val="Arial"/>
      <family val="2"/>
    </font>
    <font>
      <sz val="9"/>
      <color theme="4" tint="0.79998168889431442"/>
      <name val="Arial"/>
      <family val="2"/>
    </font>
    <font>
      <sz val="10"/>
      <color rgb="FFFF0000"/>
      <name val="Calibri"/>
      <family val="2"/>
      <scheme val="minor"/>
    </font>
    <font>
      <sz val="10"/>
      <color theme="1"/>
      <name val="Calibri"/>
      <family val="2"/>
      <scheme val="minor"/>
    </font>
    <font>
      <sz val="9"/>
      <color theme="7" tint="0.79998168889431442"/>
      <name val="Arial"/>
      <family val="2"/>
    </font>
    <font>
      <sz val="9"/>
      <color theme="7" tint="0.59999389629810485"/>
      <name val="Arial"/>
      <family val="2"/>
    </font>
    <font>
      <sz val="9"/>
      <color theme="5" tint="0.59999389629810485"/>
      <name val="Arial"/>
      <family val="2"/>
    </font>
    <font>
      <sz val="9"/>
      <color rgb="FFEEE1F7"/>
      <name val="Arial"/>
      <family val="2"/>
    </font>
    <font>
      <sz val="9"/>
      <color theme="8" tint="0.79998168889431442"/>
      <name val="Arial"/>
      <family val="2"/>
    </font>
    <font>
      <sz val="9"/>
      <color theme="8" tint="0.59999389629810485"/>
      <name val="Arial"/>
      <family val="2"/>
    </font>
    <font>
      <sz val="9"/>
      <color rgb="FFDEFFBD"/>
      <name val="Arial"/>
      <family val="2"/>
    </font>
    <font>
      <sz val="9"/>
      <color rgb="FFF4ECFA"/>
      <name val="Arial"/>
      <family val="2"/>
    </font>
    <font>
      <sz val="9"/>
      <color rgb="FFECFFD9"/>
      <name val="Arial"/>
      <family val="2"/>
    </font>
    <font>
      <sz val="10"/>
      <color indexed="9"/>
      <name val="Arial"/>
      <family val="2"/>
    </font>
    <font>
      <b/>
      <sz val="10"/>
      <color indexed="9"/>
      <name val="Times New Roman"/>
      <family val="1"/>
    </font>
    <font>
      <sz val="9"/>
      <color rgb="FFABD5FF"/>
      <name val="Arial"/>
      <family val="2"/>
    </font>
    <font>
      <sz val="9"/>
      <color rgb="FFC5E2FF"/>
      <name val="Arial"/>
      <family val="2"/>
    </font>
    <font>
      <sz val="9"/>
      <color theme="7" tint="0.39997558519241921"/>
      <name val="Arial"/>
      <family val="2"/>
    </font>
    <font>
      <sz val="9"/>
      <color theme="1"/>
      <name val="Arial"/>
      <family val="2"/>
    </font>
    <font>
      <sz val="10"/>
      <color theme="4"/>
      <name val="Calibri"/>
      <family val="2"/>
      <scheme val="minor"/>
    </font>
    <font>
      <sz val="9"/>
      <color rgb="FFD1B2E8"/>
      <name val="Arial"/>
      <family val="2"/>
    </font>
    <font>
      <sz val="9"/>
      <color theme="5" tint="0.39997558519241921"/>
      <name val="Arial"/>
      <family val="2"/>
    </font>
    <font>
      <sz val="9"/>
      <color theme="9" tint="0.39997558519241921"/>
      <name val="Arial"/>
      <family val="2"/>
    </font>
    <font>
      <sz val="9"/>
      <color theme="4" tint="0.39997558519241921"/>
      <name val="Arial"/>
      <family val="2"/>
    </font>
    <font>
      <sz val="9"/>
      <color rgb="FF93C9FF"/>
      <name val="Arial"/>
      <family val="2"/>
    </font>
    <font>
      <sz val="9"/>
      <color theme="4"/>
      <name val="Arial"/>
      <family val="2"/>
    </font>
    <font>
      <sz val="9"/>
      <color rgb="FFD8BEEC"/>
      <name val="Arial"/>
      <family val="2"/>
    </font>
    <font>
      <sz val="9"/>
      <color rgb="FFE6D5F3"/>
      <name val="Arial"/>
      <family val="2"/>
    </font>
    <font>
      <sz val="9"/>
      <color rgb="FFC5FF8B"/>
      <name val="Arial"/>
      <family val="2"/>
    </font>
    <font>
      <sz val="9"/>
      <color theme="8" tint="0.39997558519241921"/>
      <name val="Arial"/>
      <family val="2"/>
    </font>
    <font>
      <sz val="9"/>
      <color rgb="FFFF7C80"/>
      <name val="Arial"/>
      <family val="2"/>
    </font>
    <font>
      <sz val="9"/>
      <color rgb="FFFF9999"/>
      <name val="Arial"/>
      <family val="2"/>
    </font>
    <font>
      <sz val="9"/>
      <name val="Calibri"/>
      <family val="2"/>
    </font>
    <font>
      <b/>
      <sz val="11"/>
      <color theme="1"/>
      <name val="Calibri"/>
      <family val="2"/>
      <scheme val="minor"/>
    </font>
    <font>
      <b/>
      <sz val="11"/>
      <color rgb="FFFF0000"/>
      <name val="Calibri"/>
      <family val="2"/>
      <scheme val="minor"/>
    </font>
    <font>
      <b/>
      <sz val="9"/>
      <color rgb="FFFF0000"/>
      <name val="Arial"/>
      <family val="2"/>
    </font>
    <font>
      <b/>
      <sz val="8"/>
      <color rgb="FFFF0000"/>
      <name val="Arial"/>
      <family val="2"/>
    </font>
    <font>
      <sz val="11"/>
      <name val="Calibri"/>
      <family val="2"/>
    </font>
    <font>
      <sz val="9"/>
      <color rgb="FFC1F59D"/>
      <name val="Arial"/>
      <family val="2"/>
    </font>
    <font>
      <sz val="10"/>
      <color rgb="FF000000"/>
      <name val="Arial"/>
      <family val="2"/>
    </font>
    <font>
      <b/>
      <sz val="11"/>
      <name val="Calibri"/>
      <family val="2"/>
    </font>
    <font>
      <sz val="11"/>
      <color rgb="FF9C0006"/>
      <name val="Arial"/>
      <family val="2"/>
    </font>
    <font>
      <sz val="11"/>
      <color rgb="FFFF0000"/>
      <name val="Calibri"/>
      <family val="2"/>
    </font>
    <font>
      <b/>
      <sz val="10"/>
      <color rgb="FFFF0000"/>
      <name val="Arial"/>
      <family val="2"/>
    </font>
    <font>
      <sz val="10"/>
      <color rgb="FFD9E1F2"/>
      <name val="Arial"/>
      <family val="2"/>
    </font>
    <font>
      <sz val="10"/>
      <color rgb="FF9BC2E6"/>
      <name val="Arial"/>
      <family val="2"/>
    </font>
    <font>
      <sz val="10"/>
      <color rgb="FFF8CBAD"/>
      <name val="Arial"/>
      <family val="2"/>
    </font>
    <font>
      <sz val="10"/>
      <color rgb="FFF4B084"/>
      <name val="Arial"/>
      <family val="2"/>
    </font>
    <font>
      <sz val="10"/>
      <color rgb="FFF3E4F6"/>
      <name val="Arial"/>
      <family val="2"/>
    </font>
    <font>
      <sz val="10"/>
      <color rgb="FFE6E6EC"/>
      <name val="Arial"/>
      <family val="2"/>
    </font>
    <font>
      <sz val="10"/>
      <color rgb="FFE6E6F6"/>
      <name val="Arial"/>
      <family val="2"/>
    </font>
    <font>
      <sz val="11"/>
      <color theme="1"/>
      <name val="Calibri"/>
      <family val="2"/>
    </font>
    <font>
      <u/>
      <sz val="10"/>
      <color theme="9" tint="0.39997558519241921"/>
      <name val="Arial"/>
      <family val="2"/>
    </font>
    <font>
      <u/>
      <sz val="10"/>
      <name val="Arial"/>
      <family val="2"/>
    </font>
    <font>
      <u/>
      <sz val="10"/>
      <color theme="9" tint="0.59999389629810485"/>
      <name val="Arial"/>
      <family val="2"/>
    </font>
    <font>
      <sz val="10"/>
      <color theme="0" tint="-0.499984740745262"/>
      <name val="Arial"/>
      <family val="2"/>
    </font>
    <font>
      <u/>
      <sz val="10"/>
      <color theme="0" tint="-0.499984740745262"/>
      <name val="Arial"/>
      <family val="2"/>
    </font>
    <font>
      <b/>
      <sz val="10"/>
      <color rgb="FFC1F59D"/>
      <name val="Arial"/>
      <family val="2"/>
    </font>
    <font>
      <u/>
      <sz val="11"/>
      <color theme="1"/>
      <name val="Calibri"/>
      <family val="2"/>
      <scheme val="minor"/>
    </font>
    <font>
      <u/>
      <sz val="9"/>
      <name val="Arial"/>
      <family val="2"/>
    </font>
    <font>
      <sz val="11"/>
      <color theme="0"/>
      <name val="Calibri"/>
      <family val="2"/>
      <scheme val="minor"/>
    </font>
    <font>
      <b/>
      <sz val="9"/>
      <color theme="1"/>
      <name val="Arial"/>
      <family val="2"/>
    </font>
    <font>
      <sz val="10"/>
      <color theme="0" tint="-0.14999847407452621"/>
      <name val="Arial"/>
      <family val="2"/>
    </font>
    <font>
      <sz val="10"/>
      <color rgb="FFEEE1F7"/>
      <name val="Arial"/>
      <family val="2"/>
    </font>
    <font>
      <u/>
      <sz val="9"/>
      <color theme="7" tint="0.59999389629810485"/>
      <name val="Arial"/>
      <family val="2"/>
    </font>
    <font>
      <sz val="9"/>
      <color rgb="FF000000"/>
      <name val="Arial"/>
      <family val="2"/>
    </font>
    <font>
      <sz val="9"/>
      <color rgb="FF000000"/>
      <name val="Arial"/>
      <family val="2"/>
    </font>
  </fonts>
  <fills count="14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7"/>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42"/>
        <bgColor indexed="64"/>
      </patternFill>
    </fill>
    <fill>
      <patternFill patternType="solid">
        <fgColor indexed="50"/>
        <bgColor indexed="64"/>
      </patternFill>
    </fill>
    <fill>
      <patternFill patternType="solid">
        <fgColor indexed="47"/>
        <bgColor indexed="64"/>
      </patternFill>
    </fill>
    <fill>
      <patternFill patternType="solid">
        <fgColor indexed="41"/>
        <bgColor indexed="64"/>
      </patternFill>
    </fill>
    <fill>
      <patternFill patternType="solid">
        <fgColor indexed="44"/>
        <bgColor indexed="64"/>
      </patternFill>
    </fill>
    <fill>
      <patternFill patternType="solid">
        <fgColor indexed="10"/>
        <bgColor indexed="34"/>
      </patternFill>
    </fill>
    <fill>
      <patternFill patternType="solid">
        <fgColor indexed="43"/>
        <bgColor indexed="34"/>
      </patternFill>
    </fill>
    <fill>
      <patternFill patternType="solid">
        <fgColor indexed="51"/>
        <bgColor indexed="51"/>
      </patternFill>
    </fill>
    <fill>
      <patternFill patternType="solid">
        <fgColor indexed="42"/>
        <bgColor indexed="51"/>
      </patternFill>
    </fill>
    <fill>
      <patternFill patternType="solid">
        <fgColor indexed="45"/>
        <bgColor indexed="29"/>
      </patternFill>
    </fill>
    <fill>
      <patternFill patternType="solid">
        <fgColor indexed="44"/>
        <bgColor indexed="40"/>
      </patternFill>
    </fill>
    <fill>
      <patternFill patternType="solid">
        <fgColor indexed="13"/>
        <bgColor indexed="34"/>
      </patternFill>
    </fill>
    <fill>
      <patternFill patternType="solid">
        <fgColor indexed="52"/>
        <bgColor indexed="51"/>
      </patternFill>
    </fill>
    <fill>
      <patternFill patternType="solid">
        <fgColor indexed="11"/>
        <bgColor indexed="51"/>
      </patternFill>
    </fill>
    <fill>
      <patternFill patternType="solid">
        <fgColor indexed="14"/>
        <bgColor indexed="29"/>
      </patternFill>
    </fill>
    <fill>
      <patternFill patternType="solid">
        <fgColor indexed="40"/>
        <bgColor indexed="40"/>
      </patternFill>
    </fill>
    <fill>
      <patternFill patternType="solid">
        <fgColor rgb="FFC6EFCE"/>
      </patternFill>
    </fill>
    <fill>
      <patternFill patternType="solid">
        <fgColor rgb="FFFFC7CE"/>
      </patternFill>
    </fill>
    <fill>
      <patternFill patternType="solid">
        <fgColor theme="0"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7D40"/>
        <bgColor rgb="FF007D40"/>
      </patternFill>
    </fill>
    <fill>
      <patternFill patternType="solid">
        <fgColor rgb="FFC00000"/>
        <bgColor rgb="FFC00000"/>
      </patternFill>
    </fill>
    <fill>
      <patternFill patternType="solid">
        <fgColor rgb="FFD9D9D9"/>
        <bgColor rgb="FFD9D9D9"/>
      </patternFill>
    </fill>
    <fill>
      <patternFill patternType="solid">
        <fgColor theme="5" tint="0.79998168889431442"/>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rgb="FFB2D69A"/>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C9E0F3"/>
        <bgColor indexed="64"/>
      </patternFill>
    </fill>
    <fill>
      <patternFill patternType="solid">
        <fgColor rgb="FFB7D6EF"/>
        <bgColor indexed="64"/>
      </patternFill>
    </fill>
    <fill>
      <patternFill patternType="solid">
        <fgColor theme="5" tint="0.39997558519241921"/>
        <bgColor indexed="64"/>
      </patternFill>
    </fill>
    <fill>
      <patternFill patternType="solid">
        <fgColor rgb="FFFFC000"/>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E5FAFF"/>
        <bgColor indexed="64"/>
      </patternFill>
    </fill>
    <fill>
      <patternFill patternType="solid">
        <fgColor rgb="FFD1F6FF"/>
        <bgColor indexed="64"/>
      </patternFill>
    </fill>
    <fill>
      <patternFill patternType="solid">
        <fgColor rgb="FFB7F1FF"/>
        <bgColor indexed="64"/>
      </patternFill>
    </fill>
    <fill>
      <patternFill patternType="solid">
        <fgColor rgb="FFF3EEF6"/>
        <bgColor indexed="64"/>
      </patternFill>
    </fill>
    <fill>
      <patternFill patternType="solid">
        <fgColor rgb="FFE6DCEC"/>
        <bgColor indexed="64"/>
      </patternFill>
    </fill>
    <fill>
      <patternFill patternType="solid">
        <fgColor rgb="FFD7C6E0"/>
        <bgColor indexed="64"/>
      </patternFill>
    </fill>
    <fill>
      <patternFill patternType="solid">
        <fgColor rgb="FFC7E1B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E6FEEE"/>
        <bgColor indexed="64"/>
      </patternFill>
    </fill>
    <fill>
      <patternFill patternType="solid">
        <fgColor rgb="FFCAFEDB"/>
        <bgColor indexed="64"/>
      </patternFill>
    </fill>
    <fill>
      <patternFill patternType="solid">
        <fgColor rgb="FFACFEC7"/>
        <bgColor indexed="64"/>
      </patternFill>
    </fill>
    <fill>
      <patternFill patternType="solid">
        <fgColor rgb="FF8DFDB2"/>
        <bgColor indexed="64"/>
      </patternFill>
    </fill>
    <fill>
      <patternFill patternType="solid">
        <fgColor rgb="FF70FC9F"/>
        <bgColor indexed="64"/>
      </patternFill>
    </fill>
    <fill>
      <patternFill patternType="solid">
        <fgColor rgb="FFFBD8C5"/>
        <bgColor indexed="64"/>
      </patternFill>
    </fill>
    <fill>
      <patternFill patternType="solid">
        <fgColor theme="6" tint="0.59999389629810485"/>
        <bgColor indexed="64"/>
      </patternFill>
    </fill>
    <fill>
      <patternFill patternType="solid">
        <fgColor theme="7"/>
        <bgColor indexed="64"/>
      </patternFill>
    </fill>
    <fill>
      <patternFill patternType="solid">
        <fgColor theme="5"/>
        <bgColor indexed="64"/>
      </patternFill>
    </fill>
    <fill>
      <patternFill patternType="solid">
        <fgColor theme="4"/>
        <bgColor indexed="64"/>
      </patternFill>
    </fill>
    <fill>
      <patternFill patternType="solid">
        <fgColor rgb="FFFFEDB3"/>
        <bgColor indexed="64"/>
      </patternFill>
    </fill>
    <fill>
      <patternFill patternType="solid">
        <fgColor rgb="FFFFE79B"/>
        <bgColor indexed="64"/>
      </patternFill>
    </fill>
    <fill>
      <patternFill patternType="solid">
        <fgColor rgb="FFD0E4F4"/>
        <bgColor indexed="64"/>
      </patternFill>
    </fill>
    <fill>
      <patternFill patternType="solid">
        <fgColor rgb="FF00B0F0"/>
        <bgColor indexed="64"/>
      </patternFill>
    </fill>
    <fill>
      <patternFill patternType="solid">
        <fgColor rgb="FFEEE1F7"/>
        <bgColor indexed="64"/>
      </patternFill>
    </fill>
    <fill>
      <patternFill patternType="solid">
        <fgColor rgb="FFD8BEEC"/>
        <bgColor indexed="64"/>
      </patternFill>
    </fill>
    <fill>
      <patternFill patternType="solid">
        <fgColor rgb="FFD1E8FF"/>
        <bgColor indexed="64"/>
      </patternFill>
    </fill>
    <fill>
      <patternFill patternType="solid">
        <fgColor rgb="FFABD5FF"/>
        <bgColor indexed="64"/>
      </patternFill>
    </fill>
    <fill>
      <patternFill patternType="solid">
        <fgColor theme="8" tint="0.59999389629810485"/>
        <bgColor indexed="64"/>
      </patternFill>
    </fill>
    <fill>
      <patternFill patternType="solid">
        <fgColor rgb="FFCAF5BD"/>
        <bgColor indexed="64"/>
      </patternFill>
    </fill>
    <fill>
      <patternFill patternType="solid">
        <fgColor rgb="FFD1B2E8"/>
        <bgColor indexed="64"/>
      </patternFill>
    </fill>
    <fill>
      <patternFill patternType="solid">
        <fgColor theme="8" tint="0.39997558519241921"/>
        <bgColor indexed="64"/>
      </patternFill>
    </fill>
    <fill>
      <patternFill patternType="solid">
        <fgColor rgb="FFDEFFBD"/>
        <bgColor indexed="64"/>
      </patternFill>
    </fill>
    <fill>
      <patternFill patternType="solid">
        <fgColor rgb="FFF4ECFA"/>
        <bgColor indexed="64"/>
      </patternFill>
    </fill>
    <fill>
      <patternFill patternType="solid">
        <fgColor rgb="FFECFFD9"/>
        <bgColor indexed="64"/>
      </patternFill>
    </fill>
    <fill>
      <patternFill patternType="solid">
        <fgColor rgb="FFC5E2FF"/>
        <bgColor indexed="64"/>
      </patternFill>
    </fill>
    <fill>
      <patternFill patternType="solid">
        <fgColor rgb="FF93C9FF"/>
        <bgColor indexed="64"/>
      </patternFill>
    </fill>
    <fill>
      <patternFill patternType="solid">
        <fgColor rgb="FFE6D5F3"/>
        <bgColor indexed="64"/>
      </patternFill>
    </fill>
    <fill>
      <patternFill patternType="solid">
        <fgColor rgb="FFDEC7EF"/>
        <bgColor indexed="64"/>
      </patternFill>
    </fill>
    <fill>
      <patternFill patternType="solid">
        <fgColor theme="3" tint="0.79998168889431442"/>
        <bgColor indexed="64"/>
      </patternFill>
    </fill>
    <fill>
      <patternFill patternType="solid">
        <fgColor rgb="FFE1CCF0"/>
        <bgColor indexed="64"/>
      </patternFill>
    </fill>
    <fill>
      <patternFill patternType="solid">
        <fgColor rgb="FFC5FF8B"/>
        <bgColor indexed="64"/>
      </patternFill>
    </fill>
    <fill>
      <patternFill patternType="solid">
        <fgColor rgb="FFFF7C80"/>
        <bgColor indexed="64"/>
      </patternFill>
    </fill>
    <fill>
      <patternFill patternType="solid">
        <fgColor rgb="FFFF9999"/>
        <bgColor indexed="64"/>
      </patternFill>
    </fill>
    <fill>
      <patternFill patternType="solid">
        <fgColor rgb="FFFFCCCC"/>
        <bgColor indexed="64"/>
      </patternFill>
    </fill>
    <fill>
      <patternFill patternType="solid">
        <fgColor rgb="FFFFEDD1"/>
        <bgColor indexed="64"/>
      </patternFill>
    </fill>
    <fill>
      <patternFill patternType="solid">
        <fgColor theme="2" tint="-9.9978637043366805E-2"/>
        <bgColor indexed="64"/>
      </patternFill>
    </fill>
    <fill>
      <patternFill patternType="solid">
        <fgColor rgb="FFAFD7FF"/>
        <bgColor indexed="64"/>
      </patternFill>
    </fill>
    <fill>
      <patternFill patternType="solid">
        <fgColor rgb="FFC1E0FF"/>
        <bgColor indexed="64"/>
      </patternFill>
    </fill>
    <fill>
      <patternFill patternType="solid">
        <fgColor rgb="FFD9ECFF"/>
        <bgColor indexed="64"/>
      </patternFill>
    </fill>
    <fill>
      <patternFill patternType="solid">
        <fgColor rgb="FFEFE5F7"/>
        <bgColor indexed="64"/>
      </patternFill>
    </fill>
    <fill>
      <patternFill patternType="solid">
        <fgColor rgb="FFEFF6EA"/>
        <bgColor indexed="64"/>
      </patternFill>
    </fill>
    <fill>
      <patternFill patternType="solid">
        <fgColor rgb="FFFEF3E6"/>
        <bgColor indexed="64"/>
      </patternFill>
    </fill>
    <fill>
      <patternFill patternType="solid">
        <fgColor rgb="FFDAC5ED"/>
        <bgColor indexed="64"/>
      </patternFill>
    </fill>
    <fill>
      <patternFill patternType="solid">
        <fgColor rgb="FFCCFF99"/>
        <bgColor indexed="64"/>
      </patternFill>
    </fill>
    <fill>
      <patternFill patternType="solid">
        <fgColor rgb="FFE3D3F1"/>
        <bgColor indexed="64"/>
      </patternFill>
    </fill>
    <fill>
      <patternFill patternType="solid">
        <fgColor rgb="FFEB5FC3"/>
        <bgColor indexed="64"/>
      </patternFill>
    </fill>
    <fill>
      <patternFill patternType="solid">
        <fgColor rgb="FFFF5D5D"/>
        <bgColor indexed="64"/>
      </patternFill>
    </fill>
    <fill>
      <patternFill patternType="solid">
        <fgColor rgb="FFBF8F00"/>
        <bgColor indexed="64"/>
      </patternFill>
    </fill>
    <fill>
      <patternFill patternType="solid">
        <fgColor rgb="FFFFF2CC"/>
        <bgColor indexed="64"/>
      </patternFill>
    </fill>
    <fill>
      <patternFill patternType="solid">
        <fgColor rgb="FFC1F59D"/>
        <bgColor indexed="64"/>
      </patternFill>
    </fill>
    <fill>
      <patternFill patternType="solid">
        <fgColor rgb="FFD6F9BF"/>
        <bgColor indexed="64"/>
      </patternFill>
    </fill>
    <fill>
      <patternFill patternType="solid">
        <fgColor rgb="FFE9FCDC"/>
        <bgColor indexed="64"/>
      </patternFill>
    </fill>
    <fill>
      <patternFill patternType="solid">
        <fgColor theme="5" tint="-0.249977111117893"/>
        <bgColor rgb="FF007D40"/>
      </patternFill>
    </fill>
    <fill>
      <patternFill patternType="solid">
        <fgColor theme="0" tint="-0.14999847407452621"/>
        <bgColor rgb="FFC00000"/>
      </patternFill>
    </fill>
    <fill>
      <patternFill patternType="solid">
        <fgColor theme="7" tint="0.79998168889431442"/>
        <bgColor rgb="FFC00000"/>
      </patternFill>
    </fill>
    <fill>
      <patternFill patternType="solid">
        <fgColor theme="7" tint="0.79998168889431442"/>
        <bgColor rgb="FFD9D9D9"/>
      </patternFill>
    </fill>
    <fill>
      <patternFill patternType="solid">
        <fgColor theme="9"/>
        <bgColor indexed="64"/>
      </patternFill>
    </fill>
    <fill>
      <patternFill patternType="solid">
        <fgColor rgb="FFC6E0B4"/>
        <bgColor indexed="64"/>
      </patternFill>
    </fill>
    <fill>
      <patternFill patternType="solid">
        <fgColor rgb="FFD9E1F2"/>
        <bgColor indexed="64"/>
      </patternFill>
    </fill>
    <fill>
      <patternFill patternType="solid">
        <fgColor rgb="FFF3E4F6"/>
        <bgColor indexed="64"/>
      </patternFill>
    </fill>
    <fill>
      <patternFill patternType="solid">
        <fgColor rgb="FFE6E6EC"/>
        <bgColor indexed="64"/>
      </patternFill>
    </fill>
    <fill>
      <patternFill patternType="solid">
        <fgColor rgb="FFE6E6F6"/>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5" tint="-0.249977111117893"/>
        <bgColor indexed="64"/>
      </patternFill>
    </fill>
    <fill>
      <patternFill patternType="solid">
        <fgColor theme="4" tint="0.79995117038483843"/>
        <bgColor theme="2"/>
      </patternFill>
    </fill>
    <fill>
      <patternFill patternType="solid">
        <fgColor rgb="FFD9D9D9"/>
        <bgColor indexed="64"/>
      </patternFill>
    </fill>
  </fills>
  <borders count="49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top/>
      <bottom style="thin">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bottom style="medium">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top style="thin">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right style="thin">
        <color theme="0" tint="-0.2499465926084170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indexed="64"/>
      </left>
      <right style="thin">
        <color theme="0" tint="-0.24994659260841701"/>
      </right>
      <top/>
      <bottom/>
      <diagonal/>
    </border>
    <border>
      <left style="thin">
        <color theme="0" tint="-0.24994659260841701"/>
      </left>
      <right style="thin">
        <color theme="0" tint="-0.24994659260841701"/>
      </right>
      <top/>
      <bottom/>
      <diagonal/>
    </border>
    <border>
      <left style="thin">
        <color indexed="64"/>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indexed="64"/>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top style="thin">
        <color indexed="64"/>
      </top>
      <bottom style="thin">
        <color theme="0" tint="-0.24994659260841701"/>
      </bottom>
      <diagonal/>
    </border>
    <border>
      <left style="thin">
        <color indexed="64"/>
      </left>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bottom style="thin">
        <color theme="0" tint="-0.24994659260841701"/>
      </bottom>
      <diagonal/>
    </border>
    <border>
      <left/>
      <right/>
      <top/>
      <bottom style="thin">
        <color theme="0" tint="-0.24994659260841701"/>
      </bottom>
      <diagonal/>
    </border>
    <border>
      <left/>
      <right/>
      <top style="thin">
        <color theme="0" tint="-0.24994659260841701"/>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theme="0" tint="-0.24994659260841701"/>
      </right>
      <top style="thin">
        <color indexed="64"/>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indexed="64"/>
      </bottom>
      <diagonal/>
    </border>
    <border>
      <left style="thin">
        <color theme="0" tint="-0.499984740745262"/>
      </left>
      <right style="thin">
        <color theme="2" tint="-9.9948118533890809E-2"/>
      </right>
      <top style="thin">
        <color indexed="64"/>
      </top>
      <bottom style="thin">
        <color theme="0" tint="-0.499984740745262"/>
      </bottom>
      <diagonal/>
    </border>
    <border>
      <left style="thin">
        <color theme="0" tint="-0.499984740745262"/>
      </left>
      <right style="thin">
        <color theme="2" tint="-9.9948118533890809E-2"/>
      </right>
      <top style="thin">
        <color theme="0" tint="-0.499984740745262"/>
      </top>
      <bottom style="thin">
        <color theme="0" tint="-0.499984740745262"/>
      </bottom>
      <diagonal/>
    </border>
    <border>
      <left style="thin">
        <color theme="0" tint="-0.499984740745262"/>
      </left>
      <right style="thin">
        <color theme="2" tint="-9.9948118533890809E-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theme="0" tint="-0.499984740745262"/>
      </right>
      <top style="thin">
        <color indexed="64"/>
      </top>
      <bottom/>
      <diagonal/>
    </border>
    <border>
      <left style="thin">
        <color indexed="64"/>
      </left>
      <right style="thin">
        <color theme="0" tint="-0.499984740745262"/>
      </right>
      <top/>
      <bottom/>
      <diagonal/>
    </border>
    <border>
      <left style="thin">
        <color indexed="64"/>
      </left>
      <right style="thin">
        <color theme="0" tint="-0.499984740745262"/>
      </right>
      <top/>
      <bottom style="thin">
        <color indexed="64"/>
      </bottom>
      <diagonal/>
    </border>
    <border>
      <left style="thin">
        <color theme="0" tint="-0.34998626667073579"/>
      </left>
      <right style="thin">
        <color indexed="64"/>
      </right>
      <top style="thin">
        <color theme="0" tint="-0.34998626667073579"/>
      </top>
      <bottom style="thin">
        <color theme="0" tint="-0.34998626667073579"/>
      </bottom>
      <diagonal/>
    </border>
    <border>
      <left/>
      <right style="thin">
        <color indexed="64"/>
      </right>
      <top style="thin">
        <color indexed="64"/>
      </top>
      <bottom style="thin">
        <color theme="0" tint="-0.24994659260841701"/>
      </bottom>
      <diagonal/>
    </border>
    <border>
      <left/>
      <right style="thin">
        <color indexed="64"/>
      </right>
      <top style="thin">
        <color theme="0" tint="-0.24994659260841701"/>
      </top>
      <bottom style="thin">
        <color theme="0" tint="-0.24994659260841701"/>
      </bottom>
      <diagonal/>
    </border>
    <border>
      <left/>
      <right style="thin">
        <color indexed="64"/>
      </right>
      <top style="thin">
        <color theme="0" tint="-0.24994659260841701"/>
      </top>
      <bottom style="thin">
        <color indexed="64"/>
      </bottom>
      <diagonal/>
    </border>
    <border>
      <left style="thin">
        <color indexed="64"/>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theme="0" tint="-0.34998626667073579"/>
      </left>
      <right style="thin">
        <color indexed="64"/>
      </right>
      <top style="thin">
        <color indexed="64"/>
      </top>
      <bottom/>
      <diagonal/>
    </border>
    <border>
      <left style="thin">
        <color indexed="64"/>
      </left>
      <right style="thin">
        <color theme="0" tint="-0.34998626667073579"/>
      </right>
      <top/>
      <bottom/>
      <diagonal/>
    </border>
    <border>
      <left style="thin">
        <color theme="0" tint="-0.34998626667073579"/>
      </left>
      <right style="thin">
        <color theme="0" tint="-0.34998626667073579"/>
      </right>
      <top/>
      <bottom/>
      <diagonal/>
    </border>
    <border>
      <left style="thin">
        <color theme="0" tint="-0.34998626667073579"/>
      </left>
      <right style="thin">
        <color indexed="64"/>
      </right>
      <top/>
      <bottom/>
      <diagonal/>
    </border>
    <border>
      <left style="thin">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style="thin">
        <color indexed="64"/>
      </right>
      <top/>
      <bottom style="thin">
        <color indexed="64"/>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right style="thin">
        <color theme="0" tint="-0.24994659260841701"/>
      </right>
      <top style="thin">
        <color indexed="64"/>
      </top>
      <bottom/>
      <diagonal/>
    </border>
    <border>
      <left/>
      <right style="thin">
        <color theme="0" tint="-0.24994659260841701"/>
      </right>
      <top/>
      <bottom/>
      <diagonal/>
    </border>
    <border>
      <left/>
      <right style="thin">
        <color theme="0" tint="-0.24994659260841701"/>
      </right>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bottom style="thin">
        <color theme="0" tint="-0.499984740745262"/>
      </bottom>
      <diagonal/>
    </border>
    <border>
      <left style="thin">
        <color theme="0" tint="-0.24994659260841701"/>
      </left>
      <right/>
      <top style="thin">
        <color indexed="64"/>
      </top>
      <bottom/>
      <diagonal/>
    </border>
    <border>
      <left style="thin">
        <color theme="0" tint="-0.24994659260841701"/>
      </left>
      <right/>
      <top/>
      <bottom/>
      <diagonal/>
    </border>
    <border>
      <left style="thin">
        <color theme="0" tint="-0.24994659260841701"/>
      </left>
      <right/>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499984740745262"/>
      </bottom>
      <diagonal/>
    </border>
    <border>
      <left style="thin">
        <color theme="0" tint="-0.24994659260841701"/>
      </left>
      <right style="thin">
        <color indexed="64"/>
      </right>
      <top/>
      <bottom style="thin">
        <color theme="0" tint="-0.499984740745262"/>
      </bottom>
      <diagonal/>
    </border>
    <border>
      <left style="thin">
        <color theme="0" tint="-0.24994659260841701"/>
      </left>
      <right style="thin">
        <color indexed="64"/>
      </right>
      <top/>
      <bottom style="thin">
        <color indexed="64"/>
      </bottom>
      <diagonal/>
    </border>
    <border>
      <left style="thin">
        <color theme="0" tint="-0.24994659260841701"/>
      </left>
      <right style="thin">
        <color indexed="64"/>
      </right>
      <top style="thin">
        <color indexed="64"/>
      </top>
      <bottom/>
      <diagonal/>
    </border>
    <border>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right style="thin">
        <color theme="0" tint="-0.24994659260841701"/>
      </right>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theme="0" tint="-0.24994659260841701"/>
      </left>
      <right/>
      <top/>
      <bottom style="thin">
        <color theme="0" tint="-0.499984740745262"/>
      </bottom>
      <diagonal/>
    </border>
    <border>
      <left style="thin">
        <color indexed="64"/>
      </left>
      <right style="thin">
        <color indexed="64"/>
      </right>
      <top/>
      <bottom style="thin">
        <color theme="0" tint="-0.499984740745262"/>
      </bottom>
      <diagonal/>
    </border>
    <border>
      <left style="thin">
        <color theme="0" tint="-0.24994659260841701"/>
      </left>
      <right style="thin">
        <color theme="0" tint="-0.34998626667073579"/>
      </right>
      <top style="thin">
        <color indexed="64"/>
      </top>
      <bottom style="thin">
        <color theme="0" tint="-0.24994659260841701"/>
      </bottom>
      <diagonal/>
    </border>
    <border>
      <left style="thin">
        <color theme="0" tint="-0.34998626667073579"/>
      </left>
      <right style="thin">
        <color theme="0" tint="-0.34998626667073579"/>
      </right>
      <top style="thin">
        <color indexed="64"/>
      </top>
      <bottom style="thin">
        <color theme="0" tint="-0.24994659260841701"/>
      </bottom>
      <diagonal/>
    </border>
    <border>
      <left style="thin">
        <color theme="0" tint="-0.34998626667073579"/>
      </left>
      <right style="thin">
        <color indexed="64"/>
      </right>
      <top style="thin">
        <color indexed="64"/>
      </top>
      <bottom style="thin">
        <color theme="0" tint="-0.24994659260841701"/>
      </bottom>
      <diagonal/>
    </border>
    <border>
      <left style="thin">
        <color theme="0" tint="-0.24994659260841701"/>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style="thin">
        <color indexed="64"/>
      </right>
      <top style="thin">
        <color theme="0" tint="-0.24994659260841701"/>
      </top>
      <bottom style="thin">
        <color theme="0" tint="-0.24994659260841701"/>
      </bottom>
      <diagonal/>
    </border>
    <border>
      <left style="thin">
        <color theme="0" tint="-0.24994659260841701"/>
      </left>
      <right style="thin">
        <color theme="0" tint="-0.34998626667073579"/>
      </right>
      <top style="thin">
        <color theme="0" tint="-0.24994659260841701"/>
      </top>
      <bottom style="thin">
        <color indexed="64"/>
      </bottom>
      <diagonal/>
    </border>
    <border>
      <left style="thin">
        <color theme="0" tint="-0.34998626667073579"/>
      </left>
      <right style="thin">
        <color theme="0" tint="-0.34998626667073579"/>
      </right>
      <top style="thin">
        <color theme="0" tint="-0.24994659260841701"/>
      </top>
      <bottom style="thin">
        <color indexed="64"/>
      </bottom>
      <diagonal/>
    </border>
    <border>
      <left style="thin">
        <color theme="0" tint="-0.34998626667073579"/>
      </left>
      <right style="thin">
        <color indexed="64"/>
      </right>
      <top style="thin">
        <color theme="0" tint="-0.24994659260841701"/>
      </top>
      <bottom style="thin">
        <color indexed="64"/>
      </bottom>
      <diagonal/>
    </border>
    <border>
      <left/>
      <right style="thin">
        <color indexed="64"/>
      </right>
      <top style="thin">
        <color indexed="64"/>
      </top>
      <bottom/>
      <diagonal/>
    </border>
    <border>
      <left style="thin">
        <color indexed="64"/>
      </left>
      <right style="thin">
        <color indexed="64"/>
      </right>
      <top style="thin">
        <color theme="0" tint="-0.24994659260841701"/>
      </top>
      <bottom/>
      <diagonal/>
    </border>
    <border>
      <left style="thin">
        <color theme="0" tint="-0.34998626667073579"/>
      </left>
      <right style="thin">
        <color indexed="64"/>
      </right>
      <top/>
      <bottom style="thin">
        <color theme="0" tint="-0.24994659260841701"/>
      </bottom>
      <diagonal/>
    </border>
    <border>
      <left style="thin">
        <color theme="0" tint="-0.34998626667073579"/>
      </left>
      <right style="thin">
        <color indexed="64"/>
      </right>
      <top style="thin">
        <color theme="0" tint="-0.24994659260841701"/>
      </top>
      <bottom/>
      <diagonal/>
    </border>
    <border>
      <left/>
      <right style="thin">
        <color indexed="64"/>
      </right>
      <top/>
      <bottom style="thin">
        <color theme="0" tint="-0.24994659260841701"/>
      </bottom>
      <diagonal/>
    </border>
    <border>
      <left/>
      <right style="thin">
        <color theme="0" tint="-0.499984740745262"/>
      </right>
      <top style="thin">
        <color indexed="64"/>
      </top>
      <bottom/>
      <diagonal/>
    </border>
    <border>
      <left/>
      <right style="thin">
        <color theme="0" tint="-0.499984740745262"/>
      </right>
      <top/>
      <bottom/>
      <diagonal/>
    </border>
    <border>
      <left/>
      <right style="thin">
        <color theme="0" tint="-0.499984740745262"/>
      </right>
      <top/>
      <bottom style="thin">
        <color indexed="64"/>
      </bottom>
      <diagonal/>
    </border>
    <border>
      <left style="thin">
        <color theme="0" tint="-0.24994659260841701"/>
      </left>
      <right style="thin">
        <color theme="0" tint="-0.34998626667073579"/>
      </right>
      <top style="thin">
        <color theme="0" tint="-0.24994659260841701"/>
      </top>
      <bottom/>
      <diagonal/>
    </border>
    <border>
      <left style="thin">
        <color theme="0" tint="-0.24994659260841701"/>
      </left>
      <right style="thin">
        <color theme="0" tint="-0.34998626667073579"/>
      </right>
      <top/>
      <bottom style="thin">
        <color theme="0" tint="-0.24994659260841701"/>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9" tint="-0.499984740745262"/>
      </top>
      <bottom style="thin">
        <color theme="0" tint="-0.34998626667073579"/>
      </bottom>
      <diagonal/>
    </border>
    <border>
      <left style="thin">
        <color theme="0" tint="-0.34998626667073579"/>
      </left>
      <right/>
      <top style="thin">
        <color theme="9" tint="-0.499984740745262"/>
      </top>
      <bottom style="thin">
        <color theme="0" tint="-0.34998626667073579"/>
      </bottom>
      <diagonal/>
    </border>
    <border>
      <left style="thin">
        <color theme="0" tint="-0.34998626667073579"/>
      </left>
      <right style="thin">
        <color theme="0" tint="-0.34998626667073579"/>
      </right>
      <top style="thin">
        <color theme="9" tint="-0.499984740745262"/>
      </top>
      <bottom/>
      <diagonal/>
    </border>
    <border>
      <left style="thin">
        <color theme="0" tint="-0.34998626667073579"/>
      </left>
      <right/>
      <top style="thin">
        <color theme="9" tint="-0.499984740745262"/>
      </top>
      <bottom/>
      <diagonal/>
    </border>
    <border>
      <left style="thin">
        <color theme="0" tint="-0.34998626667073579"/>
      </left>
      <right style="thin">
        <color theme="0" tint="-0.34998626667073579"/>
      </right>
      <top style="thin">
        <color theme="0" tint="-0.24994659260841701"/>
      </top>
      <bottom/>
      <diagonal/>
    </border>
    <border>
      <left style="thin">
        <color theme="0" tint="-0.34998626667073579"/>
      </left>
      <right/>
      <top/>
      <bottom/>
      <diagonal/>
    </border>
    <border>
      <left style="thin">
        <color theme="0" tint="-0.34998626667073579"/>
      </left>
      <right style="thin">
        <color theme="0" tint="-0.34998626667073579"/>
      </right>
      <top style="thin">
        <color theme="9" tint="-0.499984740745262"/>
      </top>
      <bottom style="thin">
        <color theme="0" tint="-0.24994659260841701"/>
      </bottom>
      <diagonal/>
    </border>
    <border>
      <left style="thin">
        <color theme="0" tint="-0.34998626667073579"/>
      </left>
      <right/>
      <top style="thin">
        <color theme="9" tint="-0.499984740745262"/>
      </top>
      <bottom style="thin">
        <color theme="0" tint="-0.24994659260841701"/>
      </bottom>
      <diagonal/>
    </border>
    <border>
      <left style="thin">
        <color theme="0" tint="-0.34998626667073579"/>
      </left>
      <right/>
      <top style="thin">
        <color indexed="64"/>
      </top>
      <bottom style="thin">
        <color theme="0" tint="-0.34998626667073579"/>
      </bottom>
      <diagonal/>
    </border>
    <border>
      <left style="thin">
        <color theme="0" tint="-0.34998626667073579"/>
      </left>
      <right/>
      <top style="thin">
        <color theme="0" tint="-0.34998626667073579"/>
      </top>
      <bottom style="thin">
        <color indexed="64"/>
      </bottom>
      <diagonal/>
    </border>
    <border>
      <left style="medium">
        <color indexed="64"/>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medium">
        <color indexed="64"/>
      </left>
      <right style="thin">
        <color theme="0" tint="-0.34998626667073579"/>
      </right>
      <top style="thin">
        <color theme="9" tint="-0.499984740745262"/>
      </top>
      <bottom style="thin">
        <color theme="0" tint="-0.34998626667073579"/>
      </bottom>
      <diagonal/>
    </border>
    <border>
      <left style="medium">
        <color indexed="64"/>
      </left>
      <right style="thin">
        <color theme="0" tint="-0.34998626667073579"/>
      </right>
      <top style="thin">
        <color theme="9" tint="-0.499984740745262"/>
      </top>
      <bottom/>
      <diagonal/>
    </border>
    <border>
      <left style="medium">
        <color indexed="64"/>
      </left>
      <right style="thin">
        <color theme="0" tint="-0.34998626667073579"/>
      </right>
      <top style="thin">
        <color theme="9" tint="-0.499984740745262"/>
      </top>
      <bottom style="thin">
        <color theme="0" tint="-0.24994659260841701"/>
      </bottom>
      <diagonal/>
    </border>
    <border>
      <left style="medium">
        <color indexed="64"/>
      </left>
      <right style="thin">
        <color theme="0" tint="-0.34998626667073579"/>
      </right>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top style="thin">
        <color theme="0" tint="-0.34998626667073579"/>
      </top>
      <bottom style="medium">
        <color indexed="64"/>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medium">
        <color indexed="64"/>
      </left>
      <right style="thin">
        <color theme="0" tint="-0.34998626667073579"/>
      </right>
      <top style="thin">
        <color theme="0" tint="-0.34998626667073579"/>
      </top>
      <bottom style="thin">
        <color indexed="64"/>
      </bottom>
      <diagonal/>
    </border>
    <border>
      <left style="medium">
        <color indexed="64"/>
      </left>
      <right style="thin">
        <color theme="0" tint="-0.34998626667073579"/>
      </right>
      <top style="thin">
        <color indexed="64"/>
      </top>
      <bottom style="thin">
        <color theme="0" tint="-0.34998626667073579"/>
      </bottom>
      <diagonal/>
    </border>
    <border>
      <left/>
      <right style="thin">
        <color indexed="64"/>
      </right>
      <top style="thin">
        <color theme="0" tint="-0.24994659260841701"/>
      </top>
      <bottom/>
      <diagonal/>
    </border>
    <border>
      <left style="thin">
        <color theme="0" tint="-0.24994659260841701"/>
      </left>
      <right style="thin">
        <color indexed="64"/>
      </right>
      <top/>
      <bottom/>
      <diagonal/>
    </border>
    <border>
      <left/>
      <right style="thin">
        <color theme="0" tint="-0.24994659260841701"/>
      </right>
      <top/>
      <bottom style="thin">
        <color theme="0" tint="-0.24994659260841701"/>
      </bottom>
      <diagonal/>
    </border>
    <border>
      <left style="thin">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medium">
        <color indexed="64"/>
      </right>
      <top style="thin">
        <color theme="0" tint="-0.34998626667073579"/>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medium">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style="thin">
        <color indexed="64"/>
      </left>
      <right style="thin">
        <color theme="0" tint="-0.34998626667073579"/>
      </right>
      <top style="thin">
        <color theme="0" tint="-0.34998626667073579"/>
      </top>
      <bottom style="thin">
        <color theme="1"/>
      </bottom>
      <diagonal/>
    </border>
    <border>
      <left style="thin">
        <color theme="0" tint="-0.34998626667073579"/>
      </left>
      <right style="thin">
        <color theme="0" tint="-0.34998626667073579"/>
      </right>
      <top style="thin">
        <color theme="0" tint="-0.34998626667073579"/>
      </top>
      <bottom style="thin">
        <color theme="1"/>
      </bottom>
      <diagonal/>
    </border>
    <border>
      <left style="thin">
        <color theme="0" tint="-0.34998626667073579"/>
      </left>
      <right style="medium">
        <color indexed="64"/>
      </right>
      <top style="thin">
        <color theme="0" tint="-0.34998626667073579"/>
      </top>
      <bottom style="thin">
        <color theme="1"/>
      </bottom>
      <diagonal/>
    </border>
    <border>
      <left style="thin">
        <color indexed="64"/>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medium">
        <color indexed="64"/>
      </right>
      <top style="thin">
        <color indexed="64"/>
      </top>
      <bottom style="thin">
        <color indexed="64"/>
      </bottom>
      <diagonal/>
    </border>
    <border>
      <left style="thin">
        <color indexed="64"/>
      </left>
      <right style="thin">
        <color theme="0" tint="-0.34998626667073579"/>
      </right>
      <top style="thin">
        <color indexed="64"/>
      </top>
      <bottom style="medium">
        <color indexed="64"/>
      </bottom>
      <diagonal/>
    </border>
    <border>
      <left style="thin">
        <color theme="0" tint="-0.34998626667073579"/>
      </left>
      <right style="thin">
        <color theme="0" tint="-0.34998626667073579"/>
      </right>
      <top style="thin">
        <color indexed="64"/>
      </top>
      <bottom style="medium">
        <color indexed="64"/>
      </bottom>
      <diagonal/>
    </border>
    <border>
      <left style="thin">
        <color theme="0" tint="-0.34998626667073579"/>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indexed="64"/>
      </bottom>
      <diagonal/>
    </border>
    <border>
      <left/>
      <right style="thin">
        <color theme="0" tint="-0.34998626667073579"/>
      </right>
      <top style="thin">
        <color indexed="64"/>
      </top>
      <bottom style="thin">
        <color theme="0" tint="-0.34998626667073579"/>
      </bottom>
      <diagonal/>
    </border>
    <border>
      <left/>
      <right style="thin">
        <color theme="0" tint="-0.34998626667073579"/>
      </right>
      <top style="thin">
        <color theme="0" tint="-0.34998626667073579"/>
      </top>
      <bottom/>
      <diagonal/>
    </border>
    <border>
      <left/>
      <right style="thin">
        <color theme="0" tint="-0.34998626667073579"/>
      </right>
      <top style="thin">
        <color theme="9" tint="-0.499984740745262"/>
      </top>
      <bottom style="thin">
        <color theme="0" tint="-0.34998626667073579"/>
      </bottom>
      <diagonal/>
    </border>
    <border>
      <left/>
      <right style="thin">
        <color theme="0" tint="-0.34998626667073579"/>
      </right>
      <top style="thin">
        <color theme="9" tint="-0.499984740745262"/>
      </top>
      <bottom/>
      <diagonal/>
    </border>
    <border>
      <left/>
      <right style="thin">
        <color theme="0" tint="-0.34998626667073579"/>
      </right>
      <top style="thin">
        <color theme="9" tint="-0.499984740745262"/>
      </top>
      <bottom style="thin">
        <color theme="0" tint="-0.24994659260841701"/>
      </bottom>
      <diagonal/>
    </border>
    <border>
      <left/>
      <right/>
      <top style="thin">
        <color theme="0" tint="-0.34998626667073579"/>
      </top>
      <bottom/>
      <diagonal/>
    </border>
    <border>
      <left/>
      <right style="thin">
        <color theme="0" tint="-0.34998626667073579"/>
      </right>
      <top/>
      <bottom/>
      <diagonal/>
    </border>
    <border>
      <left/>
      <right style="thin">
        <color theme="0" tint="-0.34998626667073579"/>
      </right>
      <top style="thin">
        <color theme="0" tint="-0.34998626667073579"/>
      </top>
      <bottom style="medium">
        <color indexed="64"/>
      </bottom>
      <diagonal/>
    </border>
    <border>
      <left style="thin">
        <color theme="0" tint="-0.24994659260841701"/>
      </left>
      <right style="thin">
        <color theme="0" tint="-0.34998626667073579"/>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tint="-0.24994659260841701"/>
      </left>
      <right/>
      <top style="thin">
        <color theme="0" tint="-0.24994659260841701"/>
      </top>
      <bottom/>
      <diagonal/>
    </border>
    <border>
      <left style="thin">
        <color indexed="64"/>
      </left>
      <right/>
      <top style="thin">
        <color theme="0" tint="-0.2499465926084170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theme="1"/>
      </bottom>
      <diagonal/>
    </border>
    <border>
      <left style="thin">
        <color theme="0" tint="-0.24994659260841701"/>
      </left>
      <right style="thin">
        <color theme="0" tint="-0.24994659260841701"/>
      </right>
      <top style="thin">
        <color indexed="64"/>
      </top>
      <bottom style="thin">
        <color theme="1"/>
      </bottom>
      <diagonal/>
    </border>
    <border>
      <left style="thin">
        <color theme="0" tint="-0.24994659260841701"/>
      </left>
      <right style="thin">
        <color indexed="64"/>
      </right>
      <top style="thin">
        <color indexed="64"/>
      </top>
      <bottom style="thin">
        <color theme="1"/>
      </bottom>
      <diagonal/>
    </border>
    <border>
      <left style="thin">
        <color indexed="22"/>
      </left>
      <right style="thin">
        <color indexed="64"/>
      </right>
      <top style="thin">
        <color indexed="22"/>
      </top>
      <bottom style="thin">
        <color indexed="22"/>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top style="thin">
        <color indexed="64"/>
      </top>
      <bottom/>
      <diagonal/>
    </border>
    <border>
      <left style="thin">
        <color theme="0" tint="-0.249977111117893"/>
      </left>
      <right style="thin">
        <color indexed="64"/>
      </right>
      <top style="thin">
        <color indexed="64"/>
      </top>
      <bottom style="thin">
        <color theme="0" tint="-0.249977111117893"/>
      </bottom>
      <diagonal/>
    </border>
    <border>
      <left/>
      <right style="thin">
        <color theme="0" tint="-0.249977111117893"/>
      </right>
      <top style="thin">
        <color auto="1"/>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right style="thin">
        <color indexed="64"/>
      </right>
      <top style="thin">
        <color indexed="64"/>
      </top>
      <bottom/>
      <diagonal/>
    </border>
    <border>
      <left style="thin">
        <color theme="0" tint="-0.249977111117893"/>
      </left>
      <right style="thin">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4659260841701"/>
      </left>
      <right/>
      <top style="thin">
        <color theme="0" tint="-0.249977111117893"/>
      </top>
      <bottom/>
      <diagonal/>
    </border>
    <border>
      <left style="thin">
        <color theme="0" tint="-0.249977111117893"/>
      </left>
      <right style="thin">
        <color indexed="64"/>
      </right>
      <top style="thin">
        <color theme="0" tint="-0.249977111117893"/>
      </top>
      <bottom style="thin">
        <color indexed="64"/>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indexed="64"/>
      </left>
      <right/>
      <top/>
      <bottom style="thin">
        <color theme="0" tint="-0.24994659260841701"/>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4659260841701"/>
      </left>
      <right/>
      <top/>
      <bottom style="thin">
        <color theme="0" tint="-0.249977111117893"/>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diagonal/>
    </border>
    <border>
      <left/>
      <right style="thin">
        <color theme="0" tint="-0.24994659260841701"/>
      </right>
      <top style="thin">
        <color theme="0" tint="-0.24994659260841701"/>
      </top>
      <bottom/>
      <diagonal/>
    </border>
    <border>
      <left/>
      <right style="thin">
        <color theme="0" tint="-0.249977111117893"/>
      </right>
      <top style="thin">
        <color auto="1"/>
      </top>
      <bottom style="thin">
        <color theme="0" tint="-0.249977111117893"/>
      </bottom>
      <diagonal/>
    </border>
    <border>
      <left style="thin">
        <color theme="0" tint="-0.249977111117893"/>
      </left>
      <right style="thin">
        <color theme="0" tint="-0.24994659260841701"/>
      </right>
      <top/>
      <bottom style="thin">
        <color indexed="64"/>
      </bottom>
      <diagonal/>
    </border>
    <border>
      <left style="thin">
        <color theme="0" tint="-0.249977111117893"/>
      </left>
      <right/>
      <top style="thin">
        <color indexed="64"/>
      </top>
      <bottom/>
      <diagonal/>
    </border>
    <border>
      <left style="thin">
        <color theme="0" tint="-0.249977111117893"/>
      </left>
      <right/>
      <top/>
      <bottom/>
      <diagonal/>
    </border>
    <border>
      <left style="thin">
        <color theme="0" tint="-0.249977111117893"/>
      </left>
      <right/>
      <top/>
      <bottom style="thin">
        <color indexed="64"/>
      </bottom>
      <diagonal/>
    </border>
    <border>
      <left style="thin">
        <color indexed="64"/>
      </left>
      <right style="thin">
        <color theme="0" tint="-0.249977111117893"/>
      </right>
      <top style="thin">
        <color indexed="64"/>
      </top>
      <bottom/>
      <diagonal/>
    </border>
    <border>
      <left/>
      <right style="thin">
        <color theme="0" tint="-0.249977111117893"/>
      </right>
      <top style="thin">
        <color indexed="64"/>
      </top>
      <bottom/>
      <diagonal/>
    </border>
    <border>
      <left style="thin">
        <color theme="0" tint="-0.249977111117893"/>
      </left>
      <right style="thin">
        <color theme="0" tint="-0.249977111117893"/>
      </right>
      <top style="thin">
        <color indexed="64"/>
      </top>
      <bottom/>
      <diagonal/>
    </border>
    <border>
      <left style="thin">
        <color indexed="64"/>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bottom/>
      <diagonal/>
    </border>
    <border>
      <left style="thin">
        <color theme="0" tint="-0.249977111117893"/>
      </left>
      <right/>
      <top/>
      <bottom style="thin">
        <color theme="0" tint="-0.249977111117893"/>
      </bottom>
      <diagonal/>
    </border>
    <border>
      <left style="thin">
        <color indexed="64"/>
      </left>
      <right style="thin">
        <color theme="0" tint="-0.249977111117893"/>
      </right>
      <top/>
      <bottom style="thin">
        <color indexed="64"/>
      </bottom>
      <diagonal/>
    </border>
    <border>
      <left/>
      <right style="thin">
        <color theme="0" tint="-0.249977111117893"/>
      </right>
      <top/>
      <bottom style="thin">
        <color indexed="64"/>
      </bottom>
      <diagonal/>
    </border>
    <border>
      <left style="thin">
        <color theme="0" tint="-0.249977111117893"/>
      </left>
      <right style="thin">
        <color theme="0" tint="-0.249977111117893"/>
      </right>
      <top/>
      <bottom style="thin">
        <color indexed="64"/>
      </bottom>
      <diagonal/>
    </border>
    <border>
      <left/>
      <right style="thin">
        <color theme="0" tint="-0.24994659260841701"/>
      </right>
      <top style="thin">
        <color indexed="64"/>
      </top>
      <bottom/>
      <diagonal/>
    </border>
    <border>
      <left style="thin">
        <color indexed="64"/>
      </left>
      <right style="thin">
        <color theme="0" tint="-0.249977111117893"/>
      </right>
      <top style="thin">
        <color theme="0" tint="-0.24994659260841701"/>
      </top>
      <bottom style="thin">
        <color theme="0" tint="-0.249977111117893"/>
      </bottom>
      <diagonal/>
    </border>
    <border>
      <left style="thin">
        <color theme="0" tint="-0.24994659260841701"/>
      </left>
      <right/>
      <top style="thin">
        <color theme="0" tint="-0.14999847407452621"/>
      </top>
      <bottom/>
      <diagonal/>
    </border>
    <border>
      <left style="thin">
        <color theme="0" tint="-0.249977111117893"/>
      </left>
      <right style="thin">
        <color theme="0" tint="-0.24994659260841701"/>
      </right>
      <top/>
      <bottom/>
      <diagonal/>
    </border>
    <border>
      <left/>
      <right/>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indexed="64"/>
      </right>
      <top/>
      <bottom/>
      <diagonal/>
    </border>
    <border>
      <left style="thin">
        <color indexed="64"/>
      </left>
      <right style="thin">
        <color theme="0" tint="-0.249977111117893"/>
      </right>
      <top style="thin">
        <color auto="1"/>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auto="1"/>
      </right>
      <top/>
      <bottom style="thin">
        <color indexed="64"/>
      </bottom>
      <diagonal/>
    </border>
    <border>
      <left style="thin">
        <color theme="0" tint="-0.249977111117893"/>
      </left>
      <right/>
      <top style="thin">
        <color theme="0" tint="-0.249977111117893"/>
      </top>
      <bottom style="thin">
        <color theme="0" tint="-0.249977111117893"/>
      </bottom>
      <diagonal/>
    </border>
    <border>
      <left style="thin">
        <color theme="0" tint="-0.24994659260841701"/>
      </left>
      <right style="thin">
        <color theme="0" tint="-0.249977111117893"/>
      </right>
      <top/>
      <bottom/>
      <diagonal/>
    </border>
    <border>
      <left style="thin">
        <color theme="0" tint="-0.24994659260841701"/>
      </left>
      <right/>
      <top/>
      <bottom style="thin">
        <color theme="0" tint="-0.14999847407452621"/>
      </bottom>
      <diagonal/>
    </border>
    <border>
      <left/>
      <right style="thin">
        <color indexed="64"/>
      </right>
      <top style="thin">
        <color indexed="64"/>
      </top>
      <bottom style="thin">
        <color theme="0" tint="-0.249977111117893"/>
      </bottom>
      <diagonal/>
    </border>
    <border>
      <left style="thin">
        <color indexed="64"/>
      </left>
      <right style="thin">
        <color indexed="64"/>
      </right>
      <top style="thin">
        <color indexed="64"/>
      </top>
      <bottom style="thin">
        <color theme="0" tint="-0.249977111117893"/>
      </bottom>
      <diagonal/>
    </border>
    <border>
      <left style="thin">
        <color indexed="64"/>
      </left>
      <right/>
      <top style="thin">
        <color indexed="64"/>
      </top>
      <bottom style="thin">
        <color theme="0" tint="-0.249977111117893"/>
      </bottom>
      <diagonal/>
    </border>
    <border>
      <left/>
      <right style="thin">
        <color theme="0" tint="-0.24994659260841701"/>
      </right>
      <top style="thin">
        <color theme="0" tint="-0.24994659260841701"/>
      </top>
      <bottom style="thin">
        <color theme="0" tint="-0.249977111117893"/>
      </bottom>
      <diagonal/>
    </border>
    <border>
      <left style="thin">
        <color theme="0" tint="-0.24994659260841701"/>
      </left>
      <right/>
      <top style="thin">
        <color theme="0" tint="-0.24994659260841701"/>
      </top>
      <bottom style="thin">
        <color theme="0" tint="-0.249977111117893"/>
      </bottom>
      <diagonal/>
    </border>
    <border>
      <left style="thin">
        <color theme="0" tint="-0.24994659260841701"/>
      </left>
      <right style="thin">
        <color indexed="64"/>
      </right>
      <top style="thin">
        <color theme="0" tint="-0.24994659260841701"/>
      </top>
      <bottom style="thin">
        <color theme="0" tint="-0.249977111117893"/>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indexed="64"/>
      </top>
      <bottom style="thin">
        <color theme="0" tint="-0.24994659260841701"/>
      </bottom>
      <diagonal/>
    </border>
    <border>
      <left/>
      <right style="thin">
        <color indexed="64"/>
      </right>
      <top/>
      <bottom style="thin">
        <color theme="0" tint="-0.249977111117893"/>
      </bottom>
      <diagonal/>
    </border>
    <border>
      <left style="thin">
        <color indexed="64"/>
      </left>
      <right style="thin">
        <color theme="0" tint="-0.24994659260841701"/>
      </right>
      <top/>
      <bottom style="thin">
        <color theme="1"/>
      </bottom>
      <diagonal/>
    </border>
    <border>
      <left style="thin">
        <color theme="0" tint="-0.24994659260841701"/>
      </left>
      <right style="thin">
        <color theme="0" tint="-0.24994659260841701"/>
      </right>
      <top/>
      <bottom style="thin">
        <color theme="1"/>
      </bottom>
      <diagonal/>
    </border>
    <border>
      <left style="thin">
        <color theme="0" tint="-0.24994659260841701"/>
      </left>
      <right/>
      <top/>
      <bottom style="thin">
        <color theme="1"/>
      </bottom>
      <diagonal/>
    </border>
    <border>
      <left style="thin">
        <color indexed="64"/>
      </left>
      <right style="thin">
        <color indexed="64"/>
      </right>
      <top style="thin">
        <color theme="0" tint="-0.24994659260841701"/>
      </top>
      <bottom style="thin">
        <color theme="1"/>
      </bottom>
      <diagonal/>
    </border>
    <border>
      <left style="thin">
        <color theme="0" tint="-0.249977111117893"/>
      </left>
      <right style="thin">
        <color indexed="64"/>
      </right>
      <top style="thin">
        <color theme="0" tint="-0.249977111117893"/>
      </top>
      <bottom style="thin">
        <color theme="1"/>
      </bottom>
      <diagonal/>
    </border>
    <border>
      <left/>
      <right style="thin">
        <color theme="0" tint="-0.24994659260841701"/>
      </right>
      <top/>
      <bottom style="thin">
        <color theme="1"/>
      </bottom>
      <diagonal/>
    </border>
    <border>
      <left style="thin">
        <color theme="0" tint="-0.24994659260841701"/>
      </left>
      <right style="thin">
        <color auto="1"/>
      </right>
      <top/>
      <bottom style="thin">
        <color theme="1"/>
      </bottom>
      <diagonal/>
    </border>
    <border>
      <left style="thin">
        <color indexed="64"/>
      </left>
      <right style="thin">
        <color theme="0" tint="-0.249977111117893"/>
      </right>
      <top style="thin">
        <color theme="0" tint="-0.249977111117893"/>
      </top>
      <bottom style="thin">
        <color theme="1"/>
      </bottom>
      <diagonal/>
    </border>
    <border>
      <left style="thin">
        <color indexed="64"/>
      </left>
      <right style="thin">
        <color theme="0" tint="-0.249977111117893"/>
      </right>
      <top style="thin">
        <color theme="0" tint="-0.24994659260841701"/>
      </top>
      <bottom style="thin">
        <color theme="0" tint="-0.24994659260841701"/>
      </bottom>
      <diagonal/>
    </border>
    <border>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4659260841701"/>
      </top>
      <bottom/>
      <diagonal/>
    </border>
    <border>
      <left style="thin">
        <color indexed="64"/>
      </left>
      <right style="thin">
        <color theme="0" tint="-0.249977111117893"/>
      </right>
      <top style="thin">
        <color theme="0" tint="-0.249977111117893"/>
      </top>
      <bottom style="thin">
        <color theme="0" tint="-0.24994659260841701"/>
      </bottom>
      <diagonal/>
    </border>
    <border>
      <left style="thin">
        <color indexed="64"/>
      </left>
      <right style="thin">
        <color theme="0" tint="-0.249977111117893"/>
      </right>
      <top style="thin">
        <color theme="0" tint="-0.24994659260841701"/>
      </top>
      <bottom style="thin">
        <color indexed="64"/>
      </bottom>
      <diagonal/>
    </border>
    <border>
      <left/>
      <right style="thin">
        <color indexed="64"/>
      </right>
      <top style="thin">
        <color theme="0" tint="-0.249977111117893"/>
      </top>
      <bottom style="thin">
        <color indexed="64"/>
      </bottom>
      <diagonal/>
    </border>
    <border>
      <left style="thin">
        <color indexed="64"/>
      </left>
      <right style="thin">
        <color theme="0" tint="-0.249977111117893"/>
      </right>
      <top/>
      <bottom style="thin">
        <color theme="0" tint="-0.24994659260841701"/>
      </bottom>
      <diagonal/>
    </border>
    <border>
      <left style="thin">
        <color theme="0" tint="-0.249977111117893"/>
      </left>
      <right style="thin">
        <color indexed="64"/>
      </right>
      <top style="thin">
        <color indexed="64"/>
      </top>
      <bottom/>
      <diagonal/>
    </border>
    <border>
      <left style="thin">
        <color indexed="64"/>
      </left>
      <right style="thin">
        <color indexed="64"/>
      </right>
      <top style="thin">
        <color theme="0" tint="-0.249977111117893"/>
      </top>
      <bottom style="thin">
        <color theme="0" tint="-0.249977111117893"/>
      </bottom>
      <diagonal/>
    </border>
    <border>
      <left style="thin">
        <color theme="0" tint="-0.24994659260841701"/>
      </left>
      <right style="thin">
        <color indexed="64"/>
      </right>
      <top style="thin">
        <color theme="0" tint="-0.249977111117893"/>
      </top>
      <bottom style="thin">
        <color theme="0" tint="-0.24994659260841701"/>
      </bottom>
      <diagonal/>
    </border>
    <border>
      <left style="thin">
        <color indexed="64"/>
      </left>
      <right style="thin">
        <color indexed="64"/>
      </right>
      <top style="thin">
        <color theme="0" tint="-0.249977111117893"/>
      </top>
      <bottom style="thin">
        <color theme="0" tint="-0.24994659260841701"/>
      </bottom>
      <diagonal/>
    </border>
    <border>
      <left style="thin">
        <color indexed="64"/>
      </left>
      <right/>
      <top style="thin">
        <color theme="0" tint="-0.249977111117893"/>
      </top>
      <bottom style="thin">
        <color theme="0" tint="-0.249977111117893"/>
      </bottom>
      <diagonal/>
    </border>
    <border>
      <left style="thin">
        <color indexed="64"/>
      </left>
      <right style="thin">
        <color indexed="64"/>
      </right>
      <top style="thin">
        <color theme="0" tint="-0.24994659260841701"/>
      </top>
      <bottom style="thin">
        <color theme="0" tint="-0.249977111117893"/>
      </bottom>
      <diagonal/>
    </border>
    <border>
      <left style="thin">
        <color theme="0" tint="-0.249977111117893"/>
      </left>
      <right style="thin">
        <color indexed="64"/>
      </right>
      <top style="thin">
        <color theme="0" tint="-0.249977111117893"/>
      </top>
      <bottom style="thin">
        <color theme="0" tint="-0.24994659260841701"/>
      </bottom>
      <diagonal/>
    </border>
    <border>
      <left style="thin">
        <color theme="0" tint="-0.249977111117893"/>
      </left>
      <right style="thin">
        <color theme="0" tint="-0.24994659260841701"/>
      </right>
      <top style="thin">
        <color indexed="64"/>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indexed="64"/>
      </left>
      <right/>
      <top style="thin">
        <color indexed="64"/>
      </top>
      <bottom style="thin">
        <color indexed="64"/>
      </bottom>
      <diagonal/>
    </border>
    <border>
      <left style="thin">
        <color theme="0" tint="-0.34998626667073579"/>
      </left>
      <right style="thin">
        <color indexed="64"/>
      </right>
      <top style="thin">
        <color indexed="64"/>
      </top>
      <bottom style="thin">
        <color theme="0" tint="-0.34998626667073579"/>
      </bottom>
      <diagonal/>
    </border>
    <border>
      <left style="thin">
        <color theme="0" tint="-0.34998626667073579"/>
      </left>
      <right style="thin">
        <color indexed="64"/>
      </right>
      <top style="thin">
        <color theme="0" tint="-0.34998626667073579"/>
      </top>
      <bottom/>
      <diagonal/>
    </border>
    <border>
      <left style="thin">
        <color theme="0" tint="-0.34998626667073579"/>
      </left>
      <right style="thin">
        <color indexed="64"/>
      </right>
      <top style="thin">
        <color theme="2" tint="-9.9948118533890809E-2"/>
      </top>
      <bottom style="thin">
        <color indexed="64"/>
      </bottom>
      <diagonal/>
    </border>
    <border>
      <left style="thin">
        <color indexed="64"/>
      </left>
      <right style="thin">
        <color theme="0" tint="-0.24994659260841701"/>
      </right>
      <top style="thin">
        <color theme="2" tint="-9.9948118533890809E-2"/>
      </top>
      <bottom style="thin">
        <color indexed="64"/>
      </bottom>
      <diagonal/>
    </border>
    <border>
      <left style="thin">
        <color theme="0" tint="-0.24994659260841701"/>
      </left>
      <right style="thin">
        <color theme="0" tint="-0.24994659260841701"/>
      </right>
      <top style="thin">
        <color theme="2" tint="-9.9948118533890809E-2"/>
      </top>
      <bottom style="thin">
        <color indexed="64"/>
      </bottom>
      <diagonal/>
    </border>
    <border>
      <left style="thin">
        <color theme="0" tint="-0.24994659260841701"/>
      </left>
      <right/>
      <top style="thin">
        <color theme="2" tint="-9.9948118533890809E-2"/>
      </top>
      <bottom style="thin">
        <color indexed="64"/>
      </bottom>
      <diagonal/>
    </border>
    <border>
      <left style="thin">
        <color theme="0" tint="-0.34998626667073579"/>
      </left>
      <right style="thin">
        <color indexed="64"/>
      </right>
      <top/>
      <bottom style="thin">
        <color theme="0" tint="-0.34998626667073579"/>
      </bottom>
      <diagonal/>
    </border>
    <border>
      <left style="thin">
        <color indexed="64"/>
      </left>
      <right style="thin">
        <color indexed="64"/>
      </right>
      <top style="thin">
        <color theme="0" tint="-0.24994659260841701"/>
      </top>
      <bottom style="thin">
        <color theme="2" tint="-0.249977111117893"/>
      </bottom>
      <diagonal/>
    </border>
    <border>
      <left style="thin">
        <color indexed="64"/>
      </left>
      <right style="thin">
        <color indexed="64"/>
      </right>
      <top style="thin">
        <color theme="2" tint="-0.249977111117893"/>
      </top>
      <bottom style="thin">
        <color theme="2" tint="-0.249977111117893"/>
      </bottom>
      <diagonal/>
    </border>
    <border>
      <left style="thin">
        <color indexed="64"/>
      </left>
      <right style="thin">
        <color indexed="64"/>
      </right>
      <top style="thin">
        <color theme="2" tint="-0.249977111117893"/>
      </top>
      <bottom style="thin">
        <color theme="0" tint="-0.24994659260841701"/>
      </bottom>
      <diagonal/>
    </border>
    <border>
      <left style="thin">
        <color indexed="64"/>
      </left>
      <right style="thin">
        <color indexed="64"/>
      </right>
      <top style="thin">
        <color theme="2" tint="-0.249977111117893"/>
      </top>
      <bottom/>
      <diagonal/>
    </border>
    <border>
      <left/>
      <right/>
      <top/>
      <bottom style="thin">
        <color theme="1"/>
      </bottom>
      <diagonal/>
    </border>
    <border>
      <left style="thin">
        <color theme="1"/>
      </left>
      <right style="thin">
        <color theme="1"/>
      </right>
      <top style="thin">
        <color theme="1"/>
      </top>
      <bottom style="thin">
        <color theme="1"/>
      </bottom>
      <diagonal/>
    </border>
    <border>
      <left/>
      <right style="thin">
        <color theme="0" tint="-0.34998626667073579"/>
      </right>
      <top/>
      <bottom style="thin">
        <color indexed="64"/>
      </bottom>
      <diagonal/>
    </border>
    <border>
      <left/>
      <right style="thin">
        <color theme="0" tint="-0.34998626667073579"/>
      </right>
      <top style="thin">
        <color indexed="64"/>
      </top>
      <bottom/>
      <diagonal/>
    </border>
    <border>
      <left style="thin">
        <color indexed="64"/>
      </left>
      <right style="thin">
        <color indexed="64"/>
      </right>
      <top style="thin">
        <color theme="1"/>
      </top>
      <bottom/>
      <diagonal/>
    </border>
    <border>
      <left style="thin">
        <color theme="0" tint="-0.34998626667073579"/>
      </left>
      <right style="thin">
        <color indexed="64"/>
      </right>
      <top/>
      <bottom style="thin">
        <color theme="2" tint="-9.9948118533890809E-2"/>
      </bottom>
      <diagonal/>
    </border>
    <border>
      <left/>
      <right style="thin">
        <color indexed="64"/>
      </right>
      <top style="thin">
        <color theme="2" tint="-9.9948118533890809E-2"/>
      </top>
      <bottom style="thin">
        <color indexed="64"/>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indexed="22"/>
      </right>
      <top style="thin">
        <color indexed="22"/>
      </top>
      <bottom style="thin">
        <color indexed="22"/>
      </bottom>
      <diagonal/>
    </border>
    <border>
      <left style="thin">
        <color indexed="64"/>
      </left>
      <right style="thin">
        <color indexed="22"/>
      </right>
      <top style="thin">
        <color indexed="64"/>
      </top>
      <bottom/>
      <diagonal/>
    </border>
    <border>
      <left style="thin">
        <color indexed="64"/>
      </left>
      <right style="thin">
        <color indexed="22"/>
      </right>
      <top style="thin">
        <color indexed="64"/>
      </top>
      <bottom style="thin">
        <color theme="0" tint="-0.24994659260841701"/>
      </bottom>
      <diagonal/>
    </border>
    <border>
      <left style="thin">
        <color indexed="64"/>
      </left>
      <right style="thin">
        <color indexed="22"/>
      </right>
      <top style="thin">
        <color theme="0" tint="-0.24994659260841701"/>
      </top>
      <bottom style="thin">
        <color theme="0" tint="-0.24994659260841701"/>
      </bottom>
      <diagonal/>
    </border>
    <border>
      <left style="thin">
        <color indexed="64"/>
      </left>
      <right style="thin">
        <color indexed="22"/>
      </right>
      <top style="thin">
        <color theme="0" tint="-0.24994659260841701"/>
      </top>
      <bottom/>
      <diagonal/>
    </border>
    <border>
      <left style="thin">
        <color indexed="64"/>
      </left>
      <right style="thin">
        <color indexed="22"/>
      </right>
      <top style="thin">
        <color theme="0" tint="-0.24994659260841701"/>
      </top>
      <bottom style="thin">
        <color indexed="64"/>
      </bottom>
      <diagonal/>
    </border>
    <border>
      <left style="thin">
        <color indexed="64"/>
      </left>
      <right style="thin">
        <color indexed="22"/>
      </right>
      <top/>
      <bottom style="thin">
        <color theme="0" tint="-0.24994659260841701"/>
      </bottom>
      <diagonal/>
    </border>
    <border>
      <left/>
      <right style="thin">
        <color indexed="22"/>
      </right>
      <top/>
      <bottom/>
      <diagonal/>
    </border>
    <border>
      <left style="thin">
        <color indexed="22"/>
      </left>
      <right style="thin">
        <color indexed="64"/>
      </right>
      <top style="thin">
        <color auto="1"/>
      </top>
      <bottom style="thin">
        <color theme="0" tint="-0.24994659260841701"/>
      </bottom>
      <diagonal/>
    </border>
    <border>
      <left style="thin">
        <color indexed="22"/>
      </left>
      <right style="thin">
        <color indexed="64"/>
      </right>
      <top style="thin">
        <color theme="1"/>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style="thin">
        <color indexed="64"/>
      </right>
      <top style="thin">
        <color indexed="64"/>
      </top>
      <bottom style="thin">
        <color indexed="64"/>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theme="0" tint="-0.24994659260841701"/>
      </right>
      <top style="thin">
        <color indexed="64"/>
      </top>
      <bottom style="thin">
        <color theme="0" tint="-0.24994659260841701"/>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indexed="64"/>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auto="1"/>
      </left>
      <right style="thin">
        <color auto="1"/>
      </right>
      <top style="thin">
        <color auto="1"/>
      </top>
      <bottom style="thin">
        <color indexed="64"/>
      </bottom>
      <diagonal/>
    </border>
    <border>
      <left style="thin">
        <color theme="0" tint="-0.24994659260841701"/>
      </left>
      <right style="thin">
        <color indexed="64"/>
      </right>
      <top style="thin">
        <color theme="1"/>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theme="1"/>
      </top>
      <bottom/>
      <diagonal/>
    </border>
    <border>
      <left style="thin">
        <color theme="0" tint="-0.24994659260841701"/>
      </left>
      <right style="thin">
        <color theme="0" tint="-0.24994659260841701"/>
      </right>
      <top style="thin">
        <color theme="1"/>
      </top>
      <bottom/>
      <diagonal/>
    </border>
    <border>
      <left style="thin">
        <color auto="1"/>
      </left>
      <right style="thin">
        <color auto="1"/>
      </right>
      <top style="thin">
        <color theme="1"/>
      </top>
      <bottom style="thin">
        <color indexed="64"/>
      </bottom>
      <diagonal/>
    </border>
    <border>
      <left style="thin">
        <color indexed="64"/>
      </left>
      <right style="thin">
        <color theme="0" tint="-0.24994659260841701"/>
      </right>
      <top style="thin">
        <color theme="1"/>
      </top>
      <bottom/>
      <diagonal/>
    </border>
    <border>
      <left/>
      <right style="thin">
        <color theme="0" tint="-0.24994659260841701"/>
      </right>
      <top style="thin">
        <color theme="1"/>
      </top>
      <bottom/>
      <diagonal/>
    </border>
    <border>
      <left style="thin">
        <color theme="0" tint="-0.24994659260841701"/>
      </left>
      <right/>
      <top style="thin">
        <color theme="1"/>
      </top>
      <bottom/>
      <diagonal/>
    </border>
    <border>
      <left style="thin">
        <color auto="1"/>
      </left>
      <right style="thin">
        <color theme="0" tint="-0.24994659260841701"/>
      </right>
      <top style="thin">
        <color theme="1"/>
      </top>
      <bottom style="thin">
        <color indexed="64"/>
      </bottom>
      <diagonal/>
    </border>
    <border>
      <left style="thin">
        <color theme="0" tint="-0.24994659260841701"/>
      </left>
      <right style="thin">
        <color theme="0" tint="-0.24994659260841701"/>
      </right>
      <top style="thin">
        <color theme="1"/>
      </top>
      <bottom style="thin">
        <color indexed="64"/>
      </bottom>
      <diagonal/>
    </border>
    <border>
      <left style="thin">
        <color theme="0" tint="-0.24994659260841701"/>
      </left>
      <right style="thin">
        <color indexed="64"/>
      </right>
      <top style="thin">
        <color theme="1"/>
      </top>
      <bottom style="thin">
        <color theme="1"/>
      </bottom>
      <diagonal/>
    </border>
    <border>
      <left style="thin">
        <color theme="0" tint="-0.24994659260841701"/>
      </left>
      <right style="thin">
        <color theme="0" tint="-0.24994659260841701"/>
      </right>
      <top style="thin">
        <color theme="1"/>
      </top>
      <bottom style="thin">
        <color theme="1"/>
      </bottom>
      <diagonal/>
    </border>
    <border>
      <left style="thin">
        <color auto="1"/>
      </left>
      <right style="thin">
        <color auto="1"/>
      </right>
      <top style="thin">
        <color theme="1"/>
      </top>
      <bottom style="thin">
        <color theme="1"/>
      </bottom>
      <diagonal/>
    </border>
    <border>
      <left style="thin">
        <color indexed="64"/>
      </left>
      <right style="thin">
        <color theme="0" tint="-0.24994659260841701"/>
      </right>
      <top style="thin">
        <color theme="1"/>
      </top>
      <bottom style="thin">
        <color theme="1"/>
      </bottom>
      <diagonal/>
    </border>
    <border>
      <left/>
      <right style="thin">
        <color theme="0" tint="-0.24994659260841701"/>
      </right>
      <top style="thin">
        <color theme="1"/>
      </top>
      <bottom style="thin">
        <color theme="1"/>
      </bottom>
      <diagonal/>
    </border>
    <border>
      <left style="thin">
        <color theme="0" tint="-0.24994659260841701"/>
      </left>
      <right/>
      <top style="thin">
        <color theme="1"/>
      </top>
      <bottom style="thin">
        <color theme="1"/>
      </bottom>
      <diagonal/>
    </border>
    <border>
      <left style="thin">
        <color theme="0" tint="-0.24994659260841701"/>
      </left>
      <right style="thin">
        <color theme="0" tint="-0.24994659260841701"/>
      </right>
      <top style="thin">
        <color theme="1"/>
      </top>
      <bottom style="thin">
        <color theme="0" tint="-0.24994659260841701"/>
      </bottom>
      <diagonal/>
    </border>
    <border>
      <left style="thin">
        <color indexed="64"/>
      </left>
      <right style="thin">
        <color indexed="64"/>
      </right>
      <top style="thin">
        <color theme="1"/>
      </top>
      <bottom style="thin">
        <color theme="0" tint="-0.24994659260841701"/>
      </bottom>
      <diagonal/>
    </border>
    <border>
      <left style="thin">
        <color theme="0" tint="-0.24994659260841701"/>
      </left>
      <right/>
      <top style="thin">
        <color theme="1"/>
      </top>
      <bottom style="thin">
        <color theme="0" tint="-0.24994659260841701"/>
      </bottom>
      <diagonal/>
    </border>
    <border>
      <left style="thin">
        <color auto="1"/>
      </left>
      <right/>
      <top style="thin">
        <color theme="1"/>
      </top>
      <bottom style="thin">
        <color indexed="64"/>
      </bottom>
      <diagonal/>
    </border>
    <border>
      <left/>
      <right style="thin">
        <color auto="1"/>
      </right>
      <top style="thin">
        <color theme="1"/>
      </top>
      <bottom style="thin">
        <color indexed="64"/>
      </bottom>
      <diagonal/>
    </border>
    <border>
      <left/>
      <right style="thin">
        <color theme="0" tint="-0.24994659260841701"/>
      </right>
      <top style="thin">
        <color indexed="64"/>
      </top>
      <bottom style="thin">
        <color indexed="64"/>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style="thin">
        <color indexed="64"/>
      </left>
      <right/>
      <top style="thin">
        <color theme="2" tint="-9.9948118533890809E-2"/>
      </top>
      <bottom style="thin">
        <color indexed="64"/>
      </bottom>
      <diagonal/>
    </border>
    <border>
      <left style="thin">
        <color indexed="64"/>
      </left>
      <right style="thin">
        <color indexed="64"/>
      </right>
      <top style="thin">
        <color indexed="64"/>
      </top>
      <bottom/>
      <diagonal/>
    </border>
    <border>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auto="1"/>
      </right>
      <top style="thin">
        <color auto="1"/>
      </top>
      <bottom/>
      <diagonal/>
    </border>
    <border>
      <left style="thin">
        <color auto="1"/>
      </left>
      <right style="thin">
        <color theme="0" tint="-0.24994659260841701"/>
      </right>
      <top style="thin">
        <color auto="1"/>
      </top>
      <bottom style="thin">
        <color theme="0" tint="-0.24994659260841701"/>
      </bottom>
      <diagonal/>
    </border>
    <border>
      <left style="thin">
        <color theme="0" tint="-0.249977111117893"/>
      </left>
      <right style="thin">
        <color indexed="64"/>
      </right>
      <top style="thin">
        <color theme="1"/>
      </top>
      <bottom style="thin">
        <color theme="0" tint="-0.249977111117893"/>
      </bottom>
      <diagonal/>
    </border>
    <border>
      <left style="thin">
        <color theme="0" tint="-0.249977111117893"/>
      </left>
      <right style="thin">
        <color theme="0" tint="-0.249977111117893"/>
      </right>
      <top style="thin">
        <color theme="1"/>
      </top>
      <bottom style="thin">
        <color theme="0" tint="-0.249977111117893"/>
      </bottom>
      <diagonal/>
    </border>
    <border>
      <left/>
      <right style="thin">
        <color auto="1"/>
      </right>
      <top/>
      <bottom/>
      <diagonal/>
    </border>
    <border>
      <left/>
      <right style="thin">
        <color indexed="22"/>
      </right>
      <top style="thin">
        <color indexed="64"/>
      </top>
      <bottom/>
      <diagonal/>
    </border>
    <border>
      <left style="thin">
        <color theme="1"/>
      </left>
      <right/>
      <top style="thin">
        <color theme="1"/>
      </top>
      <bottom style="thin">
        <color theme="1"/>
      </bottom>
      <diagonal/>
    </border>
    <border>
      <left style="thin">
        <color indexed="22"/>
      </left>
      <right/>
      <top style="thin">
        <color indexed="22"/>
      </top>
      <bottom style="thin">
        <color indexed="22"/>
      </bottom>
      <diagonal/>
    </border>
    <border>
      <left/>
      <right style="thin">
        <color theme="0" tint="-0.14999847407452621"/>
      </right>
      <top style="thin">
        <color theme="0" tint="-0.14999847407452621"/>
      </top>
      <bottom style="thin">
        <color theme="0" tint="-0.14999847407452621"/>
      </bottom>
      <diagonal/>
    </border>
    <border>
      <left/>
      <right style="thin">
        <color theme="0" tint="-0.24994659260841701"/>
      </right>
      <top style="thin">
        <color indexed="64"/>
      </top>
      <bottom/>
      <diagonal/>
    </border>
    <border>
      <left style="thin">
        <color theme="0" tint="-0.14999847407452621"/>
      </left>
      <right/>
      <top style="thin">
        <color theme="0" tint="-0.14999847407452621"/>
      </top>
      <bottom style="thin">
        <color theme="0" tint="-0.14999847407452621"/>
      </bottom>
      <diagonal/>
    </border>
    <border>
      <left style="thin">
        <color auto="1"/>
      </left>
      <right style="thin">
        <color auto="1"/>
      </right>
      <top style="thin">
        <color theme="0" tint="-0.14999847407452621"/>
      </top>
      <bottom style="thin">
        <color theme="0" tint="-0.14999847407452621"/>
      </bottom>
      <diagonal/>
    </border>
    <border>
      <left style="thin">
        <color indexed="64"/>
      </left>
      <right/>
      <top/>
      <bottom style="thin">
        <color theme="2" tint="-9.9948118533890809E-2"/>
      </bottom>
      <diagonal/>
    </border>
    <border>
      <left/>
      <right style="thin">
        <color theme="0" tint="-0.34998626667073579"/>
      </right>
      <top style="thin">
        <color indexed="64"/>
      </top>
      <bottom style="thin">
        <color theme="0" tint="-0.34998626667073579"/>
      </bottom>
      <diagonal/>
    </border>
    <border>
      <left/>
      <right style="thin">
        <color theme="0" tint="-0.34998626667073579"/>
      </right>
      <top style="thin">
        <color theme="2" tint="-9.9948118533890809E-2"/>
      </top>
      <bottom style="thin">
        <color indexed="64"/>
      </bottom>
      <diagonal/>
    </border>
    <border>
      <left/>
      <right style="thin">
        <color theme="0" tint="-0.34998626667073579"/>
      </right>
      <top/>
      <bottom style="thin">
        <color theme="2" tint="-9.9948118533890809E-2"/>
      </bottom>
      <diagonal/>
    </border>
    <border>
      <left/>
      <right style="thin">
        <color theme="1"/>
      </right>
      <top style="thin">
        <color theme="1"/>
      </top>
      <bottom style="thin">
        <color theme="1"/>
      </bottom>
      <diagonal/>
    </border>
    <border>
      <left/>
      <right style="thin">
        <color indexed="64"/>
      </right>
      <top style="thin">
        <color indexed="64"/>
      </top>
      <bottom style="thin">
        <color theme="2" tint="-0.249977111117893"/>
      </bottom>
      <diagonal/>
    </border>
    <border>
      <left/>
      <right style="thin">
        <color indexed="64"/>
      </right>
      <top style="thin">
        <color theme="2" tint="-0.249977111117893"/>
      </top>
      <bottom style="thin">
        <color theme="0" tint="-0.24994659260841701"/>
      </bottom>
      <diagonal/>
    </border>
    <border>
      <left/>
      <right style="thin">
        <color indexed="64"/>
      </right>
      <top style="thin">
        <color theme="1"/>
      </top>
      <bottom style="thin">
        <color theme="2" tint="-0.249977111117893"/>
      </bottom>
      <diagonal/>
    </border>
    <border>
      <left/>
      <right style="thin">
        <color indexed="64"/>
      </right>
      <top style="thin">
        <color theme="0" tint="-0.24994659260841701"/>
      </top>
      <bottom style="thin">
        <color theme="1"/>
      </bottom>
      <diagonal/>
    </border>
    <border>
      <left/>
      <right style="thin">
        <color indexed="64"/>
      </right>
      <top/>
      <bottom style="thin">
        <color theme="2" tint="-0.249977111117893"/>
      </bottom>
      <diagonal/>
    </border>
    <border>
      <left/>
      <right style="thin">
        <color indexed="64"/>
      </right>
      <top style="thin">
        <color theme="1"/>
      </top>
      <bottom/>
      <diagonal/>
    </border>
    <border>
      <left style="thin">
        <color auto="1"/>
      </left>
      <right style="thin">
        <color auto="1"/>
      </right>
      <top style="thin">
        <color theme="0" tint="-0.14999847407452621"/>
      </top>
      <bottom style="thin">
        <color indexed="64"/>
      </bottom>
      <diagonal/>
    </border>
    <border>
      <left/>
      <right style="thin">
        <color theme="0" tint="-0.14999847407452621"/>
      </right>
      <top style="thin">
        <color theme="0" tint="-0.14999847407452621"/>
      </top>
      <bottom style="thin">
        <color indexed="64"/>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style="thin">
        <color indexed="64"/>
      </left>
      <right style="thin">
        <color theme="0" tint="-0.24994659260841701"/>
      </right>
      <top style="thin">
        <color theme="1"/>
      </top>
      <bottom style="thin">
        <color theme="0" tint="-0.24994659260841701"/>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indexed="64"/>
      </right>
      <top style="thin">
        <color auto="1"/>
      </top>
      <bottom/>
      <diagonal/>
    </border>
    <border>
      <left style="thin">
        <color auto="1"/>
      </left>
      <right/>
      <top style="thin">
        <color auto="1"/>
      </top>
      <bottom/>
      <diagonal/>
    </border>
    <border>
      <left style="thin">
        <color theme="0" tint="-0.24994659260841701"/>
      </left>
      <right/>
      <top style="thin">
        <color indexed="64"/>
      </top>
      <bottom/>
      <diagonal/>
    </border>
    <border>
      <left/>
      <right/>
      <top style="thin">
        <color auto="1"/>
      </top>
      <bottom/>
      <diagonal/>
    </border>
    <border>
      <left style="thin">
        <color auto="1"/>
      </left>
      <right/>
      <top style="thin">
        <color indexed="64"/>
      </top>
      <bottom style="thin">
        <color theme="0" tint="-0.14999847407452621"/>
      </bottom>
      <diagonal/>
    </border>
    <border>
      <left/>
      <right style="thin">
        <color auto="1"/>
      </right>
      <top style="thin">
        <color auto="1"/>
      </top>
      <bottom/>
      <diagonal/>
    </border>
    <border>
      <left/>
      <right style="thin">
        <color theme="0" tint="-0.24994659260841701"/>
      </right>
      <top style="thin">
        <color indexed="64"/>
      </top>
      <bottom/>
      <diagonal/>
    </border>
    <border>
      <left style="thin">
        <color indexed="64"/>
      </left>
      <right style="thin">
        <color theme="0" tint="-0.34998626667073579"/>
      </right>
      <top style="thin">
        <color theme="0" tint="-0.24994659260841701"/>
      </top>
      <bottom style="thin">
        <color indexed="64"/>
      </bottom>
      <diagonal/>
    </border>
    <border>
      <left style="thin">
        <color indexed="64"/>
      </left>
      <right style="thin">
        <color theme="0" tint="-0.34998626667073579"/>
      </right>
      <top style="thin">
        <color indexed="64"/>
      </top>
      <bottom style="thin">
        <color theme="0" tint="-0.24994659260841701"/>
      </bottom>
      <diagonal/>
    </border>
    <border>
      <left style="thin">
        <color indexed="64"/>
      </left>
      <right style="thin">
        <color theme="0" tint="-0.499984740745262"/>
      </right>
      <top style="thin">
        <color indexed="64"/>
      </top>
      <bottom style="thin">
        <color theme="0" tint="-0.24994659260841701"/>
      </bottom>
      <diagonal/>
    </border>
    <border>
      <left style="thin">
        <color indexed="64"/>
      </left>
      <right style="thin">
        <color theme="0" tint="-0.499984740745262"/>
      </right>
      <top style="thin">
        <color theme="0" tint="-0.24994659260841701"/>
      </top>
      <bottom style="thin">
        <color indexed="64"/>
      </bottom>
      <diagonal/>
    </border>
    <border>
      <left style="thin">
        <color theme="0" tint="-0.499984740745262"/>
      </left>
      <right style="thin">
        <color indexed="64"/>
      </right>
      <top style="thin">
        <color indexed="64"/>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indexed="64"/>
      </bottom>
      <diagonal/>
    </border>
    <border>
      <left style="thin">
        <color theme="0" tint="-0.499984740745262"/>
      </left>
      <right style="thin">
        <color indexed="64"/>
      </right>
      <top/>
      <bottom style="thin">
        <color theme="0" tint="-0.499984740745262"/>
      </bottom>
      <diagonal/>
    </border>
    <border>
      <left/>
      <right/>
      <top style="thin">
        <color indexed="64"/>
      </top>
      <bottom style="thin">
        <color theme="0" tint="-0.24994659260841701"/>
      </bottom>
      <diagonal/>
    </border>
    <border>
      <left style="thin">
        <color auto="1"/>
      </left>
      <right style="thin">
        <color auto="1"/>
      </right>
      <top style="thin">
        <color auto="1"/>
      </top>
      <bottom style="thin">
        <color theme="6"/>
      </bottom>
      <diagonal/>
    </border>
    <border>
      <left style="thin">
        <color auto="1"/>
      </left>
      <right style="thin">
        <color auto="1"/>
      </right>
      <top/>
      <bottom style="thin">
        <color theme="6"/>
      </bottom>
      <diagonal/>
    </border>
    <border>
      <left style="thin">
        <color indexed="64"/>
      </left>
      <right style="thin">
        <color indexed="64"/>
      </right>
      <top style="thin">
        <color theme="6"/>
      </top>
      <bottom style="thin">
        <color theme="6"/>
      </bottom>
      <diagonal/>
    </border>
  </borders>
  <cellStyleXfs count="52">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5" borderId="0" applyNumberFormat="0" applyBorder="0" applyAlignment="0" applyProtection="0"/>
    <xf numFmtId="0" fontId="10" fillId="9" borderId="0" applyNumberFormat="0" applyBorder="0" applyAlignment="0" applyProtection="0"/>
    <xf numFmtId="0" fontId="10" fillId="12" borderId="0" applyNumberFormat="0" applyBorder="0" applyAlignment="0" applyProtection="0"/>
    <xf numFmtId="0" fontId="11" fillId="15"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19"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22" borderId="0" applyNumberFormat="0" applyBorder="0" applyAlignment="0" applyProtection="0"/>
    <xf numFmtId="0" fontId="12" fillId="3" borderId="0" applyNumberFormat="0" applyBorder="0" applyAlignment="0" applyProtection="0"/>
    <xf numFmtId="0" fontId="43" fillId="41" borderId="0" applyNumberFormat="0" applyBorder="0" applyAlignment="0" applyProtection="0"/>
    <xf numFmtId="0" fontId="13" fillId="13" borderId="1" applyNumberFormat="0" applyAlignment="0" applyProtection="0"/>
    <xf numFmtId="0" fontId="14" fillId="23" borderId="2" applyNumberFormat="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44" fillId="42" borderId="0" applyNumberFormat="0" applyBorder="0" applyAlignment="0" applyProtection="0"/>
    <xf numFmtId="0" fontId="20" fillId="7" borderId="1" applyNumberFormat="0" applyAlignment="0" applyProtection="0"/>
    <xf numFmtId="0" fontId="21" fillId="0" borderId="3" applyNumberFormat="0" applyFill="0" applyAlignment="0" applyProtection="0"/>
    <xf numFmtId="0" fontId="22" fillId="14" borderId="0" applyNumberFormat="0" applyBorder="0" applyAlignment="0" applyProtection="0"/>
    <xf numFmtId="0" fontId="9" fillId="0" borderId="0"/>
    <xf numFmtId="0" fontId="45" fillId="0" borderId="0"/>
    <xf numFmtId="0" fontId="9" fillId="0" borderId="0"/>
    <xf numFmtId="0" fontId="10" fillId="0" borderId="0"/>
    <xf numFmtId="0" fontId="10" fillId="8" borderId="7" applyNumberFormat="0" applyFont="0" applyAlignment="0" applyProtection="0"/>
    <xf numFmtId="0" fontId="23" fillId="13" borderId="8" applyNumberForma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0" borderId="0" applyNumberFormat="0" applyFill="0" applyBorder="0" applyAlignment="0" applyProtection="0"/>
    <xf numFmtId="0" fontId="5" fillId="0" borderId="0"/>
    <xf numFmtId="0" fontId="5" fillId="0" borderId="0"/>
    <xf numFmtId="0" fontId="23" fillId="13" borderId="460" applyNumberFormat="0" applyAlignment="0" applyProtection="0"/>
    <xf numFmtId="0" fontId="25" fillId="0" borderId="461" applyNumberFormat="0" applyFill="0" applyAlignment="0" applyProtection="0"/>
  </cellStyleXfs>
  <cellXfs count="7676">
    <xf numFmtId="0" fontId="0" fillId="0" borderId="0" xfId="0"/>
    <xf numFmtId="0" fontId="9" fillId="0" borderId="0" xfId="0" applyFont="1"/>
    <xf numFmtId="0" fontId="34" fillId="0" borderId="17" xfId="0" applyFont="1" applyBorder="1" applyAlignment="1">
      <alignment horizontal="center" vertical="center"/>
    </xf>
    <xf numFmtId="0" fontId="35" fillId="0" borderId="0" xfId="0" applyFont="1" applyAlignment="1">
      <alignment horizontal="center" vertical="center"/>
    </xf>
    <xf numFmtId="0" fontId="9" fillId="0" borderId="0" xfId="0" applyFont="1" applyAlignment="1">
      <alignment horizontal="center" vertical="center"/>
    </xf>
    <xf numFmtId="2" fontId="9" fillId="0" borderId="0" xfId="0" applyNumberFormat="1" applyFont="1" applyAlignment="1">
      <alignment horizontal="center" vertical="center"/>
    </xf>
    <xf numFmtId="0" fontId="8" fillId="0" borderId="0" xfId="0" applyFont="1"/>
    <xf numFmtId="0" fontId="9" fillId="48" borderId="12" xfId="0" applyFont="1" applyFill="1" applyBorder="1"/>
    <xf numFmtId="0" fontId="9" fillId="46" borderId="12" xfId="0" applyFont="1" applyFill="1" applyBorder="1"/>
    <xf numFmtId="0" fontId="7" fillId="49" borderId="12" xfId="0" applyFont="1" applyFill="1" applyBorder="1" applyAlignment="1">
      <alignment horizontal="center" vertical="center"/>
    </xf>
    <xf numFmtId="0" fontId="7" fillId="49" borderId="12" xfId="0" applyFont="1" applyFill="1" applyBorder="1" applyAlignment="1">
      <alignment horizontal="center" vertical="center" wrapText="1"/>
    </xf>
    <xf numFmtId="0" fontId="48" fillId="0" borderId="0" xfId="0" applyFont="1" applyAlignment="1">
      <alignment horizontal="left" vertical="center"/>
    </xf>
    <xf numFmtId="0" fontId="34" fillId="0" borderId="0" xfId="0" applyFont="1" applyAlignment="1">
      <alignment horizontal="center" vertical="center"/>
    </xf>
    <xf numFmtId="0" fontId="0" fillId="0" borderId="12" xfId="0" applyBorder="1" applyAlignment="1">
      <alignment horizontal="center" vertical="top"/>
    </xf>
    <xf numFmtId="0" fontId="7" fillId="0" borderId="0" xfId="0" applyFont="1"/>
    <xf numFmtId="0" fontId="7" fillId="0" borderId="0" xfId="0" applyFont="1" applyAlignment="1">
      <alignment horizontal="center"/>
    </xf>
    <xf numFmtId="0" fontId="9" fillId="0" borderId="13" xfId="0" applyFont="1" applyBorder="1"/>
    <xf numFmtId="0" fontId="7" fillId="0" borderId="62" xfId="0" applyFont="1" applyBorder="1"/>
    <xf numFmtId="20" fontId="9" fillId="29" borderId="47" xfId="0" applyNumberFormat="1" applyFont="1" applyFill="1" applyBorder="1" applyAlignment="1" applyProtection="1">
      <alignment horizontal="center"/>
      <protection locked="0"/>
    </xf>
    <xf numFmtId="2" fontId="9" fillId="29" borderId="48" xfId="0" applyNumberFormat="1" applyFont="1" applyFill="1" applyBorder="1" applyAlignment="1" applyProtection="1">
      <alignment horizontal="center"/>
      <protection locked="0"/>
    </xf>
    <xf numFmtId="0" fontId="7" fillId="0" borderId="44" xfId="0" applyFont="1" applyBorder="1" applyAlignment="1">
      <alignment horizontal="center"/>
    </xf>
    <xf numFmtId="0" fontId="7" fillId="0" borderId="45" xfId="0" applyFont="1" applyBorder="1" applyAlignment="1">
      <alignment horizontal="center"/>
    </xf>
    <xf numFmtId="0" fontId="7" fillId="0" borderId="57" xfId="0" applyFont="1" applyBorder="1" applyAlignment="1">
      <alignment horizontal="center"/>
    </xf>
    <xf numFmtId="0" fontId="9" fillId="25" borderId="12" xfId="0" applyFont="1" applyFill="1" applyBorder="1" applyAlignment="1" applyProtection="1">
      <alignment horizontal="center"/>
      <protection locked="0"/>
    </xf>
    <xf numFmtId="0" fontId="9" fillId="25" borderId="12" xfId="0" applyFont="1" applyFill="1" applyBorder="1" applyAlignment="1">
      <alignment horizontal="center"/>
    </xf>
    <xf numFmtId="0" fontId="9" fillId="25" borderId="48" xfId="0" applyFont="1" applyFill="1" applyBorder="1" applyAlignment="1">
      <alignment horizontal="center"/>
    </xf>
    <xf numFmtId="0" fontId="7" fillId="0" borderId="22" xfId="0" applyFont="1" applyBorder="1"/>
    <xf numFmtId="0" fontId="7" fillId="0" borderId="15" xfId="0" applyFont="1" applyBorder="1" applyAlignment="1">
      <alignment horizontal="center"/>
    </xf>
    <xf numFmtId="0" fontId="7" fillId="0" borderId="49" xfId="0" applyFont="1" applyBorder="1" applyAlignment="1">
      <alignment horizontal="center"/>
    </xf>
    <xf numFmtId="2" fontId="9" fillId="25" borderId="12" xfId="0" applyNumberFormat="1" applyFont="1" applyFill="1" applyBorder="1" applyAlignment="1" applyProtection="1">
      <alignment horizontal="center"/>
      <protection locked="0"/>
    </xf>
    <xf numFmtId="2" fontId="9" fillId="25" borderId="48" xfId="0" applyNumberFormat="1" applyFont="1" applyFill="1" applyBorder="1" applyAlignment="1" applyProtection="1">
      <alignment horizontal="center"/>
      <protection locked="0"/>
    </xf>
    <xf numFmtId="0" fontId="7" fillId="0" borderId="22" xfId="0" applyFont="1" applyBorder="1" applyAlignment="1">
      <alignment horizontal="center" wrapText="1"/>
    </xf>
    <xf numFmtId="0" fontId="7" fillId="0" borderId="46" xfId="0" applyFont="1" applyBorder="1" applyAlignment="1">
      <alignment horizontal="center" wrapText="1"/>
    </xf>
    <xf numFmtId="0" fontId="7" fillId="0" borderId="15" xfId="0" applyFont="1" applyBorder="1" applyAlignment="1">
      <alignment horizontal="center" wrapText="1"/>
    </xf>
    <xf numFmtId="0" fontId="7" fillId="0" borderId="49" xfId="0" applyFont="1" applyBorder="1" applyAlignment="1">
      <alignment horizontal="center" wrapText="1"/>
    </xf>
    <xf numFmtId="0" fontId="34" fillId="24" borderId="14" xfId="0" applyFont="1" applyFill="1" applyBorder="1" applyAlignment="1">
      <alignment horizontal="center" vertical="center" wrapText="1"/>
    </xf>
    <xf numFmtId="0" fontId="36" fillId="0" borderId="0" xfId="0" applyFont="1" applyAlignment="1">
      <alignment horizontal="center" vertical="center"/>
    </xf>
    <xf numFmtId="0" fontId="0" fillId="44" borderId="0" xfId="0" applyFill="1"/>
    <xf numFmtId="0" fontId="9" fillId="65" borderId="12" xfId="39" applyFill="1" applyBorder="1" applyAlignment="1">
      <alignment horizontal="center" vertical="center" wrapText="1"/>
    </xf>
    <xf numFmtId="0" fontId="9" fillId="47" borderId="12" xfId="39" applyFill="1" applyBorder="1" applyAlignment="1">
      <alignment horizontal="center" vertical="center" wrapText="1"/>
    </xf>
    <xf numFmtId="0" fontId="28" fillId="0" borderId="12" xfId="39" applyFont="1" applyBorder="1" applyAlignment="1">
      <alignment horizontal="center" vertical="center"/>
    </xf>
    <xf numFmtId="0" fontId="9" fillId="66" borderId="12" xfId="39" applyFill="1" applyBorder="1" applyAlignment="1">
      <alignment horizontal="center" vertical="center" wrapText="1"/>
    </xf>
    <xf numFmtId="0" fontId="28" fillId="0" borderId="14" xfId="39" applyFont="1" applyBorder="1" applyAlignment="1">
      <alignment horizontal="center" vertical="center"/>
    </xf>
    <xf numFmtId="0" fontId="9" fillId="67" borderId="12" xfId="39" applyFill="1" applyBorder="1" applyAlignment="1">
      <alignment horizontal="center" vertical="center" wrapText="1"/>
    </xf>
    <xf numFmtId="0" fontId="9" fillId="68" borderId="12" xfId="39" applyFill="1" applyBorder="1" applyAlignment="1">
      <alignment horizontal="center" vertical="center" wrapText="1"/>
    </xf>
    <xf numFmtId="0" fontId="0" fillId="0" borderId="0" xfId="0" applyAlignment="1">
      <alignment horizontal="center"/>
    </xf>
    <xf numFmtId="0" fontId="0" fillId="44" borderId="0" xfId="0" applyFill="1" applyAlignment="1">
      <alignment horizontal="center"/>
    </xf>
    <xf numFmtId="0" fontId="7" fillId="44" borderId="12" xfId="0" applyFont="1" applyFill="1" applyBorder="1" applyAlignment="1">
      <alignment horizontal="center" vertical="center"/>
    </xf>
    <xf numFmtId="0" fontId="9" fillId="44" borderId="0" xfId="0" applyFont="1" applyFill="1"/>
    <xf numFmtId="0" fontId="28" fillId="44" borderId="0" xfId="0" applyFont="1" applyFill="1"/>
    <xf numFmtId="0" fontId="28" fillId="44" borderId="0" xfId="0" applyFont="1" applyFill="1" applyAlignment="1">
      <alignment horizontal="center"/>
    </xf>
    <xf numFmtId="0" fontId="9" fillId="44" borderId="30" xfId="0" applyFont="1" applyFill="1" applyBorder="1"/>
    <xf numFmtId="0" fontId="9" fillId="44" borderId="19" xfId="0" applyFont="1" applyFill="1" applyBorder="1"/>
    <xf numFmtId="0" fontId="9" fillId="44" borderId="20" xfId="0" applyFont="1" applyFill="1" applyBorder="1"/>
    <xf numFmtId="0" fontId="9" fillId="44" borderId="21" xfId="0" applyFont="1" applyFill="1" applyBorder="1"/>
    <xf numFmtId="0" fontId="28" fillId="44" borderId="21" xfId="0" applyFont="1" applyFill="1" applyBorder="1"/>
    <xf numFmtId="0" fontId="9" fillId="44" borderId="39" xfId="0" applyFont="1" applyFill="1" applyBorder="1"/>
    <xf numFmtId="0" fontId="9" fillId="49" borderId="50" xfId="0" applyFont="1" applyFill="1" applyBorder="1"/>
    <xf numFmtId="0" fontId="9" fillId="49" borderId="51" xfId="0" applyFont="1" applyFill="1" applyBorder="1"/>
    <xf numFmtId="2" fontId="9" fillId="49" borderId="12" xfId="0" applyNumberFormat="1" applyFont="1" applyFill="1" applyBorder="1" applyAlignment="1">
      <alignment horizontal="center"/>
    </xf>
    <xf numFmtId="2" fontId="9" fillId="49" borderId="48" xfId="0" applyNumberFormat="1" applyFont="1" applyFill="1" applyBorder="1" applyAlignment="1">
      <alignment horizontal="center"/>
    </xf>
    <xf numFmtId="2" fontId="7" fillId="49" borderId="50" xfId="0" applyNumberFormat="1" applyFont="1" applyFill="1" applyBorder="1" applyAlignment="1">
      <alignment horizontal="center"/>
    </xf>
    <xf numFmtId="2" fontId="7" fillId="49" borderId="51" xfId="0" applyNumberFormat="1" applyFont="1" applyFill="1" applyBorder="1" applyAlignment="1">
      <alignment horizontal="center"/>
    </xf>
    <xf numFmtId="0" fontId="9" fillId="25" borderId="32" xfId="0" applyFont="1" applyFill="1" applyBorder="1" applyAlignment="1" applyProtection="1">
      <alignment horizontal="center"/>
      <protection locked="0"/>
    </xf>
    <xf numFmtId="0" fontId="7" fillId="0" borderId="60" xfId="0" applyFont="1" applyBorder="1" applyAlignment="1">
      <alignment horizontal="center"/>
    </xf>
    <xf numFmtId="0" fontId="7" fillId="0" borderId="59" xfId="0" applyFont="1" applyBorder="1" applyAlignment="1">
      <alignment horizontal="center"/>
    </xf>
    <xf numFmtId="0" fontId="7" fillId="0" borderId="47" xfId="0" applyFont="1" applyBorder="1" applyAlignment="1">
      <alignment horizontal="center"/>
    </xf>
    <xf numFmtId="166" fontId="9" fillId="49" borderId="32" xfId="0" applyNumberFormat="1" applyFont="1" applyFill="1" applyBorder="1" applyAlignment="1">
      <alignment horizontal="center"/>
    </xf>
    <xf numFmtId="0" fontId="9" fillId="25" borderId="15" xfId="0" applyFont="1" applyFill="1" applyBorder="1" applyAlignment="1" applyProtection="1">
      <alignment horizontal="center"/>
      <protection locked="0"/>
    </xf>
    <xf numFmtId="0" fontId="9" fillId="49" borderId="49" xfId="0" applyFont="1" applyFill="1" applyBorder="1" applyProtection="1">
      <protection locked="0"/>
    </xf>
    <xf numFmtId="0" fontId="9" fillId="46" borderId="32" xfId="0" applyFont="1" applyFill="1" applyBorder="1" applyAlignment="1" applyProtection="1">
      <alignment horizontal="center"/>
      <protection locked="0"/>
    </xf>
    <xf numFmtId="0" fontId="28" fillId="46" borderId="32" xfId="0" applyFont="1" applyFill="1" applyBorder="1" applyAlignment="1" applyProtection="1">
      <alignment horizontal="center"/>
      <protection locked="0"/>
    </xf>
    <xf numFmtId="0" fontId="46" fillId="44" borderId="0" xfId="0" applyFont="1" applyFill="1"/>
    <xf numFmtId="0" fontId="69" fillId="44" borderId="0" xfId="0" applyFont="1" applyFill="1"/>
    <xf numFmtId="0" fontId="46" fillId="44" borderId="0" xfId="0" applyFont="1" applyFill="1" applyAlignment="1">
      <alignment horizontal="center"/>
    </xf>
    <xf numFmtId="20" fontId="46" fillId="44" borderId="0" xfId="0" applyNumberFormat="1" applyFont="1" applyFill="1" applyAlignment="1" applyProtection="1">
      <alignment horizontal="center"/>
      <protection locked="0"/>
    </xf>
    <xf numFmtId="0" fontId="46" fillId="44" borderId="0" xfId="0" applyFont="1" applyFill="1" applyAlignment="1" applyProtection="1">
      <alignment horizontal="center"/>
      <protection locked="0"/>
    </xf>
    <xf numFmtId="2" fontId="46" fillId="44" borderId="0" xfId="0" applyNumberFormat="1" applyFont="1" applyFill="1" applyAlignment="1" applyProtection="1">
      <alignment horizontal="center"/>
      <protection locked="0"/>
    </xf>
    <xf numFmtId="0" fontId="69" fillId="44" borderId="0" xfId="0" applyFont="1" applyFill="1" applyAlignment="1">
      <alignment horizontal="center"/>
    </xf>
    <xf numFmtId="0" fontId="46" fillId="44" borderId="0" xfId="0" applyFont="1" applyFill="1" applyAlignment="1">
      <alignment vertical="center" textRotation="90"/>
    </xf>
    <xf numFmtId="0" fontId="46" fillId="44" borderId="21" xfId="0" applyFont="1" applyFill="1" applyBorder="1"/>
    <xf numFmtId="20" fontId="46" fillId="44" borderId="30" xfId="0" applyNumberFormat="1" applyFont="1" applyFill="1" applyBorder="1" applyAlignment="1" applyProtection="1">
      <alignment horizontal="center"/>
      <protection locked="0"/>
    </xf>
    <xf numFmtId="0" fontId="46" fillId="44" borderId="30" xfId="0" applyFont="1" applyFill="1" applyBorder="1"/>
    <xf numFmtId="0" fontId="46" fillId="44" borderId="34" xfId="0" applyFont="1" applyFill="1" applyBorder="1"/>
    <xf numFmtId="0" fontId="7" fillId="0" borderId="39" xfId="0" applyFont="1" applyBorder="1"/>
    <xf numFmtId="0" fontId="7" fillId="0" borderId="34" xfId="0" applyFont="1" applyBorder="1"/>
    <xf numFmtId="0" fontId="7" fillId="0" borderId="39" xfId="0" applyFont="1" applyBorder="1" applyAlignment="1">
      <alignment horizontal="center"/>
    </xf>
    <xf numFmtId="0" fontId="7" fillId="0" borderId="66" xfId="0" applyFont="1" applyBorder="1" applyAlignment="1">
      <alignment horizontal="center"/>
    </xf>
    <xf numFmtId="0" fontId="7" fillId="0" borderId="62" xfId="0" applyFont="1" applyBorder="1" applyAlignment="1">
      <alignment horizontal="center"/>
    </xf>
    <xf numFmtId="20" fontId="9" fillId="29" borderId="46" xfId="0" applyNumberFormat="1" applyFont="1" applyFill="1" applyBorder="1" applyAlignment="1" applyProtection="1">
      <alignment horizontal="center"/>
      <protection locked="0"/>
    </xf>
    <xf numFmtId="2" fontId="9" fillId="29" borderId="15" xfId="0" applyNumberFormat="1" applyFont="1" applyFill="1" applyBorder="1" applyAlignment="1" applyProtection="1">
      <alignment horizontal="center"/>
      <protection locked="0"/>
    </xf>
    <xf numFmtId="0" fontId="9" fillId="25" borderId="49" xfId="0" applyFont="1" applyFill="1" applyBorder="1" applyAlignment="1" applyProtection="1">
      <alignment horizontal="center"/>
      <protection locked="0"/>
    </xf>
    <xf numFmtId="0" fontId="9" fillId="25" borderId="51" xfId="0" applyFont="1" applyFill="1" applyBorder="1" applyAlignment="1" applyProtection="1">
      <alignment horizontal="center"/>
      <protection locked="0"/>
    </xf>
    <xf numFmtId="0" fontId="7" fillId="0" borderId="55" xfId="0" applyFont="1" applyBorder="1" applyAlignment="1">
      <alignment horizontal="center"/>
    </xf>
    <xf numFmtId="0" fontId="7" fillId="0" borderId="26" xfId="0" applyFont="1" applyBorder="1" applyAlignment="1">
      <alignment horizontal="center"/>
    </xf>
    <xf numFmtId="0" fontId="7" fillId="0" borderId="14" xfId="0" applyFont="1" applyBorder="1" applyAlignment="1">
      <alignment horizontal="center"/>
    </xf>
    <xf numFmtId="0" fontId="9" fillId="49" borderId="12" xfId="0" applyFont="1" applyFill="1" applyBorder="1" applyAlignment="1">
      <alignment horizontal="center"/>
    </xf>
    <xf numFmtId="0" fontId="9" fillId="49" borderId="15" xfId="0" applyFont="1" applyFill="1" applyBorder="1"/>
    <xf numFmtId="0" fontId="9" fillId="49" borderId="48" xfId="0" applyFont="1" applyFill="1" applyBorder="1" applyAlignment="1">
      <alignment horizontal="center"/>
    </xf>
    <xf numFmtId="0" fontId="7" fillId="44" borderId="12" xfId="0" applyFont="1" applyFill="1" applyBorder="1" applyAlignment="1">
      <alignment horizontal="center" vertical="center" wrapText="1"/>
    </xf>
    <xf numFmtId="167" fontId="9" fillId="44" borderId="12" xfId="0" applyNumberFormat="1" applyFont="1" applyFill="1" applyBorder="1" applyAlignment="1">
      <alignment horizontal="center"/>
    </xf>
    <xf numFmtId="2" fontId="9" fillId="44" borderId="12" xfId="0" applyNumberFormat="1" applyFont="1" applyFill="1" applyBorder="1" applyAlignment="1">
      <alignment horizontal="center"/>
    </xf>
    <xf numFmtId="1" fontId="9" fillId="44" borderId="12" xfId="0" applyNumberFormat="1" applyFont="1" applyFill="1" applyBorder="1" applyAlignment="1">
      <alignment horizontal="center"/>
    </xf>
    <xf numFmtId="167" fontId="46" fillId="44" borderId="0" xfId="0" applyNumberFormat="1" applyFont="1" applyFill="1" applyAlignment="1">
      <alignment horizontal="center"/>
    </xf>
    <xf numFmtId="0" fontId="71" fillId="50" borderId="19" xfId="41" applyFont="1" applyFill="1" applyBorder="1" applyAlignment="1">
      <alignment vertical="center"/>
    </xf>
    <xf numFmtId="0" fontId="72" fillId="50" borderId="19" xfId="41" applyFont="1" applyFill="1" applyBorder="1" applyAlignment="1">
      <alignment vertical="center"/>
    </xf>
    <xf numFmtId="0" fontId="71" fillId="50" borderId="0" xfId="41" applyFont="1" applyFill="1" applyAlignment="1">
      <alignment vertical="center"/>
    </xf>
    <xf numFmtId="0" fontId="72" fillId="50" borderId="0" xfId="41" applyFont="1" applyFill="1" applyAlignment="1">
      <alignment vertical="center"/>
    </xf>
    <xf numFmtId="0" fontId="73" fillId="50" borderId="0" xfId="41" applyFont="1" applyFill="1" applyAlignment="1">
      <alignment vertical="center"/>
    </xf>
    <xf numFmtId="0" fontId="74" fillId="55" borderId="12" xfId="41" applyFont="1" applyFill="1" applyBorder="1" applyAlignment="1">
      <alignment horizontal="left" vertical="center"/>
    </xf>
    <xf numFmtId="0" fontId="74" fillId="55" borderId="12" xfId="41" applyFont="1" applyFill="1" applyBorder="1" applyAlignment="1">
      <alignment horizontal="left" vertical="center" wrapText="1"/>
    </xf>
    <xf numFmtId="0" fontId="74" fillId="55" borderId="12" xfId="41" applyFont="1" applyFill="1" applyBorder="1" applyAlignment="1">
      <alignment vertical="center"/>
    </xf>
    <xf numFmtId="0" fontId="75" fillId="55" borderId="14" xfId="41" applyFont="1" applyFill="1" applyBorder="1" applyAlignment="1">
      <alignment horizontal="center" vertical="center"/>
    </xf>
    <xf numFmtId="0" fontId="74" fillId="55" borderId="10" xfId="41" applyFont="1" applyFill="1" applyBorder="1" applyAlignment="1">
      <alignment vertical="center"/>
    </xf>
    <xf numFmtId="0" fontId="71" fillId="50" borderId="0" xfId="41" applyFont="1" applyFill="1" applyAlignment="1">
      <alignment horizontal="left" vertical="top"/>
    </xf>
    <xf numFmtId="0" fontId="0" fillId="43" borderId="12" xfId="0" applyFill="1" applyBorder="1" applyAlignment="1">
      <alignment horizontal="center" vertical="top"/>
    </xf>
    <xf numFmtId="0" fontId="0" fillId="43" borderId="12" xfId="0" applyFill="1" applyBorder="1" applyAlignment="1">
      <alignment horizontal="center" vertical="top" wrapText="1"/>
    </xf>
    <xf numFmtId="0" fontId="0" fillId="43" borderId="12" xfId="0" applyFill="1" applyBorder="1" applyAlignment="1" applyProtection="1">
      <alignment horizontal="center"/>
      <protection locked="0"/>
    </xf>
    <xf numFmtId="0" fontId="0" fillId="0" borderId="12" xfId="0" applyBorder="1" applyAlignment="1">
      <alignment horizontal="center" vertical="top" wrapText="1"/>
    </xf>
    <xf numFmtId="0" fontId="0" fillId="43" borderId="12" xfId="0" applyFill="1" applyBorder="1" applyAlignment="1">
      <alignment horizontal="center"/>
    </xf>
    <xf numFmtId="0" fontId="0" fillId="46" borderId="12" xfId="0" applyFill="1" applyBorder="1" applyAlignment="1">
      <alignment horizontal="center"/>
    </xf>
    <xf numFmtId="168" fontId="0" fillId="46" borderId="12" xfId="0" applyNumberFormat="1" applyFill="1" applyBorder="1" applyAlignment="1" applyProtection="1">
      <alignment horizontal="center"/>
      <protection locked="0"/>
    </xf>
    <xf numFmtId="1" fontId="0" fillId="46" borderId="12" xfId="0" applyNumberFormat="1" applyFill="1" applyBorder="1" applyAlignment="1" applyProtection="1">
      <alignment horizontal="center"/>
      <protection locked="0"/>
    </xf>
    <xf numFmtId="0" fontId="14" fillId="51" borderId="14" xfId="0" applyFont="1" applyFill="1" applyBorder="1" applyAlignment="1">
      <alignment horizontal="center" vertical="center"/>
    </xf>
    <xf numFmtId="0" fontId="14" fillId="52" borderId="14" xfId="0" applyFont="1" applyFill="1" applyBorder="1" applyAlignment="1">
      <alignment horizontal="center" vertical="center"/>
    </xf>
    <xf numFmtId="2" fontId="14" fillId="52" borderId="14" xfId="0" applyNumberFormat="1" applyFont="1" applyFill="1" applyBorder="1" applyAlignment="1">
      <alignment horizontal="center" vertical="center"/>
    </xf>
    <xf numFmtId="168" fontId="25" fillId="53" borderId="14" xfId="40" applyNumberFormat="1" applyFont="1" applyFill="1" applyBorder="1" applyAlignment="1">
      <alignment horizontal="center" vertical="center"/>
    </xf>
    <xf numFmtId="0" fontId="25" fillId="53" borderId="14" xfId="40" applyFont="1" applyFill="1" applyBorder="1" applyAlignment="1">
      <alignment horizontal="center" vertical="center"/>
    </xf>
    <xf numFmtId="0" fontId="0" fillId="43" borderId="12" xfId="0" applyFill="1" applyBorder="1"/>
    <xf numFmtId="2" fontId="0" fillId="43" borderId="12" xfId="0" applyNumberFormat="1" applyFill="1" applyBorder="1"/>
    <xf numFmtId="0" fontId="0" fillId="54" borderId="12" xfId="0" applyFill="1" applyBorder="1" applyAlignment="1">
      <alignment horizontal="center"/>
    </xf>
    <xf numFmtId="1" fontId="0" fillId="43" borderId="12" xfId="0" applyNumberFormat="1" applyFill="1" applyBorder="1"/>
    <xf numFmtId="168" fontId="0" fillId="54" borderId="12" xfId="0" applyNumberFormat="1" applyFill="1" applyBorder="1" applyAlignment="1" applyProtection="1">
      <alignment horizontal="center"/>
      <protection locked="0"/>
    </xf>
    <xf numFmtId="1" fontId="0" fillId="54" borderId="12" xfId="0" applyNumberFormat="1" applyFill="1" applyBorder="1" applyAlignment="1" applyProtection="1">
      <alignment horizontal="center"/>
      <protection locked="0"/>
    </xf>
    <xf numFmtId="0" fontId="7" fillId="44" borderId="0" xfId="0" applyFont="1" applyFill="1"/>
    <xf numFmtId="0" fontId="9" fillId="44" borderId="0" xfId="0" applyFont="1" applyFill="1" applyAlignment="1" applyProtection="1">
      <alignment horizontal="center"/>
      <protection locked="0"/>
    </xf>
    <xf numFmtId="0" fontId="9" fillId="44" borderId="0" xfId="0" applyFont="1" applyFill="1" applyAlignment="1">
      <alignment horizontal="center"/>
    </xf>
    <xf numFmtId="0" fontId="7" fillId="44" borderId="13" xfId="0" applyFont="1" applyFill="1" applyBorder="1"/>
    <xf numFmtId="20" fontId="9" fillId="44" borderId="13" xfId="0" applyNumberFormat="1" applyFont="1" applyFill="1" applyBorder="1" applyAlignment="1" applyProtection="1">
      <alignment horizontal="center"/>
      <protection locked="0"/>
    </xf>
    <xf numFmtId="0" fontId="9" fillId="44" borderId="13" xfId="0" applyFont="1" applyFill="1" applyBorder="1"/>
    <xf numFmtId="0" fontId="7" fillId="44" borderId="13" xfId="0" applyFont="1" applyFill="1" applyBorder="1" applyAlignment="1">
      <alignment horizontal="center"/>
    </xf>
    <xf numFmtId="166" fontId="9" fillId="44" borderId="13" xfId="0" applyNumberFormat="1" applyFont="1" applyFill="1" applyBorder="1" applyAlignment="1">
      <alignment horizontal="center"/>
    </xf>
    <xf numFmtId="14" fontId="9" fillId="44" borderId="13" xfId="0" applyNumberFormat="1" applyFont="1" applyFill="1" applyBorder="1" applyAlignment="1" applyProtection="1">
      <alignment horizontal="center"/>
      <protection locked="0"/>
    </xf>
    <xf numFmtId="0" fontId="9" fillId="44" borderId="22" xfId="0" applyFont="1" applyFill="1" applyBorder="1"/>
    <xf numFmtId="0" fontId="9" fillId="44" borderId="12" xfId="0" applyFont="1" applyFill="1" applyBorder="1" applyAlignment="1">
      <alignment horizontal="center"/>
    </xf>
    <xf numFmtId="0" fontId="58" fillId="44" borderId="0" xfId="0" applyFont="1" applyFill="1"/>
    <xf numFmtId="0" fontId="58" fillId="44" borderId="0" xfId="0" applyFont="1" applyFill="1" applyProtection="1">
      <protection locked="0"/>
    </xf>
    <xf numFmtId="0" fontId="58" fillId="44" borderId="0" xfId="0" applyFont="1" applyFill="1" applyAlignment="1">
      <alignment horizontal="center"/>
    </xf>
    <xf numFmtId="0" fontId="77" fillId="44" borderId="0" xfId="0" applyFont="1" applyFill="1"/>
    <xf numFmtId="0" fontId="77" fillId="44" borderId="0" xfId="0" applyFont="1" applyFill="1" applyAlignment="1">
      <alignment horizontal="center"/>
    </xf>
    <xf numFmtId="0" fontId="77" fillId="44" borderId="0" xfId="0" quotePrefix="1" applyFont="1" applyFill="1" applyAlignment="1">
      <alignment horizontal="left"/>
    </xf>
    <xf numFmtId="0" fontId="77" fillId="44" borderId="0" xfId="0" applyFont="1" applyFill="1" applyAlignment="1">
      <alignment wrapText="1"/>
    </xf>
    <xf numFmtId="0" fontId="78" fillId="44" borderId="0" xfId="0" applyFont="1" applyFill="1" applyAlignment="1">
      <alignment horizontal="center"/>
    </xf>
    <xf numFmtId="164" fontId="77" fillId="66" borderId="0" xfId="0" applyNumberFormat="1" applyFont="1" applyFill="1" applyAlignment="1">
      <alignment horizontal="center"/>
    </xf>
    <xf numFmtId="0" fontId="79" fillId="44" borderId="18" xfId="0" applyFont="1" applyFill="1" applyBorder="1"/>
    <xf numFmtId="0" fontId="58" fillId="44" borderId="29" xfId="0" applyFont="1" applyFill="1" applyBorder="1"/>
    <xf numFmtId="0" fontId="58" fillId="44" borderId="18" xfId="0" applyFont="1" applyFill="1" applyBorder="1"/>
    <xf numFmtId="0" fontId="78" fillId="44" borderId="18" xfId="0" applyFont="1" applyFill="1" applyBorder="1"/>
    <xf numFmtId="0" fontId="77" fillId="44" borderId="18" xfId="0" applyFont="1" applyFill="1" applyBorder="1"/>
    <xf numFmtId="0" fontId="58" fillId="44" borderId="17" xfId="0" applyFont="1" applyFill="1" applyBorder="1"/>
    <xf numFmtId="0" fontId="58" fillId="44" borderId="68" xfId="0" applyFont="1" applyFill="1" applyBorder="1"/>
    <xf numFmtId="0" fontId="79" fillId="44" borderId="12" xfId="0" applyFont="1" applyFill="1" applyBorder="1" applyAlignment="1" applyProtection="1">
      <alignment horizontal="center"/>
      <protection locked="0"/>
    </xf>
    <xf numFmtId="0" fontId="58" fillId="44" borderId="69" xfId="0" applyFont="1" applyFill="1" applyBorder="1" applyProtection="1">
      <protection locked="0"/>
    </xf>
    <xf numFmtId="0" fontId="58" fillId="44" borderId="29" xfId="0" applyFont="1" applyFill="1" applyBorder="1" applyProtection="1">
      <protection locked="0"/>
    </xf>
    <xf numFmtId="0" fontId="58" fillId="44" borderId="68" xfId="0" applyFont="1" applyFill="1" applyBorder="1" applyProtection="1">
      <protection locked="0"/>
    </xf>
    <xf numFmtId="49" fontId="0" fillId="44" borderId="0" xfId="0" applyNumberFormat="1" applyFill="1"/>
    <xf numFmtId="167" fontId="9" fillId="25" borderId="32" xfId="0" applyNumberFormat="1" applyFont="1" applyFill="1" applyBorder="1" applyAlignment="1" applyProtection="1">
      <alignment horizontal="center"/>
      <protection locked="0"/>
    </xf>
    <xf numFmtId="2" fontId="72" fillId="0" borderId="96" xfId="0" applyNumberFormat="1" applyFont="1" applyBorder="1" applyAlignment="1" applyProtection="1">
      <alignment horizontal="center" vertical="center"/>
      <protection locked="0"/>
    </xf>
    <xf numFmtId="2" fontId="72" fillId="0" borderId="83" xfId="0" applyNumberFormat="1" applyFont="1" applyBorder="1" applyAlignment="1" applyProtection="1">
      <alignment horizontal="center" vertical="center"/>
      <protection locked="0"/>
    </xf>
    <xf numFmtId="2" fontId="72" fillId="0" borderId="85" xfId="0" applyNumberFormat="1" applyFont="1" applyBorder="1" applyAlignment="1" applyProtection="1">
      <alignment horizontal="center" vertical="center"/>
      <protection locked="0"/>
    </xf>
    <xf numFmtId="0" fontId="90" fillId="49" borderId="88" xfId="0" applyFont="1" applyFill="1" applyBorder="1" applyAlignment="1">
      <alignment horizontal="center" vertical="center"/>
    </xf>
    <xf numFmtId="0" fontId="72" fillId="49" borderId="90" xfId="0" applyFont="1" applyFill="1" applyBorder="1" applyAlignment="1">
      <alignment horizontal="center" vertical="center"/>
    </xf>
    <xf numFmtId="0" fontId="90" fillId="49" borderId="141" xfId="0" applyFont="1" applyFill="1" applyBorder="1" applyAlignment="1">
      <alignment horizontal="center" vertical="center"/>
    </xf>
    <xf numFmtId="0" fontId="72" fillId="49" borderId="142" xfId="0" applyFont="1" applyFill="1" applyBorder="1" applyAlignment="1">
      <alignment horizontal="center" vertical="center"/>
    </xf>
    <xf numFmtId="0" fontId="90" fillId="49" borderId="143" xfId="0" applyFont="1" applyFill="1" applyBorder="1" applyAlignment="1">
      <alignment horizontal="center" vertical="center"/>
    </xf>
    <xf numFmtId="0" fontId="9" fillId="49" borderId="90" xfId="0" applyFont="1" applyFill="1" applyBorder="1" applyAlignment="1">
      <alignment horizontal="center" vertical="center"/>
    </xf>
    <xf numFmtId="0" fontId="93" fillId="49" borderId="90" xfId="0" applyFont="1" applyFill="1" applyBorder="1" applyAlignment="1">
      <alignment horizontal="center" vertical="center"/>
    </xf>
    <xf numFmtId="0" fontId="90" fillId="49" borderId="90" xfId="0" applyFont="1" applyFill="1" applyBorder="1" applyAlignment="1">
      <alignment horizontal="center" vertical="center"/>
    </xf>
    <xf numFmtId="2" fontId="74" fillId="50" borderId="14" xfId="26" applyNumberFormat="1" applyFont="1" applyFill="1" applyBorder="1" applyAlignment="1" applyProtection="1">
      <alignment horizontal="center" vertical="center" wrapText="1"/>
    </xf>
    <xf numFmtId="1" fontId="9" fillId="0" borderId="0" xfId="0" applyNumberFormat="1" applyFont="1" applyAlignment="1">
      <alignment horizontal="center" vertical="center"/>
    </xf>
    <xf numFmtId="0" fontId="90" fillId="49" borderId="147" xfId="0" applyFont="1" applyFill="1" applyBorder="1" applyAlignment="1">
      <alignment horizontal="center" vertical="center"/>
    </xf>
    <xf numFmtId="2" fontId="72" fillId="0" borderId="71" xfId="0" applyNumberFormat="1" applyFont="1" applyBorder="1" applyAlignment="1" applyProtection="1">
      <alignment horizontal="center" vertical="center"/>
      <protection locked="0"/>
    </xf>
    <xf numFmtId="2" fontId="72" fillId="0" borderId="73" xfId="0" applyNumberFormat="1" applyFont="1" applyBorder="1" applyAlignment="1" applyProtection="1">
      <alignment horizontal="center" vertical="center"/>
      <protection locked="0"/>
    </xf>
    <xf numFmtId="2" fontId="72" fillId="0" borderId="84" xfId="0" applyNumberFormat="1" applyFont="1" applyBorder="1" applyAlignment="1" applyProtection="1">
      <alignment horizontal="center" vertical="center"/>
      <protection locked="0"/>
    </xf>
    <xf numFmtId="2" fontId="72" fillId="0" borderId="149" xfId="0" applyNumberFormat="1" applyFont="1" applyBorder="1" applyAlignment="1" applyProtection="1">
      <alignment horizontal="center" vertical="center"/>
      <protection locked="0"/>
    </xf>
    <xf numFmtId="2" fontId="72" fillId="0" borderId="150" xfId="0" applyNumberFormat="1" applyFont="1" applyBorder="1" applyAlignment="1" applyProtection="1">
      <alignment horizontal="center" vertical="center"/>
      <protection locked="0"/>
    </xf>
    <xf numFmtId="2" fontId="72" fillId="0" borderId="151" xfId="0" applyNumberFormat="1" applyFont="1" applyBorder="1" applyAlignment="1" applyProtection="1">
      <alignment horizontal="center" vertical="center"/>
      <protection locked="0"/>
    </xf>
    <xf numFmtId="2" fontId="72" fillId="0" borderId="152" xfId="0" applyNumberFormat="1" applyFont="1" applyBorder="1" applyAlignment="1" applyProtection="1">
      <alignment horizontal="center" vertical="center"/>
      <protection locked="0"/>
    </xf>
    <xf numFmtId="2" fontId="72" fillId="0" borderId="91" xfId="0" applyNumberFormat="1" applyFont="1" applyBorder="1" applyAlignment="1" applyProtection="1">
      <alignment horizontal="center" vertical="center"/>
      <protection locked="0"/>
    </xf>
    <xf numFmtId="2" fontId="72" fillId="0" borderId="153" xfId="0" applyNumberFormat="1" applyFont="1" applyBorder="1" applyAlignment="1" applyProtection="1">
      <alignment horizontal="center" vertical="center"/>
      <protection locked="0"/>
    </xf>
    <xf numFmtId="0" fontId="90" fillId="49" borderId="142" xfId="0" applyFont="1" applyFill="1" applyBorder="1" applyAlignment="1">
      <alignment horizontal="center" vertical="center"/>
    </xf>
    <xf numFmtId="49" fontId="9" fillId="48" borderId="12" xfId="0" applyNumberFormat="1" applyFont="1" applyFill="1" applyBorder="1" applyAlignment="1">
      <alignment horizontal="center"/>
    </xf>
    <xf numFmtId="0" fontId="0" fillId="46" borderId="12" xfId="0" applyFill="1" applyBorder="1" applyAlignment="1">
      <alignment horizontal="center" vertical="top" wrapText="1"/>
    </xf>
    <xf numFmtId="49" fontId="9" fillId="43" borderId="12" xfId="0" applyNumberFormat="1" applyFont="1" applyFill="1" applyBorder="1" applyAlignment="1">
      <alignment horizontal="center"/>
    </xf>
    <xf numFmtId="1" fontId="0" fillId="46" borderId="12" xfId="0" applyNumberFormat="1" applyFill="1" applyBorder="1" applyAlignment="1">
      <alignment horizontal="center"/>
    </xf>
    <xf numFmtId="0" fontId="9" fillId="43" borderId="12" xfId="0" applyFont="1" applyFill="1" applyBorder="1" applyAlignment="1">
      <alignment horizontal="center" vertical="top" wrapText="1"/>
    </xf>
    <xf numFmtId="1" fontId="9" fillId="46" borderId="12" xfId="0" applyNumberFormat="1" applyFont="1" applyFill="1" applyBorder="1" applyAlignment="1">
      <alignment horizontal="center" vertical="top" wrapText="1"/>
    </xf>
    <xf numFmtId="2" fontId="0" fillId="46" borderId="12" xfId="0" applyNumberFormat="1" applyFill="1" applyBorder="1" applyAlignment="1">
      <alignment horizontal="center"/>
    </xf>
    <xf numFmtId="0" fontId="34" fillId="49" borderId="14" xfId="0" applyFont="1" applyFill="1" applyBorder="1" applyAlignment="1">
      <alignment horizontal="center" vertical="center" wrapText="1"/>
    </xf>
    <xf numFmtId="0" fontId="34" fillId="49" borderId="14" xfId="0" applyFont="1" applyFill="1" applyBorder="1" applyAlignment="1">
      <alignment horizontal="center" vertical="center"/>
    </xf>
    <xf numFmtId="0" fontId="36" fillId="0" borderId="26" xfId="0" applyFont="1" applyBorder="1" applyAlignment="1" applyProtection="1">
      <alignment horizontal="center" vertical="center"/>
      <protection locked="0"/>
    </xf>
    <xf numFmtId="0" fontId="36" fillId="0" borderId="11" xfId="0" applyFont="1" applyBorder="1" applyAlignment="1" applyProtection="1">
      <alignment horizontal="center" vertical="center"/>
      <protection locked="0"/>
    </xf>
    <xf numFmtId="0" fontId="36" fillId="0" borderId="14" xfId="0" applyFont="1" applyBorder="1" applyAlignment="1" applyProtection="1">
      <alignment horizontal="center" vertical="center"/>
      <protection locked="0"/>
    </xf>
    <xf numFmtId="0" fontId="36" fillId="92" borderId="71" xfId="0" applyFont="1" applyFill="1" applyBorder="1" applyAlignment="1">
      <alignment horizontal="center" vertical="center"/>
    </xf>
    <xf numFmtId="0" fontId="36" fillId="92" borderId="72" xfId="0" applyFont="1" applyFill="1" applyBorder="1" applyAlignment="1">
      <alignment horizontal="center" vertical="center"/>
    </xf>
    <xf numFmtId="0" fontId="36" fillId="92" borderId="96" xfId="0" applyFont="1" applyFill="1" applyBorder="1" applyAlignment="1">
      <alignment horizontal="center" vertical="center"/>
    </xf>
    <xf numFmtId="0" fontId="36" fillId="92" borderId="73" xfId="0" applyFont="1" applyFill="1" applyBorder="1" applyAlignment="1">
      <alignment horizontal="center" vertical="center"/>
    </xf>
    <xf numFmtId="0" fontId="36" fillId="92" borderId="74" xfId="0" applyFont="1" applyFill="1" applyBorder="1" applyAlignment="1">
      <alignment horizontal="center" vertical="center"/>
    </xf>
    <xf numFmtId="0" fontId="36" fillId="92" borderId="83" xfId="0" applyFont="1" applyFill="1" applyBorder="1" applyAlignment="1">
      <alignment horizontal="center" vertical="center"/>
    </xf>
    <xf numFmtId="0" fontId="36" fillId="92" borderId="159" xfId="0" applyFont="1" applyFill="1" applyBorder="1" applyAlignment="1">
      <alignment horizontal="center" vertical="center"/>
    </xf>
    <xf numFmtId="0" fontId="36" fillId="92" borderId="158" xfId="0" applyFont="1" applyFill="1" applyBorder="1" applyAlignment="1">
      <alignment horizontal="center" vertical="center"/>
    </xf>
    <xf numFmtId="0" fontId="36" fillId="92" borderId="160" xfId="0" applyFont="1" applyFill="1" applyBorder="1" applyAlignment="1">
      <alignment horizontal="center" vertical="center"/>
    </xf>
    <xf numFmtId="0" fontId="36" fillId="92" borderId="84" xfId="0" applyFont="1" applyFill="1" applyBorder="1" applyAlignment="1">
      <alignment horizontal="center" vertical="center"/>
    </xf>
    <xf numFmtId="0" fontId="36" fillId="92" borderId="75" xfId="0" applyFont="1" applyFill="1" applyBorder="1" applyAlignment="1">
      <alignment horizontal="center" vertical="center"/>
    </xf>
    <xf numFmtId="0" fontId="36" fillId="92" borderId="85" xfId="0" applyFont="1" applyFill="1" applyBorder="1" applyAlignment="1">
      <alignment horizontal="center" vertical="center"/>
    </xf>
    <xf numFmtId="0" fontId="34" fillId="93" borderId="14" xfId="0" applyFont="1" applyFill="1" applyBorder="1" applyAlignment="1">
      <alignment horizontal="center" vertical="center" wrapText="1"/>
    </xf>
    <xf numFmtId="0" fontId="34" fillId="93" borderId="14" xfId="0" quotePrefix="1" applyFont="1" applyFill="1" applyBorder="1" applyAlignment="1">
      <alignment horizontal="center" vertical="center" wrapText="1"/>
    </xf>
    <xf numFmtId="0" fontId="34" fillId="95" borderId="14" xfId="0" quotePrefix="1" applyFont="1" applyFill="1" applyBorder="1" applyAlignment="1">
      <alignment horizontal="center" vertical="center" wrapText="1"/>
    </xf>
    <xf numFmtId="164" fontId="34" fillId="95" borderId="14" xfId="0" quotePrefix="1" applyNumberFormat="1" applyFont="1" applyFill="1" applyBorder="1" applyAlignment="1">
      <alignment horizontal="center" vertical="center" wrapText="1"/>
    </xf>
    <xf numFmtId="165" fontId="36" fillId="94" borderId="71" xfId="0" applyNumberFormat="1" applyFont="1" applyFill="1" applyBorder="1" applyAlignment="1">
      <alignment horizontal="center" vertical="center"/>
    </xf>
    <xf numFmtId="165" fontId="36" fillId="94" borderId="73" xfId="0" applyNumberFormat="1" applyFont="1" applyFill="1" applyBorder="1" applyAlignment="1">
      <alignment horizontal="center" vertical="center"/>
    </xf>
    <xf numFmtId="165" fontId="36" fillId="94" borderId="84" xfId="0" applyNumberFormat="1" applyFont="1" applyFill="1" applyBorder="1" applyAlignment="1">
      <alignment horizontal="center" vertical="center"/>
    </xf>
    <xf numFmtId="165" fontId="36" fillId="94" borderId="97" xfId="0" applyNumberFormat="1" applyFont="1" applyFill="1" applyBorder="1" applyAlignment="1">
      <alignment horizontal="center" vertical="center"/>
    </xf>
    <xf numFmtId="0" fontId="36" fillId="44" borderId="102" xfId="0" applyFont="1" applyFill="1" applyBorder="1" applyAlignment="1">
      <alignment horizontal="center" vertical="center"/>
    </xf>
    <xf numFmtId="0" fontId="36" fillId="44" borderId="103" xfId="0" applyFont="1" applyFill="1" applyBorder="1" applyAlignment="1">
      <alignment horizontal="center" vertical="center"/>
    </xf>
    <xf numFmtId="0" fontId="36" fillId="44" borderId="104" xfId="0" applyFont="1" applyFill="1" applyBorder="1" applyAlignment="1">
      <alignment horizontal="center" vertical="center"/>
    </xf>
    <xf numFmtId="49" fontId="7" fillId="49" borderId="12" xfId="0" applyNumberFormat="1" applyFont="1" applyFill="1" applyBorder="1" applyAlignment="1">
      <alignment horizontal="center" vertical="center" wrapText="1"/>
    </xf>
    <xf numFmtId="0" fontId="33" fillId="45" borderId="128" xfId="0" applyFont="1" applyFill="1" applyBorder="1" applyAlignment="1">
      <alignment horizontal="center"/>
    </xf>
    <xf numFmtId="0" fontId="33" fillId="45" borderId="126" xfId="0" applyFont="1" applyFill="1" applyBorder="1" applyAlignment="1">
      <alignment horizontal="center"/>
    </xf>
    <xf numFmtId="0" fontId="33" fillId="45" borderId="127" xfId="0" applyFont="1" applyFill="1" applyBorder="1" applyAlignment="1">
      <alignment horizontal="center"/>
    </xf>
    <xf numFmtId="0" fontId="9" fillId="49" borderId="99" xfId="0" applyFont="1" applyFill="1" applyBorder="1" applyAlignment="1">
      <alignment horizontal="right"/>
    </xf>
    <xf numFmtId="0" fontId="9" fillId="49" borderId="100" xfId="0" applyFont="1" applyFill="1" applyBorder="1" applyAlignment="1">
      <alignment horizontal="right"/>
    </xf>
    <xf numFmtId="0" fontId="9" fillId="49" borderId="101" xfId="0" applyFont="1" applyFill="1" applyBorder="1" applyAlignment="1">
      <alignment horizontal="right"/>
    </xf>
    <xf numFmtId="0" fontId="0" fillId="49" borderId="14" xfId="0" applyFill="1" applyBorder="1"/>
    <xf numFmtId="0" fontId="0" fillId="49" borderId="26" xfId="0" applyFill="1" applyBorder="1"/>
    <xf numFmtId="0" fontId="0" fillId="49" borderId="11" xfId="0" applyFill="1" applyBorder="1"/>
    <xf numFmtId="0" fontId="36" fillId="44" borderId="126" xfId="0" applyFont="1" applyFill="1" applyBorder="1" applyAlignment="1">
      <alignment horizontal="center" vertical="center"/>
    </xf>
    <xf numFmtId="0" fontId="36" fillId="44" borderId="127" xfId="0" applyFont="1" applyFill="1" applyBorder="1" applyAlignment="1">
      <alignment horizontal="center" vertical="center"/>
    </xf>
    <xf numFmtId="0" fontId="36" fillId="44" borderId="128" xfId="0" applyFont="1" applyFill="1" applyBorder="1" applyAlignment="1">
      <alignment horizontal="center" vertical="center"/>
    </xf>
    <xf numFmtId="0" fontId="34" fillId="43" borderId="14" xfId="0" applyFont="1" applyFill="1" applyBorder="1" applyAlignment="1">
      <alignment horizontal="center" vertical="center" wrapText="1"/>
    </xf>
    <xf numFmtId="0" fontId="72" fillId="97" borderId="139" xfId="0" applyFont="1" applyFill="1" applyBorder="1" applyAlignment="1">
      <alignment horizontal="center" vertical="center"/>
    </xf>
    <xf numFmtId="0" fontId="72" fillId="97" borderId="182" xfId="0" applyFont="1" applyFill="1" applyBorder="1" applyAlignment="1">
      <alignment horizontal="center" vertical="center"/>
    </xf>
    <xf numFmtId="0" fontId="72" fillId="97" borderId="183" xfId="0" applyFont="1" applyFill="1" applyBorder="1" applyAlignment="1">
      <alignment horizontal="center" vertical="center"/>
    </xf>
    <xf numFmtId="0" fontId="72" fillId="97" borderId="184" xfId="0" applyFont="1" applyFill="1" applyBorder="1" applyAlignment="1">
      <alignment horizontal="center" vertical="center"/>
    </xf>
    <xf numFmtId="0" fontId="72" fillId="97" borderId="185" xfId="0" applyFont="1" applyFill="1" applyBorder="1" applyAlignment="1">
      <alignment horizontal="center" vertical="center"/>
    </xf>
    <xf numFmtId="0" fontId="72" fillId="97" borderId="186" xfId="0" applyFont="1" applyFill="1" applyBorder="1" applyAlignment="1">
      <alignment horizontal="center" vertical="center"/>
    </xf>
    <xf numFmtId="0" fontId="72" fillId="46" borderId="184" xfId="0" applyFont="1" applyFill="1" applyBorder="1" applyAlignment="1" applyProtection="1">
      <alignment horizontal="center" vertical="center"/>
      <protection locked="0"/>
    </xf>
    <xf numFmtId="0" fontId="72" fillId="46" borderId="194" xfId="0" applyFont="1" applyFill="1" applyBorder="1" applyAlignment="1" applyProtection="1">
      <alignment horizontal="center" vertical="center"/>
      <protection locked="0"/>
    </xf>
    <xf numFmtId="0" fontId="72" fillId="97" borderId="195" xfId="0" applyFont="1" applyFill="1" applyBorder="1" applyAlignment="1">
      <alignment horizontal="center" vertical="center"/>
    </xf>
    <xf numFmtId="0" fontId="72" fillId="97" borderId="196" xfId="0" applyFont="1" applyFill="1" applyBorder="1" applyAlignment="1">
      <alignment horizontal="center" vertical="center"/>
    </xf>
    <xf numFmtId="0" fontId="72" fillId="97" borderId="197" xfId="0" applyFont="1" applyFill="1" applyBorder="1" applyAlignment="1">
      <alignment horizontal="center" vertical="center"/>
    </xf>
    <xf numFmtId="0" fontId="72" fillId="46" borderId="203" xfId="0" applyFont="1" applyFill="1" applyBorder="1" applyAlignment="1" applyProtection="1">
      <alignment horizontal="center" vertical="center"/>
      <protection locked="0"/>
    </xf>
    <xf numFmtId="0" fontId="72" fillId="46" borderId="182" xfId="0" applyFont="1" applyFill="1" applyBorder="1" applyAlignment="1" applyProtection="1">
      <alignment horizontal="center" vertical="center"/>
      <protection locked="0"/>
    </xf>
    <xf numFmtId="0" fontId="72" fillId="46" borderId="186" xfId="0" applyFont="1" applyFill="1" applyBorder="1" applyAlignment="1" applyProtection="1">
      <alignment horizontal="center" vertical="center"/>
      <protection locked="0"/>
    </xf>
    <xf numFmtId="0" fontId="72" fillId="97" borderId="200" xfId="0" applyFont="1" applyFill="1" applyBorder="1" applyAlignment="1">
      <alignment horizontal="center" vertical="center"/>
    </xf>
    <xf numFmtId="0" fontId="72" fillId="97" borderId="204" xfId="0" applyFont="1" applyFill="1" applyBorder="1" applyAlignment="1">
      <alignment horizontal="center" vertical="center"/>
    </xf>
    <xf numFmtId="0" fontId="72" fillId="97" borderId="205" xfId="0" applyFont="1" applyFill="1" applyBorder="1" applyAlignment="1">
      <alignment horizontal="center" vertical="center"/>
    </xf>
    <xf numFmtId="0" fontId="72" fillId="46" borderId="205" xfId="0" applyFont="1" applyFill="1" applyBorder="1" applyAlignment="1" applyProtection="1">
      <alignment horizontal="center" vertical="center"/>
      <protection locked="0"/>
    </xf>
    <xf numFmtId="0" fontId="72" fillId="97" borderId="206" xfId="0" applyFont="1" applyFill="1" applyBorder="1" applyAlignment="1">
      <alignment horizontal="center" vertical="center"/>
    </xf>
    <xf numFmtId="0" fontId="72" fillId="97" borderId="140" xfId="0" applyFont="1" applyFill="1" applyBorder="1" applyAlignment="1">
      <alignment horizontal="center" vertical="center"/>
    </xf>
    <xf numFmtId="0" fontId="72" fillId="97" borderId="194" xfId="0" applyFont="1" applyFill="1" applyBorder="1" applyAlignment="1">
      <alignment horizontal="center" vertical="center"/>
    </xf>
    <xf numFmtId="0" fontId="72" fillId="46" borderId="193" xfId="0" applyFont="1" applyFill="1" applyBorder="1" applyAlignment="1" applyProtection="1">
      <alignment horizontal="center" vertical="center"/>
      <protection locked="0"/>
    </xf>
    <xf numFmtId="0" fontId="72" fillId="60" borderId="207" xfId="0" applyFont="1" applyFill="1" applyBorder="1" applyAlignment="1">
      <alignment horizontal="center" vertical="center"/>
    </xf>
    <xf numFmtId="0" fontId="72" fillId="60" borderId="138" xfId="0" applyFont="1" applyFill="1" applyBorder="1" applyAlignment="1">
      <alignment horizontal="center" vertical="center"/>
    </xf>
    <xf numFmtId="0" fontId="72" fillId="60" borderId="195" xfId="0" applyFont="1" applyFill="1" applyBorder="1" applyAlignment="1">
      <alignment horizontal="center" vertical="center"/>
    </xf>
    <xf numFmtId="0" fontId="72" fillId="60" borderId="139" xfId="0" applyFont="1" applyFill="1" applyBorder="1" applyAlignment="1">
      <alignment horizontal="center" vertical="center"/>
    </xf>
    <xf numFmtId="0" fontId="72" fillId="60" borderId="206" xfId="0" applyFont="1" applyFill="1" applyBorder="1" applyAlignment="1">
      <alignment horizontal="center" vertical="center"/>
    </xf>
    <xf numFmtId="0" fontId="72" fillId="60" borderId="140" xfId="0" applyFont="1" applyFill="1" applyBorder="1" applyAlignment="1">
      <alignment horizontal="center" vertical="center"/>
    </xf>
    <xf numFmtId="0" fontId="72" fillId="54" borderId="139" xfId="0" applyFont="1" applyFill="1" applyBorder="1" applyAlignment="1">
      <alignment horizontal="center" vertical="center"/>
    </xf>
    <xf numFmtId="0" fontId="72" fillId="76" borderId="139" xfId="0" applyFont="1" applyFill="1" applyBorder="1" applyAlignment="1">
      <alignment horizontal="center" vertical="center"/>
    </xf>
    <xf numFmtId="0" fontId="72" fillId="45" borderId="207" xfId="0" applyFont="1" applyFill="1" applyBorder="1" applyAlignment="1">
      <alignment horizontal="center" vertical="center"/>
    </xf>
    <xf numFmtId="0" fontId="72" fillId="45" borderId="138" xfId="0" applyFont="1" applyFill="1" applyBorder="1" applyAlignment="1">
      <alignment horizontal="center" vertical="center"/>
    </xf>
    <xf numFmtId="0" fontId="72" fillId="45" borderId="193" xfId="0" applyFont="1" applyFill="1" applyBorder="1" applyAlignment="1">
      <alignment horizontal="center" vertical="center"/>
    </xf>
    <xf numFmtId="0" fontId="72" fillId="45" borderId="195" xfId="0" applyFont="1" applyFill="1" applyBorder="1" applyAlignment="1">
      <alignment horizontal="center" vertical="center"/>
    </xf>
    <xf numFmtId="0" fontId="72" fillId="45" borderId="139" xfId="0" applyFont="1" applyFill="1" applyBorder="1" applyAlignment="1">
      <alignment horizontal="center" vertical="center"/>
    </xf>
    <xf numFmtId="0" fontId="72" fillId="45" borderId="182" xfId="0" applyFont="1" applyFill="1" applyBorder="1" applyAlignment="1">
      <alignment horizontal="center" vertical="center"/>
    </xf>
    <xf numFmtId="0" fontId="72" fillId="45" borderId="206" xfId="0" applyFont="1" applyFill="1" applyBorder="1" applyAlignment="1">
      <alignment horizontal="center" vertical="center"/>
    </xf>
    <xf numFmtId="0" fontId="72" fillId="45" borderId="140" xfId="0" applyFont="1" applyFill="1" applyBorder="1" applyAlignment="1">
      <alignment horizontal="center" vertical="center"/>
    </xf>
    <xf numFmtId="0" fontId="72" fillId="45" borderId="194" xfId="0" applyFont="1" applyFill="1" applyBorder="1" applyAlignment="1">
      <alignment horizontal="center" vertical="center"/>
    </xf>
    <xf numFmtId="0" fontId="72" fillId="60" borderId="182" xfId="0" applyFont="1" applyFill="1" applyBorder="1" applyAlignment="1">
      <alignment horizontal="center" vertical="center"/>
    </xf>
    <xf numFmtId="0" fontId="72" fillId="60" borderId="196" xfId="0" applyFont="1" applyFill="1" applyBorder="1" applyAlignment="1">
      <alignment horizontal="center" vertical="center"/>
    </xf>
    <xf numFmtId="0" fontId="72" fillId="60" borderId="183" xfId="0" applyFont="1" applyFill="1" applyBorder="1" applyAlignment="1">
      <alignment horizontal="center" vertical="center"/>
    </xf>
    <xf numFmtId="0" fontId="72" fillId="60" borderId="184" xfId="0" applyFont="1" applyFill="1" applyBorder="1" applyAlignment="1">
      <alignment horizontal="center" vertical="center"/>
    </xf>
    <xf numFmtId="0" fontId="72" fillId="60" borderId="193" xfId="0" applyFont="1" applyFill="1" applyBorder="1" applyAlignment="1">
      <alignment horizontal="center" vertical="center"/>
    </xf>
    <xf numFmtId="0" fontId="72" fillId="60" borderId="194" xfId="0" applyFont="1" applyFill="1" applyBorder="1" applyAlignment="1">
      <alignment horizontal="center" vertical="center"/>
    </xf>
    <xf numFmtId="0" fontId="72" fillId="45" borderId="196" xfId="0" applyFont="1" applyFill="1" applyBorder="1" applyAlignment="1">
      <alignment horizontal="center" vertical="center"/>
    </xf>
    <xf numFmtId="0" fontId="72" fillId="45" borderId="183" xfId="0" applyFont="1" applyFill="1" applyBorder="1" applyAlignment="1">
      <alignment horizontal="center" vertical="center"/>
    </xf>
    <xf numFmtId="0" fontId="72" fillId="45" borderId="184" xfId="0" applyFont="1" applyFill="1" applyBorder="1" applyAlignment="1">
      <alignment horizontal="center" vertical="center"/>
    </xf>
    <xf numFmtId="0" fontId="72" fillId="54" borderId="196" xfId="0" applyFont="1" applyFill="1" applyBorder="1" applyAlignment="1">
      <alignment horizontal="center" vertical="center"/>
    </xf>
    <xf numFmtId="0" fontId="72" fillId="54" borderId="183" xfId="0" applyFont="1" applyFill="1" applyBorder="1" applyAlignment="1">
      <alignment horizontal="center" vertical="center"/>
    </xf>
    <xf numFmtId="0" fontId="72" fillId="61" borderId="200" xfId="0" applyFont="1" applyFill="1" applyBorder="1" applyAlignment="1">
      <alignment horizontal="center" vertical="center"/>
    </xf>
    <xf numFmtId="0" fontId="72" fillId="61" borderId="204" xfId="0" applyFont="1" applyFill="1" applyBorder="1" applyAlignment="1">
      <alignment horizontal="center" vertical="center"/>
    </xf>
    <xf numFmtId="0" fontId="72" fillId="61" borderId="205" xfId="0" applyFont="1" applyFill="1" applyBorder="1" applyAlignment="1">
      <alignment horizontal="center" vertical="center"/>
    </xf>
    <xf numFmtId="0" fontId="72" fillId="61" borderId="195" xfId="0" applyFont="1" applyFill="1" applyBorder="1" applyAlignment="1">
      <alignment horizontal="center" vertical="center"/>
    </xf>
    <xf numFmtId="0" fontId="72" fillId="61" borderId="139" xfId="0" applyFont="1" applyFill="1" applyBorder="1" applyAlignment="1">
      <alignment horizontal="center" vertical="center"/>
    </xf>
    <xf numFmtId="0" fontId="72" fillId="61" borderId="182" xfId="0" applyFont="1" applyFill="1" applyBorder="1" applyAlignment="1">
      <alignment horizontal="center" vertical="center"/>
    </xf>
    <xf numFmtId="0" fontId="72" fillId="61" borderId="196" xfId="0" applyFont="1" applyFill="1" applyBorder="1" applyAlignment="1">
      <alignment horizontal="center" vertical="center"/>
    </xf>
    <xf numFmtId="0" fontId="72" fillId="61" borderId="183" xfId="0" applyFont="1" applyFill="1" applyBorder="1" applyAlignment="1">
      <alignment horizontal="center" vertical="center"/>
    </xf>
    <xf numFmtId="0" fontId="72" fillId="61" borderId="184" xfId="0" applyFont="1" applyFill="1" applyBorder="1" applyAlignment="1">
      <alignment horizontal="center" vertical="center"/>
    </xf>
    <xf numFmtId="0" fontId="72" fillId="76" borderId="198" xfId="0" applyFont="1" applyFill="1" applyBorder="1" applyAlignment="1">
      <alignment horizontal="center" vertical="center"/>
    </xf>
    <xf numFmtId="0" fontId="72" fillId="76" borderId="185" xfId="0" applyFont="1" applyFill="1" applyBorder="1" applyAlignment="1">
      <alignment horizontal="center" vertical="center"/>
    </xf>
    <xf numFmtId="0" fontId="72" fillId="76" borderId="187" xfId="0" applyFont="1" applyFill="1" applyBorder="1" applyAlignment="1">
      <alignment horizontal="center" vertical="center"/>
    </xf>
    <xf numFmtId="0" fontId="72" fillId="76" borderId="188" xfId="0" applyFont="1" applyFill="1" applyBorder="1" applyAlignment="1">
      <alignment horizontal="center" vertical="center"/>
    </xf>
    <xf numFmtId="0" fontId="72" fillId="76" borderId="196" xfId="0" applyFont="1" applyFill="1" applyBorder="1" applyAlignment="1">
      <alignment horizontal="center" vertical="center"/>
    </xf>
    <xf numFmtId="0" fontId="72" fillId="76" borderId="183" xfId="0" applyFont="1" applyFill="1" applyBorder="1" applyAlignment="1">
      <alignment horizontal="center" vertical="center"/>
    </xf>
    <xf numFmtId="0" fontId="72" fillId="76" borderId="184" xfId="0" applyFont="1" applyFill="1" applyBorder="1" applyAlignment="1">
      <alignment horizontal="center" vertical="center"/>
    </xf>
    <xf numFmtId="0" fontId="72" fillId="76" borderId="189" xfId="0" applyFont="1" applyFill="1" applyBorder="1" applyAlignment="1">
      <alignment horizontal="center" vertical="center"/>
    </xf>
    <xf numFmtId="0" fontId="72" fillId="45" borderId="198" xfId="0" applyFont="1" applyFill="1" applyBorder="1" applyAlignment="1">
      <alignment horizontal="center" vertical="center"/>
    </xf>
    <xf numFmtId="0" fontId="72" fillId="45" borderId="185" xfId="0" applyFont="1" applyFill="1" applyBorder="1" applyAlignment="1">
      <alignment horizontal="center" vertical="center"/>
    </xf>
    <xf numFmtId="0" fontId="72" fillId="45" borderId="187" xfId="0" applyFont="1" applyFill="1" applyBorder="1" applyAlignment="1">
      <alignment horizontal="center" vertical="center"/>
    </xf>
    <xf numFmtId="0" fontId="72" fillId="45" borderId="189" xfId="0" applyFont="1" applyFill="1" applyBorder="1" applyAlignment="1">
      <alignment horizontal="center" vertical="center"/>
    </xf>
    <xf numFmtId="0" fontId="72" fillId="45" borderId="190" xfId="0" applyFont="1" applyFill="1" applyBorder="1" applyAlignment="1">
      <alignment horizontal="center" vertical="center"/>
    </xf>
    <xf numFmtId="0" fontId="72" fillId="93" borderId="198" xfId="0" applyFont="1" applyFill="1" applyBorder="1" applyAlignment="1">
      <alignment horizontal="center" vertical="center"/>
    </xf>
    <xf numFmtId="0" fontId="72" fillId="93" borderId="185" xfId="0" applyFont="1" applyFill="1" applyBorder="1" applyAlignment="1">
      <alignment horizontal="center" vertical="center"/>
    </xf>
    <xf numFmtId="0" fontId="72" fillId="93" borderId="187" xfId="0" applyFont="1" applyFill="1" applyBorder="1" applyAlignment="1">
      <alignment horizontal="center" vertical="center"/>
    </xf>
    <xf numFmtId="0" fontId="72" fillId="93" borderId="188" xfId="0" applyFont="1" applyFill="1" applyBorder="1" applyAlignment="1">
      <alignment horizontal="center" vertical="center"/>
    </xf>
    <xf numFmtId="0" fontId="72" fillId="93" borderId="196" xfId="0" applyFont="1" applyFill="1" applyBorder="1" applyAlignment="1">
      <alignment horizontal="center" vertical="center"/>
    </xf>
    <xf numFmtId="0" fontId="72" fillId="93" borderId="139" xfId="0" applyFont="1" applyFill="1" applyBorder="1" applyAlignment="1">
      <alignment horizontal="center" vertical="center"/>
    </xf>
    <xf numFmtId="0" fontId="72" fillId="93" borderId="183" xfId="0" applyFont="1" applyFill="1" applyBorder="1" applyAlignment="1">
      <alignment horizontal="center" vertical="center"/>
    </xf>
    <xf numFmtId="0" fontId="72" fillId="93" borderId="184" xfId="0" applyFont="1" applyFill="1" applyBorder="1" applyAlignment="1">
      <alignment horizontal="center" vertical="center"/>
    </xf>
    <xf numFmtId="0" fontId="72" fillId="93" borderId="189" xfId="0" applyFont="1" applyFill="1" applyBorder="1" applyAlignment="1">
      <alignment horizontal="center" vertical="center"/>
    </xf>
    <xf numFmtId="0" fontId="72" fillId="93" borderId="190" xfId="0" applyFont="1" applyFill="1" applyBorder="1" applyAlignment="1">
      <alignment horizontal="center" vertical="center"/>
    </xf>
    <xf numFmtId="0" fontId="72" fillId="60" borderId="198" xfId="0" applyFont="1" applyFill="1" applyBorder="1" applyAlignment="1">
      <alignment horizontal="center" vertical="center"/>
    </xf>
    <xf numFmtId="0" fontId="72" fillId="60" borderId="185" xfId="0" applyFont="1" applyFill="1" applyBorder="1" applyAlignment="1">
      <alignment horizontal="center" vertical="center"/>
    </xf>
    <xf numFmtId="0" fontId="72" fillId="60" borderId="187" xfId="0" applyFont="1" applyFill="1" applyBorder="1" applyAlignment="1">
      <alignment horizontal="center" vertical="center"/>
    </xf>
    <xf numFmtId="0" fontId="72" fillId="60" borderId="188" xfId="0" applyFont="1" applyFill="1" applyBorder="1" applyAlignment="1">
      <alignment horizontal="center" vertical="center"/>
    </xf>
    <xf numFmtId="0" fontId="72" fillId="60" borderId="189" xfId="0" applyFont="1" applyFill="1" applyBorder="1" applyAlignment="1">
      <alignment horizontal="center" vertical="center"/>
    </xf>
    <xf numFmtId="0" fontId="72" fillId="60" borderId="190" xfId="0" applyFont="1" applyFill="1" applyBorder="1" applyAlignment="1">
      <alignment horizontal="center" vertical="center"/>
    </xf>
    <xf numFmtId="0" fontId="72" fillId="61" borderId="198" xfId="0" applyFont="1" applyFill="1" applyBorder="1" applyAlignment="1">
      <alignment horizontal="center" vertical="center"/>
    </xf>
    <xf numFmtId="0" fontId="72" fillId="61" borderId="185" xfId="0" applyFont="1" applyFill="1" applyBorder="1" applyAlignment="1">
      <alignment horizontal="center" vertical="center"/>
    </xf>
    <xf numFmtId="0" fontId="72" fillId="61" borderId="187" xfId="0" applyFont="1" applyFill="1" applyBorder="1" applyAlignment="1">
      <alignment horizontal="center" vertical="center"/>
    </xf>
    <xf numFmtId="0" fontId="72" fillId="61" borderId="188" xfId="0" applyFont="1" applyFill="1" applyBorder="1" applyAlignment="1">
      <alignment horizontal="center" vertical="center"/>
    </xf>
    <xf numFmtId="0" fontId="72" fillId="54" borderId="197" xfId="0" applyFont="1" applyFill="1" applyBorder="1" applyAlignment="1">
      <alignment horizontal="center" vertical="center"/>
    </xf>
    <xf numFmtId="0" fontId="72" fillId="54" borderId="185" xfId="0" applyFont="1" applyFill="1" applyBorder="1" applyAlignment="1">
      <alignment horizontal="center" vertical="center"/>
    </xf>
    <xf numFmtId="0" fontId="72" fillId="54" borderId="190" xfId="0" applyFont="1" applyFill="1" applyBorder="1" applyAlignment="1">
      <alignment horizontal="center" vertical="center"/>
    </xf>
    <xf numFmtId="0" fontId="72" fillId="96" borderId="196" xfId="0" applyFont="1" applyFill="1" applyBorder="1" applyAlignment="1" applyProtection="1">
      <alignment horizontal="center" vertical="center"/>
      <protection locked="0"/>
    </xf>
    <xf numFmtId="0" fontId="72" fillId="96" borderId="183" xfId="0" applyFont="1" applyFill="1" applyBorder="1" applyAlignment="1" applyProtection="1">
      <alignment horizontal="center" vertical="center"/>
      <protection locked="0"/>
    </xf>
    <xf numFmtId="0" fontId="72" fillId="96" borderId="184" xfId="0" applyFont="1" applyFill="1" applyBorder="1" applyAlignment="1" applyProtection="1">
      <alignment horizontal="center" vertical="center"/>
      <protection locked="0"/>
    </xf>
    <xf numFmtId="0" fontId="72" fillId="99" borderId="199" xfId="0" applyFont="1" applyFill="1" applyBorder="1" applyAlignment="1" applyProtection="1">
      <alignment horizontal="center" vertical="center"/>
      <protection locked="0"/>
    </xf>
    <xf numFmtId="0" fontId="72" fillId="99" borderId="191" xfId="0" applyFont="1" applyFill="1" applyBorder="1" applyAlignment="1" applyProtection="1">
      <alignment horizontal="center" vertical="center"/>
      <protection locked="0"/>
    </xf>
    <xf numFmtId="0" fontId="72" fillId="99" borderId="192" xfId="0" applyFont="1" applyFill="1" applyBorder="1" applyAlignment="1" applyProtection="1">
      <alignment horizontal="center" vertical="center"/>
      <protection locked="0"/>
    </xf>
    <xf numFmtId="0" fontId="72" fillId="99" borderId="196" xfId="0" applyFont="1" applyFill="1" applyBorder="1" applyAlignment="1" applyProtection="1">
      <alignment horizontal="center" vertical="center"/>
      <protection locked="0"/>
    </xf>
    <xf numFmtId="0" fontId="72" fillId="99" borderId="183" xfId="0" applyFont="1" applyFill="1" applyBorder="1" applyAlignment="1" applyProtection="1">
      <alignment horizontal="center" vertical="center"/>
      <protection locked="0"/>
    </xf>
    <xf numFmtId="0" fontId="72" fillId="99" borderId="184" xfId="0" applyFont="1" applyFill="1" applyBorder="1" applyAlignment="1" applyProtection="1">
      <alignment horizontal="center" vertical="center"/>
      <protection locked="0"/>
    </xf>
    <xf numFmtId="0" fontId="72" fillId="96" borderId="195" xfId="0" applyFont="1" applyFill="1" applyBorder="1" applyAlignment="1" applyProtection="1">
      <alignment horizontal="center" vertical="center"/>
      <protection locked="0"/>
    </xf>
    <xf numFmtId="0" fontId="72" fillId="98" borderId="197" xfId="0" applyFont="1" applyFill="1" applyBorder="1" applyAlignment="1" applyProtection="1">
      <alignment horizontal="center" vertical="center"/>
      <protection locked="0"/>
    </xf>
    <xf numFmtId="0" fontId="72" fillId="98" borderId="187" xfId="0" applyFont="1" applyFill="1" applyBorder="1" applyAlignment="1" applyProtection="1">
      <alignment horizontal="center" vertical="center"/>
      <protection locked="0"/>
    </xf>
    <xf numFmtId="0" fontId="72" fillId="98" borderId="188" xfId="0" applyFont="1" applyFill="1" applyBorder="1" applyAlignment="1" applyProtection="1">
      <alignment horizontal="center" vertical="center"/>
      <protection locked="0"/>
    </xf>
    <xf numFmtId="0" fontId="114" fillId="98" borderId="200" xfId="0" applyFont="1" applyFill="1" applyBorder="1" applyAlignment="1" applyProtection="1">
      <alignment horizontal="center" vertical="center"/>
      <protection locked="0"/>
    </xf>
    <xf numFmtId="0" fontId="72" fillId="98" borderId="183" xfId="0" applyFont="1" applyFill="1" applyBorder="1" applyAlignment="1" applyProtection="1">
      <alignment horizontal="center" vertical="center"/>
      <protection locked="0"/>
    </xf>
    <xf numFmtId="0" fontId="72" fillId="98" borderId="184" xfId="0" applyFont="1" applyFill="1" applyBorder="1" applyAlignment="1" applyProtection="1">
      <alignment horizontal="center" vertical="center"/>
      <protection locked="0"/>
    </xf>
    <xf numFmtId="0" fontId="72" fillId="98" borderId="196" xfId="0" applyFont="1" applyFill="1" applyBorder="1" applyAlignment="1" applyProtection="1">
      <alignment horizontal="center" vertical="center"/>
      <protection locked="0"/>
    </xf>
    <xf numFmtId="0" fontId="72" fillId="98" borderId="201" xfId="0" applyFont="1" applyFill="1" applyBorder="1" applyAlignment="1" applyProtection="1">
      <alignment horizontal="center" vertical="center"/>
      <protection locked="0"/>
    </xf>
    <xf numFmtId="0" fontId="72" fillId="98" borderId="202" xfId="0" applyFont="1" applyFill="1" applyBorder="1" applyAlignment="1" applyProtection="1">
      <alignment horizontal="center" vertical="center"/>
      <protection locked="0"/>
    </xf>
    <xf numFmtId="0" fontId="72" fillId="98" borderId="203" xfId="0" applyFont="1" applyFill="1" applyBorder="1" applyAlignment="1" applyProtection="1">
      <alignment horizontal="center" vertical="center"/>
      <protection locked="0"/>
    </xf>
    <xf numFmtId="0" fontId="5" fillId="49" borderId="99" xfId="0" applyFont="1" applyFill="1" applyBorder="1" applyAlignment="1">
      <alignment horizontal="right"/>
    </xf>
    <xf numFmtId="0" fontId="5" fillId="49" borderId="100" xfId="0" applyFont="1" applyFill="1" applyBorder="1" applyAlignment="1">
      <alignment horizontal="right"/>
    </xf>
    <xf numFmtId="0" fontId="5" fillId="49" borderId="101" xfId="0" applyFont="1" applyFill="1" applyBorder="1" applyAlignment="1">
      <alignment horizontal="right"/>
    </xf>
    <xf numFmtId="165" fontId="36" fillId="94" borderId="159" xfId="0" applyNumberFormat="1" applyFont="1" applyFill="1" applyBorder="1" applyAlignment="1">
      <alignment horizontal="center" vertical="center"/>
    </xf>
    <xf numFmtId="0" fontId="29" fillId="0" borderId="0" xfId="0" applyFont="1" applyAlignment="1">
      <alignment horizontal="center" vertical="center"/>
    </xf>
    <xf numFmtId="0" fontId="0" fillId="0" borderId="0" xfId="0" applyAlignment="1">
      <alignment vertical="center"/>
    </xf>
    <xf numFmtId="0" fontId="0" fillId="0" borderId="0" xfId="0" applyAlignment="1">
      <alignment horizontal="center" vertical="center"/>
    </xf>
    <xf numFmtId="0" fontId="125" fillId="0" borderId="0" xfId="0" applyFont="1" applyAlignment="1">
      <alignment horizontal="center" vertical="center"/>
    </xf>
    <xf numFmtId="0" fontId="74" fillId="50" borderId="12" xfId="26" applyFont="1" applyFill="1" applyBorder="1" applyAlignment="1" applyProtection="1">
      <alignment horizontal="center" vertical="center" wrapText="1"/>
    </xf>
    <xf numFmtId="0" fontId="74" fillId="50" borderId="12" xfId="0" applyFont="1" applyFill="1" applyBorder="1" applyAlignment="1">
      <alignment horizontal="center" vertical="center" wrapText="1"/>
    </xf>
    <xf numFmtId="1" fontId="74" fillId="50" borderId="12" xfId="26" applyNumberFormat="1" applyFont="1" applyFill="1" applyBorder="1" applyAlignment="1" applyProtection="1">
      <alignment horizontal="center" vertical="center" wrapText="1"/>
    </xf>
    <xf numFmtId="0" fontId="90" fillId="49" borderId="87" xfId="0" applyFont="1" applyFill="1" applyBorder="1" applyAlignment="1">
      <alignment horizontal="center" vertical="center"/>
    </xf>
    <xf numFmtId="0" fontId="90" fillId="49" borderId="89" xfId="0" applyFont="1" applyFill="1" applyBorder="1" applyAlignment="1">
      <alignment horizontal="center" vertical="center"/>
    </xf>
    <xf numFmtId="0" fontId="72" fillId="49" borderId="89" xfId="0" applyFont="1" applyFill="1" applyBorder="1" applyAlignment="1">
      <alignment horizontal="center" vertical="center"/>
    </xf>
    <xf numFmtId="2" fontId="72" fillId="49" borderId="102" xfId="0" applyNumberFormat="1" applyFont="1" applyFill="1" applyBorder="1" applyAlignment="1">
      <alignment horizontal="center" vertical="center"/>
    </xf>
    <xf numFmtId="2" fontId="72" fillId="49" borderId="103" xfId="0" applyNumberFormat="1" applyFont="1" applyFill="1" applyBorder="1" applyAlignment="1">
      <alignment horizontal="center" vertical="center"/>
    </xf>
    <xf numFmtId="2" fontId="72" fillId="49" borderId="104" xfId="0" applyNumberFormat="1" applyFont="1" applyFill="1" applyBorder="1" applyAlignment="1">
      <alignment horizontal="center" vertical="center"/>
    </xf>
    <xf numFmtId="2" fontId="72" fillId="49" borderId="105" xfId="0" applyNumberFormat="1" applyFont="1" applyFill="1" applyBorder="1" applyAlignment="1">
      <alignment horizontal="center" vertical="center"/>
    </xf>
    <xf numFmtId="2" fontId="0" fillId="0" borderId="0" xfId="0" applyNumberFormat="1"/>
    <xf numFmtId="2" fontId="5" fillId="0" borderId="102" xfId="39" applyNumberFormat="1" applyFont="1" applyBorder="1" applyAlignment="1" applyProtection="1">
      <alignment horizontal="center" vertical="center"/>
      <protection locked="0"/>
    </xf>
    <xf numFmtId="2" fontId="72" fillId="0" borderId="89" xfId="0" applyNumberFormat="1" applyFont="1" applyBorder="1" applyAlignment="1" applyProtection="1">
      <alignment horizontal="center" vertical="center"/>
      <protection locked="0"/>
    </xf>
    <xf numFmtId="2" fontId="72" fillId="0" borderId="209" xfId="0" applyNumberFormat="1" applyFont="1" applyBorder="1" applyAlignment="1" applyProtection="1">
      <alignment horizontal="center" vertical="center"/>
      <protection locked="0"/>
    </xf>
    <xf numFmtId="0" fontId="93" fillId="49" borderId="142" xfId="0" applyFont="1" applyFill="1" applyBorder="1" applyAlignment="1">
      <alignment horizontal="center" vertical="center"/>
    </xf>
    <xf numFmtId="0" fontId="9" fillId="49" borderId="142" xfId="0" applyFont="1" applyFill="1" applyBorder="1" applyAlignment="1">
      <alignment horizontal="center" vertical="center"/>
    </xf>
    <xf numFmtId="2" fontId="72" fillId="0" borderId="97" xfId="0" applyNumberFormat="1" applyFont="1" applyBorder="1" applyAlignment="1" applyProtection="1">
      <alignment horizontal="center" vertical="center"/>
      <protection locked="0"/>
    </xf>
    <xf numFmtId="2" fontId="72" fillId="0" borderId="98" xfId="0" applyNumberFormat="1" applyFont="1" applyBorder="1" applyAlignment="1" applyProtection="1">
      <alignment horizontal="center" vertical="center"/>
      <protection locked="0"/>
    </xf>
    <xf numFmtId="0" fontId="5" fillId="0" borderId="0" xfId="0" applyFont="1" applyAlignment="1">
      <alignment horizontal="center" vertical="center"/>
    </xf>
    <xf numFmtId="0" fontId="9" fillId="46" borderId="12" xfId="0" applyFont="1" applyFill="1" applyBorder="1" applyAlignment="1">
      <alignment horizontal="center" vertical="center"/>
    </xf>
    <xf numFmtId="0" fontId="9" fillId="54" borderId="12" xfId="0" applyFont="1" applyFill="1" applyBorder="1" applyAlignment="1">
      <alignment horizontal="center" vertical="center"/>
    </xf>
    <xf numFmtId="0" fontId="9" fillId="46" borderId="28" xfId="0" applyFont="1" applyFill="1" applyBorder="1" applyAlignment="1">
      <alignment horizontal="center" vertical="center"/>
    </xf>
    <xf numFmtId="2" fontId="34" fillId="49" borderId="14" xfId="0" applyNumberFormat="1" applyFont="1" applyFill="1" applyBorder="1" applyAlignment="1">
      <alignment horizontal="center" vertical="center" wrapText="1"/>
    </xf>
    <xf numFmtId="2" fontId="36" fillId="44" borderId="102" xfId="0" applyNumberFormat="1" applyFont="1" applyFill="1" applyBorder="1" applyAlignment="1">
      <alignment horizontal="center" vertical="center"/>
    </xf>
    <xf numFmtId="2" fontId="36" fillId="44" borderId="103" xfId="0" applyNumberFormat="1" applyFont="1" applyFill="1" applyBorder="1" applyAlignment="1">
      <alignment horizontal="center" vertical="center"/>
    </xf>
    <xf numFmtId="2" fontId="36" fillId="44" borderId="104" xfId="0" applyNumberFormat="1" applyFont="1" applyFill="1" applyBorder="1" applyAlignment="1">
      <alignment horizontal="center" vertical="center"/>
    </xf>
    <xf numFmtId="2" fontId="36" fillId="44" borderId="105" xfId="0" applyNumberFormat="1" applyFont="1" applyFill="1" applyBorder="1" applyAlignment="1">
      <alignment horizontal="center" vertical="center"/>
    </xf>
    <xf numFmtId="2" fontId="36" fillId="0" borderId="0" xfId="0" applyNumberFormat="1" applyFont="1" applyAlignment="1">
      <alignment horizontal="center" vertical="center"/>
    </xf>
    <xf numFmtId="2" fontId="36" fillId="0" borderId="14" xfId="0" applyNumberFormat="1" applyFont="1" applyBorder="1" applyAlignment="1">
      <alignment horizontal="center" vertical="center"/>
    </xf>
    <xf numFmtId="2" fontId="36" fillId="0" borderId="26" xfId="0" applyNumberFormat="1" applyFont="1" applyBorder="1" applyAlignment="1">
      <alignment horizontal="center" vertical="center"/>
    </xf>
    <xf numFmtId="2" fontId="36" fillId="0" borderId="11" xfId="0" applyNumberFormat="1" applyFont="1" applyBorder="1" applyAlignment="1">
      <alignment horizontal="center" vertical="center"/>
    </xf>
    <xf numFmtId="0" fontId="36" fillId="0" borderId="26" xfId="0" applyFont="1" applyBorder="1" applyAlignment="1">
      <alignment horizontal="center" vertical="center"/>
    </xf>
    <xf numFmtId="0" fontId="9" fillId="44" borderId="0" xfId="0" applyFont="1" applyFill="1" applyAlignment="1">
      <alignment horizontal="center" vertical="center"/>
    </xf>
    <xf numFmtId="0" fontId="36" fillId="44" borderId="0" xfId="0" applyFont="1" applyFill="1" applyAlignment="1">
      <alignment horizontal="center" vertical="center"/>
    </xf>
    <xf numFmtId="0" fontId="34" fillId="60" borderId="12" xfId="0" applyFont="1" applyFill="1" applyBorder="1" applyAlignment="1">
      <alignment horizontal="center" vertical="center" wrapText="1"/>
    </xf>
    <xf numFmtId="0" fontId="108" fillId="55" borderId="14" xfId="0" applyFont="1" applyFill="1" applyBorder="1" applyAlignment="1">
      <alignment horizontal="center" vertical="center"/>
    </xf>
    <xf numFmtId="0" fontId="36" fillId="94" borderId="96" xfId="0" applyFont="1" applyFill="1" applyBorder="1" applyAlignment="1">
      <alignment horizontal="center" vertical="center"/>
    </xf>
    <xf numFmtId="0" fontId="108" fillId="55" borderId="26" xfId="0" applyFont="1" applyFill="1" applyBorder="1" applyAlignment="1">
      <alignment horizontal="center" vertical="center"/>
    </xf>
    <xf numFmtId="0" fontId="36" fillId="55" borderId="103" xfId="0" applyFont="1" applyFill="1" applyBorder="1" applyAlignment="1">
      <alignment horizontal="center" vertical="center" wrapText="1"/>
    </xf>
    <xf numFmtId="0" fontId="36" fillId="94" borderId="83" xfId="0" applyFont="1" applyFill="1" applyBorder="1" applyAlignment="1">
      <alignment horizontal="center" vertical="center"/>
    </xf>
    <xf numFmtId="0" fontId="36" fillId="55" borderId="26" xfId="0" applyFont="1" applyFill="1" applyBorder="1" applyAlignment="1">
      <alignment horizontal="center" vertical="center"/>
    </xf>
    <xf numFmtId="0" fontId="36" fillId="55" borderId="173" xfId="0" applyFont="1" applyFill="1" applyBorder="1" applyAlignment="1">
      <alignment horizontal="center" vertical="center" wrapText="1"/>
    </xf>
    <xf numFmtId="0" fontId="36" fillId="94" borderId="85" xfId="0" applyFont="1" applyFill="1" applyBorder="1" applyAlignment="1">
      <alignment horizontal="center" vertical="center"/>
    </xf>
    <xf numFmtId="0" fontId="108" fillId="55" borderId="11" xfId="0" applyFont="1" applyFill="1" applyBorder="1" applyAlignment="1">
      <alignment horizontal="center" vertical="center"/>
    </xf>
    <xf numFmtId="0" fontId="107" fillId="48" borderId="14" xfId="0" applyFont="1" applyFill="1" applyBorder="1" applyAlignment="1">
      <alignment horizontal="center" vertical="center"/>
    </xf>
    <xf numFmtId="0" fontId="36" fillId="48" borderId="102" xfId="0" applyFont="1" applyFill="1" applyBorder="1" applyAlignment="1">
      <alignment horizontal="center" vertical="center" wrapText="1"/>
    </xf>
    <xf numFmtId="0" fontId="107" fillId="48" borderId="26" xfId="0" applyFont="1" applyFill="1" applyBorder="1" applyAlignment="1">
      <alignment horizontal="center" vertical="center"/>
    </xf>
    <xf numFmtId="0" fontId="36" fillId="48" borderId="103" xfId="0" applyFont="1" applyFill="1" applyBorder="1" applyAlignment="1">
      <alignment horizontal="center" vertical="center" wrapText="1"/>
    </xf>
    <xf numFmtId="0" fontId="36" fillId="48" borderId="26" xfId="0" applyFont="1" applyFill="1" applyBorder="1" applyAlignment="1">
      <alignment horizontal="center" vertical="center"/>
    </xf>
    <xf numFmtId="0" fontId="36" fillId="48" borderId="173" xfId="0" applyFont="1" applyFill="1" applyBorder="1" applyAlignment="1">
      <alignment horizontal="center" vertical="center" wrapText="1"/>
    </xf>
    <xf numFmtId="0" fontId="107" fillId="48" borderId="11" xfId="0" applyFont="1" applyFill="1" applyBorder="1" applyAlignment="1">
      <alignment horizontal="center" vertical="center"/>
    </xf>
    <xf numFmtId="0" fontId="110" fillId="76" borderId="14" xfId="0" applyFont="1" applyFill="1" applyBorder="1" applyAlignment="1">
      <alignment horizontal="center" vertical="center"/>
    </xf>
    <xf numFmtId="0" fontId="110" fillId="76" borderId="26" xfId="0" applyFont="1" applyFill="1" applyBorder="1" applyAlignment="1">
      <alignment horizontal="center" vertical="center"/>
    </xf>
    <xf numFmtId="0" fontId="36" fillId="76" borderId="103" xfId="0" applyFont="1" applyFill="1" applyBorder="1" applyAlignment="1">
      <alignment horizontal="center" vertical="center" wrapText="1"/>
    </xf>
    <xf numFmtId="0" fontId="36" fillId="76" borderId="26" xfId="0" applyFont="1" applyFill="1" applyBorder="1" applyAlignment="1">
      <alignment horizontal="center" vertical="center"/>
    </xf>
    <xf numFmtId="0" fontId="36" fillId="76" borderId="173" xfId="0" applyFont="1" applyFill="1" applyBorder="1" applyAlignment="1">
      <alignment horizontal="center" vertical="center" wrapText="1"/>
    </xf>
    <xf numFmtId="0" fontId="110" fillId="76" borderId="11" xfId="0" applyFont="1" applyFill="1" applyBorder="1" applyAlignment="1">
      <alignment horizontal="center" vertical="center"/>
    </xf>
    <xf numFmtId="0" fontId="36" fillId="76" borderId="104" xfId="0" applyFont="1" applyFill="1" applyBorder="1" applyAlignment="1">
      <alignment horizontal="center" vertical="center" wrapText="1"/>
    </xf>
    <xf numFmtId="0" fontId="36" fillId="45" borderId="102" xfId="0" applyFont="1" applyFill="1" applyBorder="1" applyAlignment="1">
      <alignment horizontal="center" vertical="center" wrapText="1"/>
    </xf>
    <xf numFmtId="0" fontId="112" fillId="45" borderId="26" xfId="0" applyFont="1" applyFill="1" applyBorder="1" applyAlignment="1">
      <alignment horizontal="center" vertical="center"/>
    </xf>
    <xf numFmtId="0" fontId="36" fillId="45" borderId="103" xfId="0" applyFont="1" applyFill="1" applyBorder="1" applyAlignment="1">
      <alignment horizontal="center" vertical="center" wrapText="1"/>
    </xf>
    <xf numFmtId="0" fontId="36" fillId="45" borderId="26" xfId="0" applyFont="1" applyFill="1" applyBorder="1" applyAlignment="1">
      <alignment horizontal="center" vertical="center"/>
    </xf>
    <xf numFmtId="0" fontId="36" fillId="45" borderId="173" xfId="0" applyFont="1" applyFill="1" applyBorder="1" applyAlignment="1">
      <alignment horizontal="center" vertical="center" wrapText="1"/>
    </xf>
    <xf numFmtId="0" fontId="112" fillId="45" borderId="11" xfId="0" applyFont="1" applyFill="1" applyBorder="1" applyAlignment="1">
      <alignment horizontal="center" vertical="center"/>
    </xf>
    <xf numFmtId="0" fontId="36" fillId="45" borderId="104" xfId="0" applyFont="1" applyFill="1" applyBorder="1" applyAlignment="1">
      <alignment horizontal="center" vertical="center" wrapText="1"/>
    </xf>
    <xf numFmtId="0" fontId="116" fillId="60" borderId="14" xfId="0" applyFont="1" applyFill="1" applyBorder="1" applyAlignment="1">
      <alignment horizontal="center" vertical="center"/>
    </xf>
    <xf numFmtId="0" fontId="36" fillId="60" borderId="102" xfId="0" applyFont="1" applyFill="1" applyBorder="1" applyAlignment="1">
      <alignment horizontal="center" vertical="center" wrapText="1"/>
    </xf>
    <xf numFmtId="0" fontId="116" fillId="60" borderId="26" xfId="0" applyFont="1" applyFill="1" applyBorder="1" applyAlignment="1">
      <alignment horizontal="center" vertical="center"/>
    </xf>
    <xf numFmtId="0" fontId="36" fillId="60" borderId="103" xfId="0" applyFont="1" applyFill="1" applyBorder="1" applyAlignment="1">
      <alignment horizontal="center" vertical="center" wrapText="1"/>
    </xf>
    <xf numFmtId="0" fontId="36" fillId="60" borderId="26" xfId="0" applyFont="1" applyFill="1" applyBorder="1" applyAlignment="1">
      <alignment horizontal="center" vertical="center"/>
    </xf>
    <xf numFmtId="0" fontId="36" fillId="60" borderId="173" xfId="0" applyFont="1" applyFill="1" applyBorder="1" applyAlignment="1">
      <alignment horizontal="center" vertical="center" wrapText="1"/>
    </xf>
    <xf numFmtId="0" fontId="116" fillId="60" borderId="11" xfId="0" applyFont="1" applyFill="1" applyBorder="1" applyAlignment="1">
      <alignment horizontal="center" vertical="center"/>
    </xf>
    <xf numFmtId="0" fontId="36" fillId="60" borderId="104" xfId="0" applyFont="1" applyFill="1" applyBorder="1" applyAlignment="1">
      <alignment horizontal="center" vertical="center" wrapText="1"/>
    </xf>
    <xf numFmtId="0" fontId="117" fillId="61" borderId="14" xfId="0" applyFont="1" applyFill="1" applyBorder="1" applyAlignment="1">
      <alignment horizontal="center" vertical="center"/>
    </xf>
    <xf numFmtId="0" fontId="117" fillId="61" borderId="26" xfId="0" applyFont="1" applyFill="1" applyBorder="1" applyAlignment="1">
      <alignment horizontal="center" vertical="center"/>
    </xf>
    <xf numFmtId="0" fontId="36" fillId="61" borderId="103" xfId="0" applyFont="1" applyFill="1" applyBorder="1" applyAlignment="1">
      <alignment horizontal="center" vertical="center" wrapText="1"/>
    </xf>
    <xf numFmtId="0" fontId="36" fillId="61" borderId="26" xfId="0" applyFont="1" applyFill="1" applyBorder="1" applyAlignment="1">
      <alignment horizontal="center" vertical="center"/>
    </xf>
    <xf numFmtId="0" fontId="36" fillId="61" borderId="173" xfId="0" applyFont="1" applyFill="1" applyBorder="1" applyAlignment="1">
      <alignment horizontal="center" vertical="center" wrapText="1"/>
    </xf>
    <xf numFmtId="0" fontId="117" fillId="61" borderId="11" xfId="0" applyFont="1" applyFill="1" applyBorder="1" applyAlignment="1">
      <alignment horizontal="center" vertical="center"/>
    </xf>
    <xf numFmtId="0" fontId="36" fillId="61" borderId="104" xfId="0" applyFont="1" applyFill="1" applyBorder="1" applyAlignment="1">
      <alignment horizontal="center" vertical="center" wrapText="1"/>
    </xf>
    <xf numFmtId="0" fontId="118" fillId="92" borderId="14" xfId="0" applyFont="1" applyFill="1" applyBorder="1" applyAlignment="1">
      <alignment horizontal="center" vertical="center"/>
    </xf>
    <xf numFmtId="0" fontId="118" fillId="92" borderId="26" xfId="0" applyFont="1" applyFill="1" applyBorder="1" applyAlignment="1">
      <alignment horizontal="center" vertical="center"/>
    </xf>
    <xf numFmtId="0" fontId="36" fillId="92" borderId="103" xfId="0" applyFont="1" applyFill="1" applyBorder="1" applyAlignment="1">
      <alignment horizontal="center" vertical="center" wrapText="1"/>
    </xf>
    <xf numFmtId="0" fontId="36" fillId="92" borderId="26" xfId="0" applyFont="1" applyFill="1" applyBorder="1" applyAlignment="1">
      <alignment horizontal="center" vertical="center"/>
    </xf>
    <xf numFmtId="0" fontId="36" fillId="92" borderId="173" xfId="0" applyFont="1" applyFill="1" applyBorder="1" applyAlignment="1">
      <alignment horizontal="center" vertical="center" wrapText="1"/>
    </xf>
    <xf numFmtId="0" fontId="118" fillId="92" borderId="11" xfId="0" applyFont="1" applyFill="1" applyBorder="1" applyAlignment="1">
      <alignment horizontal="center" vertical="center"/>
    </xf>
    <xf numFmtId="0" fontId="36" fillId="92" borderId="104" xfId="0" applyFont="1" applyFill="1" applyBorder="1" applyAlignment="1">
      <alignment horizontal="center" vertical="center" wrapText="1"/>
    </xf>
    <xf numFmtId="0" fontId="121" fillId="100" borderId="14" xfId="0" applyFont="1" applyFill="1" applyBorder="1" applyAlignment="1">
      <alignment horizontal="center" vertical="center"/>
    </xf>
    <xf numFmtId="0" fontId="121" fillId="100" borderId="26" xfId="0" applyFont="1" applyFill="1" applyBorder="1" applyAlignment="1">
      <alignment horizontal="center" vertical="center"/>
    </xf>
    <xf numFmtId="0" fontId="36" fillId="100" borderId="103" xfId="0" applyFont="1" applyFill="1" applyBorder="1" applyAlignment="1">
      <alignment horizontal="center" vertical="center" wrapText="1"/>
    </xf>
    <xf numFmtId="0" fontId="36" fillId="100" borderId="26" xfId="0" applyFont="1" applyFill="1" applyBorder="1" applyAlignment="1">
      <alignment horizontal="center" vertical="center"/>
    </xf>
    <xf numFmtId="0" fontId="36" fillId="100" borderId="173" xfId="0" applyFont="1" applyFill="1" applyBorder="1" applyAlignment="1">
      <alignment horizontal="center" vertical="center" wrapText="1"/>
    </xf>
    <xf numFmtId="0" fontId="121" fillId="100" borderId="11" xfId="0" applyFont="1" applyFill="1" applyBorder="1" applyAlignment="1">
      <alignment horizontal="center" vertical="center"/>
    </xf>
    <xf numFmtId="0" fontId="36" fillId="100" borderId="104" xfId="0" applyFont="1" applyFill="1" applyBorder="1" applyAlignment="1">
      <alignment horizontal="center" vertical="center" wrapText="1"/>
    </xf>
    <xf numFmtId="0" fontId="36" fillId="59" borderId="102" xfId="0" applyFont="1" applyFill="1" applyBorder="1" applyAlignment="1">
      <alignment horizontal="center" vertical="center" wrapText="1"/>
    </xf>
    <xf numFmtId="0" fontId="119" fillId="59" borderId="26" xfId="0" applyFont="1" applyFill="1" applyBorder="1" applyAlignment="1">
      <alignment horizontal="center" vertical="center"/>
    </xf>
    <xf numFmtId="0" fontId="36" fillId="59" borderId="103" xfId="0" applyFont="1" applyFill="1" applyBorder="1" applyAlignment="1">
      <alignment horizontal="center" vertical="center" wrapText="1"/>
    </xf>
    <xf numFmtId="0" fontId="36" fillId="59" borderId="26" xfId="0" applyFont="1" applyFill="1" applyBorder="1" applyAlignment="1">
      <alignment horizontal="center" vertical="center"/>
    </xf>
    <xf numFmtId="0" fontId="36" fillId="59" borderId="173" xfId="0" applyFont="1" applyFill="1" applyBorder="1" applyAlignment="1">
      <alignment horizontal="center" vertical="center" wrapText="1"/>
    </xf>
    <xf numFmtId="0" fontId="119" fillId="59" borderId="11" xfId="0" applyFont="1" applyFill="1" applyBorder="1" applyAlignment="1">
      <alignment horizontal="center" vertical="center"/>
    </xf>
    <xf numFmtId="0" fontId="36" fillId="59" borderId="104" xfId="0" applyFont="1" applyFill="1" applyBorder="1" applyAlignment="1">
      <alignment horizontal="center" vertical="center" wrapText="1"/>
    </xf>
    <xf numFmtId="0" fontId="116" fillId="60" borderId="14" xfId="0" quotePrefix="1" applyFont="1" applyFill="1" applyBorder="1" applyAlignment="1">
      <alignment horizontal="center" vertical="center"/>
    </xf>
    <xf numFmtId="0" fontId="116" fillId="60" borderId="26" xfId="0" quotePrefix="1" applyFont="1" applyFill="1" applyBorder="1" applyAlignment="1">
      <alignment horizontal="center" vertical="center"/>
    </xf>
    <xf numFmtId="0" fontId="36" fillId="46" borderId="102" xfId="0" applyFont="1" applyFill="1" applyBorder="1" applyAlignment="1">
      <alignment horizontal="center" vertical="center" wrapText="1"/>
    </xf>
    <xf numFmtId="0" fontId="36" fillId="46" borderId="103" xfId="0" applyFont="1" applyFill="1" applyBorder="1" applyAlignment="1">
      <alignment horizontal="center" vertical="center" wrapText="1"/>
    </xf>
    <xf numFmtId="0" fontId="36" fillId="46" borderId="104" xfId="0" applyFont="1" applyFill="1" applyBorder="1" applyAlignment="1">
      <alignment horizontal="center" vertical="center" wrapText="1"/>
    </xf>
    <xf numFmtId="0" fontId="36" fillId="60" borderId="26" xfId="0" quotePrefix="1" applyFont="1" applyFill="1" applyBorder="1" applyAlignment="1">
      <alignment horizontal="center" vertical="center"/>
    </xf>
    <xf numFmtId="0" fontId="116" fillId="60" borderId="11" xfId="0" quotePrefix="1" applyFont="1" applyFill="1" applyBorder="1" applyAlignment="1">
      <alignment horizontal="center" vertical="center"/>
    </xf>
    <xf numFmtId="0" fontId="36" fillId="55" borderId="104" xfId="0" applyFont="1" applyFill="1" applyBorder="1" applyAlignment="1">
      <alignment horizontal="center" vertical="center" wrapText="1"/>
    </xf>
    <xf numFmtId="0" fontId="36" fillId="48" borderId="14" xfId="0" applyFont="1" applyFill="1" applyBorder="1" applyAlignment="1">
      <alignment horizontal="center" vertical="center"/>
    </xf>
    <xf numFmtId="0" fontId="36" fillId="48" borderId="11" xfId="0" applyFont="1" applyFill="1" applyBorder="1" applyAlignment="1">
      <alignment horizontal="center" vertical="center"/>
    </xf>
    <xf numFmtId="0" fontId="36" fillId="48" borderId="104" xfId="0" applyFont="1" applyFill="1" applyBorder="1" applyAlignment="1">
      <alignment horizontal="center" vertical="center" wrapText="1"/>
    </xf>
    <xf numFmtId="0" fontId="36" fillId="48" borderId="105" xfId="0" applyFont="1" applyFill="1" applyBorder="1" applyAlignment="1">
      <alignment horizontal="center" vertical="center" wrapText="1"/>
    </xf>
    <xf numFmtId="0" fontId="36" fillId="101" borderId="102" xfId="0" applyFont="1" applyFill="1" applyBorder="1" applyAlignment="1">
      <alignment horizontal="center" vertical="center" wrapText="1"/>
    </xf>
    <xf numFmtId="0" fontId="36" fillId="101" borderId="103" xfId="0" applyFont="1" applyFill="1" applyBorder="1" applyAlignment="1">
      <alignment horizontal="center" vertical="center" wrapText="1"/>
    </xf>
    <xf numFmtId="0" fontId="36" fillId="101" borderId="104" xfId="0" applyFont="1" applyFill="1" applyBorder="1" applyAlignment="1">
      <alignment horizontal="center" vertical="center" wrapText="1"/>
    </xf>
    <xf numFmtId="0" fontId="36" fillId="101" borderId="105" xfId="0" applyFont="1" applyFill="1" applyBorder="1" applyAlignment="1">
      <alignment horizontal="center" vertical="center" wrapText="1"/>
    </xf>
    <xf numFmtId="0" fontId="36" fillId="45" borderId="14" xfId="0" applyFont="1" applyFill="1" applyBorder="1" applyAlignment="1">
      <alignment horizontal="center" vertical="center"/>
    </xf>
    <xf numFmtId="0" fontId="36" fillId="45" borderId="11" xfId="0" applyFont="1" applyFill="1" applyBorder="1" applyAlignment="1">
      <alignment horizontal="center" vertical="center"/>
    </xf>
    <xf numFmtId="0" fontId="36" fillId="45" borderId="105" xfId="0" applyFont="1" applyFill="1" applyBorder="1" applyAlignment="1">
      <alignment horizontal="center" vertical="center" wrapText="1"/>
    </xf>
    <xf numFmtId="0" fontId="36" fillId="54" borderId="14" xfId="0" applyFont="1" applyFill="1" applyBorder="1" applyAlignment="1">
      <alignment horizontal="center" vertical="center"/>
    </xf>
    <xf numFmtId="0" fontId="36" fillId="54" borderId="102" xfId="0" applyFont="1" applyFill="1" applyBorder="1" applyAlignment="1">
      <alignment horizontal="center" vertical="center" wrapText="1"/>
    </xf>
    <xf numFmtId="0" fontId="36" fillId="54" borderId="26" xfId="0" applyFont="1" applyFill="1" applyBorder="1" applyAlignment="1">
      <alignment horizontal="center" vertical="center"/>
    </xf>
    <xf numFmtId="0" fontId="36" fillId="54" borderId="103" xfId="0" applyFont="1" applyFill="1" applyBorder="1" applyAlignment="1">
      <alignment horizontal="center" vertical="center" wrapText="1"/>
    </xf>
    <xf numFmtId="0" fontId="36" fillId="54" borderId="11" xfId="0" applyFont="1" applyFill="1" applyBorder="1" applyAlignment="1">
      <alignment horizontal="center" vertical="center"/>
    </xf>
    <xf numFmtId="0" fontId="36" fillId="54" borderId="104" xfId="0" applyFont="1" applyFill="1" applyBorder="1" applyAlignment="1">
      <alignment horizontal="center" vertical="center" wrapText="1"/>
    </xf>
    <xf numFmtId="0" fontId="36" fillId="54" borderId="105" xfId="0" applyFont="1" applyFill="1" applyBorder="1" applyAlignment="1">
      <alignment horizontal="center" vertical="center" wrapText="1"/>
    </xf>
    <xf numFmtId="0" fontId="36" fillId="96" borderId="103" xfId="0" applyFont="1" applyFill="1" applyBorder="1" applyAlignment="1">
      <alignment horizontal="center" vertical="center" wrapText="1"/>
    </xf>
    <xf numFmtId="0" fontId="36" fillId="96" borderId="104" xfId="0" applyFont="1" applyFill="1" applyBorder="1" applyAlignment="1">
      <alignment horizontal="center" vertical="center" wrapText="1"/>
    </xf>
    <xf numFmtId="0" fontId="36" fillId="102" borderId="102" xfId="0" applyFont="1" applyFill="1" applyBorder="1" applyAlignment="1">
      <alignment horizontal="center" vertical="center" wrapText="1"/>
    </xf>
    <xf numFmtId="0" fontId="36" fillId="102" borderId="103" xfId="0" applyFont="1" applyFill="1" applyBorder="1" applyAlignment="1">
      <alignment horizontal="center" vertical="center" wrapText="1"/>
    </xf>
    <xf numFmtId="0" fontId="36" fillId="102" borderId="104" xfId="0" applyFont="1" applyFill="1" applyBorder="1" applyAlignment="1">
      <alignment horizontal="center" vertical="center" wrapText="1"/>
    </xf>
    <xf numFmtId="0" fontId="36" fillId="102" borderId="105" xfId="0" applyFont="1" applyFill="1" applyBorder="1" applyAlignment="1">
      <alignment horizontal="center" vertical="center" wrapText="1"/>
    </xf>
    <xf numFmtId="0" fontId="126" fillId="95" borderId="14" xfId="0" quotePrefix="1" applyFont="1" applyFill="1" applyBorder="1" applyAlignment="1">
      <alignment horizontal="center" vertical="center"/>
    </xf>
    <xf numFmtId="0" fontId="126" fillId="95" borderId="14" xfId="0" applyFont="1" applyFill="1" applyBorder="1" applyAlignment="1">
      <alignment horizontal="center" vertical="center"/>
    </xf>
    <xf numFmtId="0" fontId="126" fillId="95" borderId="26" xfId="0" applyFont="1" applyFill="1" applyBorder="1" applyAlignment="1">
      <alignment horizontal="center" vertical="center"/>
    </xf>
    <xf numFmtId="0" fontId="36" fillId="95" borderId="103" xfId="0" applyFont="1" applyFill="1" applyBorder="1" applyAlignment="1">
      <alignment horizontal="center" vertical="center" wrapText="1"/>
    </xf>
    <xf numFmtId="0" fontId="36" fillId="95" borderId="14" xfId="0" quotePrefix="1" applyFont="1" applyFill="1" applyBorder="1" applyAlignment="1">
      <alignment horizontal="center" vertical="center"/>
    </xf>
    <xf numFmtId="0" fontId="36" fillId="95" borderId="26" xfId="0" applyFont="1" applyFill="1" applyBorder="1" applyAlignment="1">
      <alignment horizontal="center" vertical="center"/>
    </xf>
    <xf numFmtId="0" fontId="36" fillId="95" borderId="104" xfId="0" applyFont="1" applyFill="1" applyBorder="1" applyAlignment="1">
      <alignment horizontal="center" vertical="center" wrapText="1"/>
    </xf>
    <xf numFmtId="0" fontId="36" fillId="103" borderId="102" xfId="0" applyFont="1" applyFill="1" applyBorder="1" applyAlignment="1">
      <alignment horizontal="center" vertical="center" wrapText="1"/>
    </xf>
    <xf numFmtId="0" fontId="36" fillId="103" borderId="103" xfId="0" applyFont="1" applyFill="1" applyBorder="1" applyAlignment="1">
      <alignment horizontal="center" vertical="center" wrapText="1"/>
    </xf>
    <xf numFmtId="0" fontId="36" fillId="103" borderId="104" xfId="0" applyFont="1" applyFill="1" applyBorder="1" applyAlignment="1">
      <alignment horizontal="center" vertical="center" wrapText="1"/>
    </xf>
    <xf numFmtId="0" fontId="126" fillId="95" borderId="11" xfId="0" applyFont="1" applyFill="1" applyBorder="1" applyAlignment="1">
      <alignment horizontal="center" vertical="center"/>
    </xf>
    <xf numFmtId="0" fontId="36" fillId="60" borderId="14" xfId="0" applyFont="1" applyFill="1" applyBorder="1" applyAlignment="1">
      <alignment horizontal="center" vertical="center"/>
    </xf>
    <xf numFmtId="2" fontId="36" fillId="0" borderId="29" xfId="0" applyNumberFormat="1" applyFont="1" applyBorder="1" applyAlignment="1">
      <alignment horizontal="center" vertical="center"/>
    </xf>
    <xf numFmtId="0" fontId="36" fillId="60" borderId="11" xfId="0" applyFont="1" applyFill="1" applyBorder="1" applyAlignment="1">
      <alignment horizontal="center" vertical="center"/>
    </xf>
    <xf numFmtId="0" fontId="36" fillId="46" borderId="12" xfId="0" applyFont="1" applyFill="1" applyBorder="1" applyAlignment="1">
      <alignment horizontal="center" vertical="center"/>
    </xf>
    <xf numFmtId="0" fontId="36" fillId="46" borderId="12" xfId="0" applyFont="1" applyFill="1" applyBorder="1" applyAlignment="1">
      <alignment horizontal="center" vertical="center" wrapText="1"/>
    </xf>
    <xf numFmtId="164" fontId="36" fillId="0" borderId="0" xfId="0" applyNumberFormat="1" applyFont="1" applyAlignment="1">
      <alignment horizontal="center" vertical="center"/>
    </xf>
    <xf numFmtId="0" fontId="9" fillId="46" borderId="57" xfId="0" applyFont="1" applyFill="1" applyBorder="1" applyAlignment="1">
      <alignment horizontal="center" vertical="center"/>
    </xf>
    <xf numFmtId="0" fontId="9" fillId="46" borderId="15" xfId="0" applyFont="1" applyFill="1" applyBorder="1" applyAlignment="1">
      <alignment horizontal="center" vertical="center"/>
    </xf>
    <xf numFmtId="0" fontId="9" fillId="54" borderId="48" xfId="0" applyFont="1" applyFill="1" applyBorder="1" applyAlignment="1">
      <alignment horizontal="center" vertical="center"/>
    </xf>
    <xf numFmtId="0" fontId="9" fillId="46" borderId="48" xfId="0" applyFont="1" applyFill="1" applyBorder="1" applyAlignment="1">
      <alignment horizontal="center" vertical="center"/>
    </xf>
    <xf numFmtId="0" fontId="9" fillId="46" borderId="58" xfId="0" applyFont="1" applyFill="1" applyBorder="1" applyAlignment="1">
      <alignment horizontal="center" vertical="center"/>
    </xf>
    <xf numFmtId="0" fontId="9" fillId="60" borderId="211" xfId="0" applyFont="1" applyFill="1" applyBorder="1" applyAlignment="1">
      <alignment horizontal="center" vertical="center"/>
    </xf>
    <xf numFmtId="0" fontId="9" fillId="60" borderId="212" xfId="0" applyFont="1" applyFill="1" applyBorder="1" applyAlignment="1">
      <alignment horizontal="center" vertical="center"/>
    </xf>
    <xf numFmtId="0" fontId="9" fillId="60" borderId="213" xfId="0" applyFont="1" applyFill="1" applyBorder="1" applyAlignment="1">
      <alignment horizontal="center" vertical="center"/>
    </xf>
    <xf numFmtId="0" fontId="9" fillId="60" borderId="214" xfId="0" applyFont="1" applyFill="1" applyBorder="1" applyAlignment="1">
      <alignment horizontal="center" vertical="center"/>
    </xf>
    <xf numFmtId="0" fontId="9" fillId="60" borderId="139" xfId="0" applyFont="1" applyFill="1" applyBorder="1" applyAlignment="1">
      <alignment horizontal="center" vertical="center"/>
    </xf>
    <xf numFmtId="0" fontId="9" fillId="60" borderId="215" xfId="0" applyFont="1" applyFill="1" applyBorder="1" applyAlignment="1">
      <alignment horizontal="center" vertical="center"/>
    </xf>
    <xf numFmtId="0" fontId="9" fillId="60" borderId="216" xfId="0" applyFont="1" applyFill="1" applyBorder="1" applyAlignment="1">
      <alignment horizontal="center" vertical="center"/>
    </xf>
    <xf numFmtId="0" fontId="9" fillId="60" borderId="140" xfId="0" applyFont="1" applyFill="1" applyBorder="1" applyAlignment="1">
      <alignment horizontal="center" vertical="center"/>
    </xf>
    <xf numFmtId="0" fontId="9" fillId="60" borderId="217" xfId="0" applyFont="1" applyFill="1" applyBorder="1" applyAlignment="1">
      <alignment horizontal="center" vertical="center"/>
    </xf>
    <xf numFmtId="0" fontId="9" fillId="46" borderId="218" xfId="0" applyFont="1" applyFill="1" applyBorder="1" applyAlignment="1">
      <alignment horizontal="center" vertical="center"/>
    </xf>
    <xf numFmtId="0" fontId="9" fillId="46" borderId="138" xfId="0" applyFont="1" applyFill="1" applyBorder="1" applyAlignment="1">
      <alignment horizontal="center" vertical="center"/>
    </xf>
    <xf numFmtId="0" fontId="9" fillId="46" borderId="219" xfId="0" applyFont="1" applyFill="1" applyBorder="1" applyAlignment="1">
      <alignment horizontal="center" vertical="center"/>
    </xf>
    <xf numFmtId="0" fontId="9" fillId="46" borderId="214" xfId="0" applyFont="1" applyFill="1" applyBorder="1" applyAlignment="1">
      <alignment horizontal="center" vertical="center"/>
    </xf>
    <xf numFmtId="0" fontId="9" fillId="46" borderId="139" xfId="0" applyFont="1" applyFill="1" applyBorder="1" applyAlignment="1">
      <alignment horizontal="center" vertical="center"/>
    </xf>
    <xf numFmtId="0" fontId="9" fillId="46" borderId="215" xfId="0" applyFont="1" applyFill="1" applyBorder="1" applyAlignment="1">
      <alignment horizontal="center" vertical="center"/>
    </xf>
    <xf numFmtId="0" fontId="9" fillId="46" borderId="216" xfId="0" applyFont="1" applyFill="1" applyBorder="1" applyAlignment="1">
      <alignment horizontal="center" vertical="center"/>
    </xf>
    <xf numFmtId="0" fontId="9" fillId="46" borderId="140" xfId="0" applyFont="1" applyFill="1" applyBorder="1" applyAlignment="1">
      <alignment horizontal="center" vertical="center"/>
    </xf>
    <xf numFmtId="0" fontId="9" fillId="46" borderId="217" xfId="0" applyFont="1" applyFill="1" applyBorder="1" applyAlignment="1">
      <alignment horizontal="center" vertical="center"/>
    </xf>
    <xf numFmtId="0" fontId="9" fillId="46" borderId="220" xfId="0" applyFont="1" applyFill="1" applyBorder="1" applyAlignment="1">
      <alignment horizontal="center" vertical="center"/>
    </xf>
    <xf numFmtId="0" fontId="9" fillId="46" borderId="202" xfId="0" applyFont="1" applyFill="1" applyBorder="1" applyAlignment="1">
      <alignment horizontal="center" vertical="center"/>
    </xf>
    <xf numFmtId="0" fontId="9" fillId="46" borderId="221" xfId="0" applyFont="1" applyFill="1" applyBorder="1" applyAlignment="1">
      <alignment horizontal="center" vertical="center"/>
    </xf>
    <xf numFmtId="0" fontId="9" fillId="54" borderId="28" xfId="0" applyFont="1" applyFill="1" applyBorder="1" applyAlignment="1">
      <alignment horizontal="center" vertical="center"/>
    </xf>
    <xf numFmtId="0" fontId="9" fillId="54" borderId="58" xfId="0" applyFont="1" applyFill="1" applyBorder="1" applyAlignment="1">
      <alignment horizontal="center" vertical="center"/>
    </xf>
    <xf numFmtId="0" fontId="5" fillId="0" borderId="26" xfId="0" applyFont="1" applyBorder="1" applyAlignment="1">
      <alignment horizontal="center" vertical="center"/>
    </xf>
    <xf numFmtId="0" fontId="5" fillId="0" borderId="61" xfId="0" applyFont="1" applyBorder="1" applyAlignment="1">
      <alignment horizontal="center" vertical="center"/>
    </xf>
    <xf numFmtId="0" fontId="9" fillId="0" borderId="26" xfId="0" applyFont="1" applyBorder="1" applyAlignment="1">
      <alignment horizontal="center" vertical="center"/>
    </xf>
    <xf numFmtId="0" fontId="9" fillId="60" borderId="222" xfId="0" applyFont="1" applyFill="1" applyBorder="1" applyAlignment="1">
      <alignment horizontal="center" vertical="center"/>
    </xf>
    <xf numFmtId="0" fontId="9" fillId="60" borderId="223" xfId="0" applyFont="1" applyFill="1" applyBorder="1" applyAlignment="1">
      <alignment horizontal="center" vertical="center"/>
    </xf>
    <xf numFmtId="0" fontId="9" fillId="60" borderId="224" xfId="0" applyFont="1" applyFill="1" applyBorder="1" applyAlignment="1">
      <alignment horizontal="center" vertical="center"/>
    </xf>
    <xf numFmtId="0" fontId="9" fillId="46" borderId="225" xfId="0" applyFont="1" applyFill="1" applyBorder="1" applyAlignment="1">
      <alignment horizontal="center" vertical="center"/>
    </xf>
    <xf numFmtId="0" fontId="9" fillId="46" borderId="226" xfId="0" applyFont="1" applyFill="1" applyBorder="1" applyAlignment="1">
      <alignment horizontal="center" vertical="center"/>
    </xf>
    <xf numFmtId="0" fontId="9" fillId="46" borderId="227" xfId="0" applyFont="1" applyFill="1" applyBorder="1" applyAlignment="1">
      <alignment horizontal="center" vertical="center"/>
    </xf>
    <xf numFmtId="0" fontId="36" fillId="95" borderId="11" xfId="0" applyFont="1" applyFill="1" applyBorder="1" applyAlignment="1">
      <alignment horizontal="center" vertical="center"/>
    </xf>
    <xf numFmtId="0" fontId="36" fillId="103" borderId="12" xfId="0" applyFont="1" applyFill="1" applyBorder="1" applyAlignment="1">
      <alignment horizontal="center" vertical="center"/>
    </xf>
    <xf numFmtId="0" fontId="9" fillId="46" borderId="228" xfId="0" applyFont="1" applyFill="1" applyBorder="1" applyAlignment="1">
      <alignment horizontal="center" vertical="center"/>
    </xf>
    <xf numFmtId="0" fontId="9" fillId="46" borderId="229" xfId="0" applyFont="1" applyFill="1" applyBorder="1" applyAlignment="1">
      <alignment horizontal="center" vertical="center"/>
    </xf>
    <xf numFmtId="0" fontId="9" fillId="46" borderId="230" xfId="0" applyFont="1" applyFill="1" applyBorder="1" applyAlignment="1">
      <alignment horizontal="center" vertical="center"/>
    </xf>
    <xf numFmtId="0" fontId="124" fillId="0" borderId="0" xfId="0" applyFont="1" applyAlignment="1">
      <alignment horizontal="center" vertical="center"/>
    </xf>
    <xf numFmtId="0" fontId="36" fillId="98" borderId="26" xfId="0" quotePrefix="1" applyFont="1" applyFill="1" applyBorder="1" applyAlignment="1">
      <alignment horizontal="center" vertical="center"/>
    </xf>
    <xf numFmtId="0" fontId="36" fillId="98" borderId="26" xfId="0" applyFont="1" applyFill="1" applyBorder="1" applyAlignment="1">
      <alignment horizontal="center" vertical="center"/>
    </xf>
    <xf numFmtId="0" fontId="36" fillId="98" borderId="14" xfId="0" quotePrefix="1" applyFont="1" applyFill="1" applyBorder="1" applyAlignment="1">
      <alignment horizontal="center" vertical="center"/>
    </xf>
    <xf numFmtId="0" fontId="36" fillId="98" borderId="11" xfId="0" applyFont="1" applyFill="1" applyBorder="1" applyAlignment="1">
      <alignment horizontal="center" vertical="center"/>
    </xf>
    <xf numFmtId="0" fontId="129" fillId="56" borderId="14" xfId="0" applyFont="1" applyFill="1" applyBorder="1" applyAlignment="1">
      <alignment horizontal="center" vertical="center"/>
    </xf>
    <xf numFmtId="0" fontId="129" fillId="56" borderId="14" xfId="0" applyFont="1" applyFill="1" applyBorder="1" applyAlignment="1">
      <alignment horizontal="center" vertical="center" wrapText="1"/>
    </xf>
    <xf numFmtId="0" fontId="129" fillId="56" borderId="11" xfId="0" applyFont="1" applyFill="1" applyBorder="1" applyAlignment="1">
      <alignment horizontal="center" vertical="center"/>
    </xf>
    <xf numFmtId="0" fontId="36" fillId="104" borderId="14" xfId="0" applyFont="1" applyFill="1" applyBorder="1" applyAlignment="1">
      <alignment horizontal="center" vertical="center"/>
    </xf>
    <xf numFmtId="0" fontId="36" fillId="104" borderId="11" xfId="0" applyFont="1" applyFill="1" applyBorder="1" applyAlignment="1">
      <alignment horizontal="center" vertical="center"/>
    </xf>
    <xf numFmtId="0" fontId="36" fillId="105" borderId="14" xfId="0" applyFont="1" applyFill="1" applyBorder="1" applyAlignment="1">
      <alignment horizontal="center" vertical="center"/>
    </xf>
    <xf numFmtId="0" fontId="36" fillId="105" borderId="11" xfId="0" applyFont="1" applyFill="1" applyBorder="1" applyAlignment="1">
      <alignment horizontal="center" vertical="center"/>
    </xf>
    <xf numFmtId="0" fontId="36" fillId="106" borderId="12" xfId="0" applyFont="1" applyFill="1" applyBorder="1" applyAlignment="1">
      <alignment horizontal="center" vertical="center"/>
    </xf>
    <xf numFmtId="0" fontId="131" fillId="98" borderId="26" xfId="0" quotePrefix="1" applyFont="1" applyFill="1" applyBorder="1" applyAlignment="1">
      <alignment horizontal="center" vertical="center"/>
    </xf>
    <xf numFmtId="0" fontId="131" fillId="98" borderId="26" xfId="0" applyFont="1" applyFill="1" applyBorder="1" applyAlignment="1">
      <alignment horizontal="center" vertical="center"/>
    </xf>
    <xf numFmtId="0" fontId="131" fillId="98" borderId="11" xfId="0" quotePrefix="1" applyFont="1" applyFill="1" applyBorder="1" applyAlignment="1">
      <alignment horizontal="center" vertical="center"/>
    </xf>
    <xf numFmtId="0" fontId="131" fillId="98" borderId="11" xfId="0" applyFont="1" applyFill="1" applyBorder="1" applyAlignment="1">
      <alignment horizontal="center" vertical="center"/>
    </xf>
    <xf numFmtId="0" fontId="131" fillId="98" borderId="14" xfId="0" quotePrefix="1" applyFont="1" applyFill="1" applyBorder="1" applyAlignment="1">
      <alignment horizontal="center" vertical="center"/>
    </xf>
    <xf numFmtId="0" fontId="131" fillId="98" borderId="14" xfId="0" applyFont="1" applyFill="1" applyBorder="1" applyAlignment="1">
      <alignment horizontal="center" vertical="center"/>
    </xf>
    <xf numFmtId="0" fontId="36" fillId="64" borderId="26" xfId="0" applyFont="1" applyFill="1" applyBorder="1" applyAlignment="1">
      <alignment horizontal="center" vertical="center"/>
    </xf>
    <xf numFmtId="0" fontId="36" fillId="64" borderId="14" xfId="0" quotePrefix="1" applyFont="1" applyFill="1" applyBorder="1" applyAlignment="1">
      <alignment horizontal="center" vertical="center"/>
    </xf>
    <xf numFmtId="0" fontId="36" fillId="64" borderId="11" xfId="0" applyFont="1" applyFill="1" applyBorder="1" applyAlignment="1">
      <alignment horizontal="center" vertical="center"/>
    </xf>
    <xf numFmtId="0" fontId="36" fillId="61" borderId="12" xfId="0" applyFont="1" applyFill="1" applyBorder="1" applyAlignment="1">
      <alignment horizontal="center" vertical="center"/>
    </xf>
    <xf numFmtId="0" fontId="132" fillId="64" borderId="14" xfId="0" quotePrefix="1" applyFont="1" applyFill="1" applyBorder="1" applyAlignment="1">
      <alignment horizontal="center" vertical="center"/>
    </xf>
    <xf numFmtId="0" fontId="132" fillId="64" borderId="14" xfId="0" applyFont="1" applyFill="1" applyBorder="1" applyAlignment="1">
      <alignment horizontal="center" vertical="center"/>
    </xf>
    <xf numFmtId="0" fontId="132" fillId="64" borderId="26" xfId="0" applyFont="1" applyFill="1" applyBorder="1" applyAlignment="1">
      <alignment horizontal="center" vertical="center"/>
    </xf>
    <xf numFmtId="0" fontId="132" fillId="64" borderId="11" xfId="0" applyFont="1" applyFill="1" applyBorder="1" applyAlignment="1">
      <alignment horizontal="center" vertical="center"/>
    </xf>
    <xf numFmtId="0" fontId="36" fillId="58" borderId="26" xfId="0" applyFont="1" applyFill="1" applyBorder="1" applyAlignment="1">
      <alignment horizontal="center" vertical="center"/>
    </xf>
    <xf numFmtId="0" fontId="36" fillId="58" borderId="14" xfId="0" quotePrefix="1" applyFont="1" applyFill="1" applyBorder="1" applyAlignment="1">
      <alignment horizontal="center" vertical="center"/>
    </xf>
    <xf numFmtId="0" fontId="133" fillId="58" borderId="14" xfId="0" quotePrefix="1" applyFont="1" applyFill="1" applyBorder="1" applyAlignment="1">
      <alignment horizontal="center" vertical="center"/>
    </xf>
    <xf numFmtId="0" fontId="133" fillId="58" borderId="14" xfId="0" applyFont="1" applyFill="1" applyBorder="1" applyAlignment="1">
      <alignment horizontal="center" vertical="center"/>
    </xf>
    <xf numFmtId="0" fontId="133" fillId="58" borderId="26" xfId="0" applyFont="1" applyFill="1" applyBorder="1" applyAlignment="1">
      <alignment horizontal="center" vertical="center"/>
    </xf>
    <xf numFmtId="0" fontId="133" fillId="58" borderId="11" xfId="0" applyFont="1" applyFill="1" applyBorder="1" applyAlignment="1">
      <alignment horizontal="center" vertical="center"/>
    </xf>
    <xf numFmtId="0" fontId="36" fillId="55" borderId="12" xfId="0" applyFont="1" applyFill="1" applyBorder="1" applyAlignment="1">
      <alignment horizontal="center" vertical="center"/>
    </xf>
    <xf numFmtId="0" fontId="36" fillId="77" borderId="26" xfId="0" applyFont="1" applyFill="1" applyBorder="1" applyAlignment="1">
      <alignment horizontal="center" vertical="center"/>
    </xf>
    <xf numFmtId="0" fontId="36" fillId="77" borderId="14" xfId="0" quotePrefix="1" applyFont="1" applyFill="1" applyBorder="1" applyAlignment="1">
      <alignment horizontal="center" vertical="center"/>
    </xf>
    <xf numFmtId="0" fontId="36" fillId="77" borderId="11" xfId="0" applyFont="1" applyFill="1" applyBorder="1" applyAlignment="1">
      <alignment horizontal="center" vertical="center"/>
    </xf>
    <xf numFmtId="0" fontId="36" fillId="76" borderId="12" xfId="0" applyFont="1" applyFill="1" applyBorder="1" applyAlignment="1">
      <alignment horizontal="center" vertical="center"/>
    </xf>
    <xf numFmtId="0" fontId="134" fillId="77" borderId="14" xfId="0" quotePrefix="1" applyFont="1" applyFill="1" applyBorder="1" applyAlignment="1">
      <alignment horizontal="center" vertical="center"/>
    </xf>
    <xf numFmtId="0" fontId="134" fillId="77" borderId="14" xfId="0" applyFont="1" applyFill="1" applyBorder="1" applyAlignment="1">
      <alignment horizontal="center" vertical="center"/>
    </xf>
    <xf numFmtId="0" fontId="134" fillId="77" borderId="26" xfId="0" applyFont="1" applyFill="1" applyBorder="1" applyAlignment="1">
      <alignment horizontal="center" vertical="center"/>
    </xf>
    <xf numFmtId="0" fontId="134" fillId="77" borderId="11" xfId="0" applyFont="1" applyFill="1" applyBorder="1" applyAlignment="1">
      <alignment horizontal="center" vertical="center"/>
    </xf>
    <xf numFmtId="2" fontId="36" fillId="95" borderId="102" xfId="0" applyNumberFormat="1" applyFont="1" applyFill="1" applyBorder="1" applyAlignment="1">
      <alignment horizontal="center" vertical="center" wrapText="1"/>
    </xf>
    <xf numFmtId="2" fontId="36" fillId="95" borderId="103" xfId="0" applyNumberFormat="1" applyFont="1" applyFill="1" applyBorder="1" applyAlignment="1">
      <alignment horizontal="center" vertical="center" wrapText="1"/>
    </xf>
    <xf numFmtId="2" fontId="36" fillId="95" borderId="104" xfId="0" applyNumberFormat="1" applyFont="1" applyFill="1" applyBorder="1" applyAlignment="1">
      <alignment horizontal="center" vertical="center" wrapText="1"/>
    </xf>
    <xf numFmtId="0" fontId="36" fillId="98" borderId="12" xfId="0" applyFont="1" applyFill="1" applyBorder="1" applyAlignment="1">
      <alignment horizontal="center" vertical="center"/>
    </xf>
    <xf numFmtId="1" fontId="74" fillId="55" borderId="12" xfId="26" applyNumberFormat="1" applyFont="1" applyFill="1" applyBorder="1" applyAlignment="1" applyProtection="1">
      <alignment horizontal="center" vertical="center" wrapText="1"/>
    </xf>
    <xf numFmtId="1" fontId="74" fillId="61" borderId="12" xfId="26" applyNumberFormat="1" applyFont="1" applyFill="1" applyBorder="1" applyAlignment="1" applyProtection="1">
      <alignment horizontal="center" vertical="center" wrapText="1"/>
    </xf>
    <xf numFmtId="1" fontId="74" fillId="54" borderId="12" xfId="26" applyNumberFormat="1" applyFont="1" applyFill="1" applyBorder="1" applyAlignment="1" applyProtection="1">
      <alignment horizontal="center" vertical="center" wrapText="1"/>
    </xf>
    <xf numFmtId="0" fontId="29" fillId="0" borderId="29" xfId="0" applyFont="1" applyBorder="1" applyAlignment="1">
      <alignment horizontal="center" vertical="center"/>
    </xf>
    <xf numFmtId="2" fontId="72" fillId="0" borderId="27" xfId="0" applyNumberFormat="1" applyFont="1" applyBorder="1" applyAlignment="1">
      <alignment horizontal="center" vertical="center"/>
    </xf>
    <xf numFmtId="0" fontId="72" fillId="0" borderId="23" xfId="0" applyFont="1" applyBorder="1" applyAlignment="1">
      <alignment horizontal="center" vertical="center"/>
    </xf>
    <xf numFmtId="0" fontId="72" fillId="0" borderId="172" xfId="0" applyFont="1" applyBorder="1" applyAlignment="1">
      <alignment horizontal="center" vertical="center"/>
    </xf>
    <xf numFmtId="2" fontId="72" fillId="0" borderId="18" xfId="0" applyNumberFormat="1" applyFont="1" applyBorder="1" applyAlignment="1">
      <alignment horizontal="center" vertical="center"/>
    </xf>
    <xf numFmtId="0" fontId="72" fillId="0" borderId="0" xfId="0" applyFont="1" applyAlignment="1">
      <alignment horizontal="center" vertical="center"/>
    </xf>
    <xf numFmtId="0" fontId="72" fillId="0" borderId="29" xfId="0" applyFont="1" applyBorder="1" applyAlignment="1">
      <alignment horizontal="center" vertical="center"/>
    </xf>
    <xf numFmtId="2" fontId="72" fillId="0" borderId="24" xfId="0" applyNumberFormat="1" applyFont="1" applyBorder="1" applyAlignment="1">
      <alignment horizontal="center" vertical="center"/>
    </xf>
    <xf numFmtId="0" fontId="72" fillId="0" borderId="17" xfId="0" applyFont="1" applyBorder="1" applyAlignment="1">
      <alignment horizontal="center" vertical="center"/>
    </xf>
    <xf numFmtId="0" fontId="72" fillId="0" borderId="68" xfId="0" applyFont="1" applyBorder="1" applyAlignment="1">
      <alignment horizontal="center" vertical="center"/>
    </xf>
    <xf numFmtId="0" fontId="92" fillId="0" borderId="14" xfId="0" applyFont="1" applyBorder="1" applyAlignment="1">
      <alignment horizontal="center" vertical="center"/>
    </xf>
    <xf numFmtId="0" fontId="92" fillId="0" borderId="26" xfId="0" applyFont="1" applyBorder="1" applyAlignment="1">
      <alignment horizontal="center" vertical="center"/>
    </xf>
    <xf numFmtId="0" fontId="92" fillId="0" borderId="11" xfId="0" applyFont="1" applyBorder="1" applyAlignment="1">
      <alignment horizontal="center" vertical="center"/>
    </xf>
    <xf numFmtId="0" fontId="72" fillId="0" borderId="14" xfId="0" applyFont="1" applyBorder="1" applyAlignment="1">
      <alignment horizontal="center" vertical="center"/>
    </xf>
    <xf numFmtId="0" fontId="72" fillId="0" borderId="26" xfId="0" applyFont="1" applyBorder="1" applyAlignment="1">
      <alignment horizontal="center" vertical="center"/>
    </xf>
    <xf numFmtId="0" fontId="72" fillId="0" borderId="11" xfId="0" applyFont="1" applyBorder="1" applyAlignment="1">
      <alignment horizontal="center" vertical="center"/>
    </xf>
    <xf numFmtId="1" fontId="74" fillId="60" borderId="12" xfId="26" applyNumberFormat="1" applyFont="1" applyFill="1" applyBorder="1" applyAlignment="1" applyProtection="1">
      <alignment horizontal="center" vertical="center" wrapText="1"/>
    </xf>
    <xf numFmtId="0" fontId="125" fillId="0" borderId="29" xfId="0" applyFont="1" applyBorder="1" applyAlignment="1">
      <alignment horizontal="center" vertical="center"/>
    </xf>
    <xf numFmtId="0" fontId="124" fillId="0" borderId="29" xfId="0" applyFont="1" applyBorder="1" applyAlignment="1">
      <alignment horizontal="center" vertical="center"/>
    </xf>
    <xf numFmtId="0" fontId="0" fillId="0" borderId="29" xfId="0" applyBorder="1" applyAlignment="1">
      <alignment horizontal="center" vertical="center"/>
    </xf>
    <xf numFmtId="0" fontId="0" fillId="0" borderId="29" xfId="0" applyBorder="1" applyAlignment="1">
      <alignment vertical="center"/>
    </xf>
    <xf numFmtId="0" fontId="72" fillId="0" borderId="27" xfId="0" applyFont="1" applyBorder="1" applyAlignment="1">
      <alignment horizontal="center" vertical="center"/>
    </xf>
    <xf numFmtId="0" fontId="72" fillId="0" borderId="18" xfId="0" applyFont="1" applyBorder="1" applyAlignment="1">
      <alignment horizontal="center" vertical="center"/>
    </xf>
    <xf numFmtId="0" fontId="72" fillId="0" borderId="24" xfId="0" applyFont="1" applyBorder="1" applyAlignment="1">
      <alignment horizontal="center" vertical="center"/>
    </xf>
    <xf numFmtId="0" fontId="36" fillId="104" borderId="26" xfId="0" applyFont="1" applyFill="1" applyBorder="1" applyAlignment="1">
      <alignment horizontal="center" vertical="center"/>
    </xf>
    <xf numFmtId="0" fontId="36" fillId="104" borderId="26" xfId="0" quotePrefix="1" applyFont="1" applyFill="1" applyBorder="1" applyAlignment="1">
      <alignment horizontal="center" vertical="center"/>
    </xf>
    <xf numFmtId="0" fontId="135" fillId="104" borderId="14" xfId="0" quotePrefix="1" applyFont="1" applyFill="1" applyBorder="1" applyAlignment="1">
      <alignment horizontal="center" vertical="center"/>
    </xf>
    <xf numFmtId="0" fontId="135" fillId="104" borderId="26" xfId="0" quotePrefix="1" applyFont="1" applyFill="1" applyBorder="1" applyAlignment="1">
      <alignment horizontal="center" vertical="center"/>
    </xf>
    <xf numFmtId="0" fontId="135" fillId="104" borderId="26" xfId="0" applyFont="1" applyFill="1" applyBorder="1" applyAlignment="1">
      <alignment horizontal="center" vertical="center"/>
    </xf>
    <xf numFmtId="0" fontId="135" fillId="104" borderId="11" xfId="0" applyFont="1" applyFill="1" applyBorder="1" applyAlignment="1">
      <alignment horizontal="center" vertical="center"/>
    </xf>
    <xf numFmtId="0" fontId="36" fillId="104" borderId="26" xfId="0" applyFont="1" applyFill="1" applyBorder="1" applyAlignment="1">
      <alignment horizontal="center" vertical="center" wrapText="1"/>
    </xf>
    <xf numFmtId="0" fontId="72" fillId="97" borderId="232" xfId="0" applyFont="1" applyFill="1" applyBorder="1" applyAlignment="1">
      <alignment horizontal="center" vertical="center"/>
    </xf>
    <xf numFmtId="0" fontId="72" fillId="97" borderId="233" xfId="0" applyFont="1" applyFill="1" applyBorder="1" applyAlignment="1">
      <alignment horizontal="center" vertical="center"/>
    </xf>
    <xf numFmtId="0" fontId="72" fillId="97" borderId="234" xfId="0" applyFont="1" applyFill="1" applyBorder="1" applyAlignment="1">
      <alignment horizontal="center" vertical="center"/>
    </xf>
    <xf numFmtId="0" fontId="72" fillId="45" borderId="235" xfId="0" applyFont="1" applyFill="1" applyBorder="1" applyAlignment="1">
      <alignment horizontal="center" vertical="center"/>
    </xf>
    <xf numFmtId="0" fontId="72" fillId="45" borderId="233" xfId="0" applyFont="1" applyFill="1" applyBorder="1" applyAlignment="1">
      <alignment horizontal="center" vertical="center"/>
    </xf>
    <xf numFmtId="0" fontId="72" fillId="45" borderId="234" xfId="0" applyFont="1" applyFill="1" applyBorder="1" applyAlignment="1">
      <alignment horizontal="center" vertical="center"/>
    </xf>
    <xf numFmtId="0" fontId="72" fillId="60" borderId="235" xfId="0" applyFont="1" applyFill="1" applyBorder="1" applyAlignment="1">
      <alignment horizontal="center" vertical="center"/>
    </xf>
    <xf numFmtId="0" fontId="72" fillId="60" borderId="233" xfId="0" applyFont="1" applyFill="1" applyBorder="1" applyAlignment="1">
      <alignment horizontal="center" vertical="center"/>
    </xf>
    <xf numFmtId="0" fontId="72" fillId="60" borderId="234" xfId="0" applyFont="1" applyFill="1" applyBorder="1" applyAlignment="1">
      <alignment horizontal="center" vertical="center"/>
    </xf>
    <xf numFmtId="0" fontId="72" fillId="61" borderId="232" xfId="0" applyFont="1" applyFill="1" applyBorder="1" applyAlignment="1">
      <alignment horizontal="center" vertical="center"/>
    </xf>
    <xf numFmtId="0" fontId="72" fillId="61" borderId="233" xfId="0" applyFont="1" applyFill="1" applyBorder="1" applyAlignment="1">
      <alignment horizontal="center" vertical="center"/>
    </xf>
    <xf numFmtId="0" fontId="72" fillId="61" borderId="236" xfId="0" applyFont="1" applyFill="1" applyBorder="1" applyAlignment="1">
      <alignment horizontal="center" vertical="center"/>
    </xf>
    <xf numFmtId="0" fontId="72" fillId="97" borderId="237" xfId="0" applyFont="1" applyFill="1" applyBorder="1" applyAlignment="1">
      <alignment horizontal="center" vertical="center"/>
    </xf>
    <xf numFmtId="0" fontId="72" fillId="97" borderId="236" xfId="0" applyFont="1" applyFill="1" applyBorder="1" applyAlignment="1">
      <alignment horizontal="center" vertical="center"/>
    </xf>
    <xf numFmtId="0" fontId="72" fillId="76" borderId="238" xfId="0" applyFont="1" applyFill="1" applyBorder="1" applyAlignment="1">
      <alignment horizontal="center" vertical="center"/>
    </xf>
    <xf numFmtId="0" fontId="72" fillId="76" borderId="236" xfId="0" applyFont="1" applyFill="1" applyBorder="1" applyAlignment="1">
      <alignment horizontal="center" vertical="center"/>
    </xf>
    <xf numFmtId="0" fontId="72" fillId="45" borderId="238" xfId="0" applyFont="1" applyFill="1" applyBorder="1" applyAlignment="1">
      <alignment horizontal="center" vertical="center"/>
    </xf>
    <xf numFmtId="0" fontId="72" fillId="45" borderId="236" xfId="0" applyFont="1" applyFill="1" applyBorder="1" applyAlignment="1">
      <alignment horizontal="center" vertical="center"/>
    </xf>
    <xf numFmtId="0" fontId="72" fillId="93" borderId="238" xfId="0" applyFont="1" applyFill="1" applyBorder="1" applyAlignment="1">
      <alignment horizontal="center" vertical="center"/>
    </xf>
    <xf numFmtId="0" fontId="72" fillId="93" borderId="236" xfId="0" applyFont="1" applyFill="1" applyBorder="1" applyAlignment="1">
      <alignment horizontal="center" vertical="center"/>
    </xf>
    <xf numFmtId="0" fontId="72" fillId="60" borderId="238" xfId="0" applyFont="1" applyFill="1" applyBorder="1" applyAlignment="1">
      <alignment horizontal="center" vertical="center"/>
    </xf>
    <xf numFmtId="0" fontId="72" fillId="60" borderId="236" xfId="0" applyFont="1" applyFill="1" applyBorder="1" applyAlignment="1">
      <alignment horizontal="center" vertical="center"/>
    </xf>
    <xf numFmtId="0" fontId="72" fillId="61" borderId="238" xfId="0" applyFont="1" applyFill="1" applyBorder="1" applyAlignment="1">
      <alignment horizontal="center" vertical="center"/>
    </xf>
    <xf numFmtId="0" fontId="72" fillId="54" borderId="237" xfId="0" applyFont="1" applyFill="1" applyBorder="1" applyAlignment="1">
      <alignment horizontal="center" vertical="center"/>
    </xf>
    <xf numFmtId="0" fontId="72" fillId="54" borderId="236" xfId="0" applyFont="1" applyFill="1" applyBorder="1" applyAlignment="1">
      <alignment horizontal="center" vertical="center"/>
    </xf>
    <xf numFmtId="0" fontId="72" fillId="99" borderId="239" xfId="0" applyFont="1" applyFill="1" applyBorder="1" applyAlignment="1" applyProtection="1">
      <alignment horizontal="center" vertical="center"/>
      <protection locked="0"/>
    </xf>
    <xf numFmtId="0" fontId="72" fillId="99" borderId="236" xfId="0" applyFont="1" applyFill="1" applyBorder="1" applyAlignment="1" applyProtection="1">
      <alignment horizontal="center" vertical="center"/>
      <protection locked="0"/>
    </xf>
    <xf numFmtId="0" fontId="72" fillId="96" borderId="240" xfId="0" applyFont="1" applyFill="1" applyBorder="1" applyAlignment="1" applyProtection="1">
      <alignment horizontal="center" vertical="center"/>
      <protection locked="0"/>
    </xf>
    <xf numFmtId="0" fontId="72" fillId="96" borderId="236" xfId="0" applyFont="1" applyFill="1" applyBorder="1" applyAlignment="1" applyProtection="1">
      <alignment horizontal="center" vertical="center"/>
      <protection locked="0"/>
    </xf>
    <xf numFmtId="0" fontId="72" fillId="98" borderId="238" xfId="0" applyFont="1" applyFill="1" applyBorder="1" applyAlignment="1" applyProtection="1">
      <alignment horizontal="center" vertical="center"/>
      <protection locked="0"/>
    </xf>
    <xf numFmtId="0" fontId="114" fillId="98" borderId="241" xfId="0" applyFont="1" applyFill="1" applyBorder="1" applyAlignment="1" applyProtection="1">
      <alignment horizontal="center" vertical="center"/>
      <protection locked="0"/>
    </xf>
    <xf numFmtId="0" fontId="72" fillId="98" borderId="236" xfId="0" applyFont="1" applyFill="1" applyBorder="1" applyAlignment="1" applyProtection="1">
      <alignment horizontal="center" vertical="center"/>
      <protection locked="0"/>
    </xf>
    <xf numFmtId="0" fontId="72" fillId="98" borderId="242" xfId="0" applyFont="1" applyFill="1" applyBorder="1" applyAlignment="1" applyProtection="1">
      <alignment horizontal="center" vertical="center"/>
      <protection locked="0"/>
    </xf>
    <xf numFmtId="0" fontId="36" fillId="104" borderId="12" xfId="0" applyFont="1" applyFill="1" applyBorder="1" applyAlignment="1">
      <alignment horizontal="center" vertical="center"/>
    </xf>
    <xf numFmtId="0" fontId="36" fillId="98" borderId="26" xfId="0" applyFont="1" applyFill="1" applyBorder="1" applyAlignment="1">
      <alignment horizontal="center" vertical="center" wrapText="1"/>
    </xf>
    <xf numFmtId="0" fontId="36" fillId="103" borderId="12" xfId="0" applyFont="1" applyFill="1" applyBorder="1" applyAlignment="1">
      <alignment horizontal="center" vertical="center" wrapText="1"/>
    </xf>
    <xf numFmtId="0" fontId="36" fillId="105" borderId="12" xfId="0" applyFont="1" applyFill="1" applyBorder="1" applyAlignment="1">
      <alignment horizontal="center" vertical="center" wrapText="1"/>
    </xf>
    <xf numFmtId="49" fontId="5" fillId="48" borderId="12" xfId="0" applyNumberFormat="1" applyFont="1" applyFill="1" applyBorder="1" applyAlignment="1">
      <alignment horizontal="center"/>
    </xf>
    <xf numFmtId="1" fontId="0" fillId="45" borderId="12" xfId="0" applyNumberFormat="1" applyFill="1" applyBorder="1" applyAlignment="1" applyProtection="1">
      <alignment horizontal="center"/>
      <protection locked="0"/>
    </xf>
    <xf numFmtId="168" fontId="0" fillId="45" borderId="12" xfId="0" applyNumberFormat="1" applyFill="1" applyBorder="1" applyAlignment="1" applyProtection="1">
      <alignment horizontal="center"/>
      <protection locked="0"/>
    </xf>
    <xf numFmtId="0" fontId="0" fillId="45" borderId="12" xfId="0" applyFill="1" applyBorder="1" applyAlignment="1">
      <alignment horizontal="center"/>
    </xf>
    <xf numFmtId="169" fontId="72" fillId="0" borderId="72" xfId="0" applyNumberFormat="1" applyFont="1" applyBorder="1" applyAlignment="1" applyProtection="1">
      <alignment horizontal="center" vertical="center"/>
      <protection locked="0"/>
    </xf>
    <xf numFmtId="169" fontId="72" fillId="0" borderId="74" xfId="0" applyNumberFormat="1" applyFont="1" applyBorder="1" applyAlignment="1" applyProtection="1">
      <alignment horizontal="center" vertical="center"/>
      <protection locked="0"/>
    </xf>
    <xf numFmtId="169" fontId="72" fillId="0" borderId="75" xfId="0" applyNumberFormat="1" applyFont="1" applyBorder="1" applyAlignment="1" applyProtection="1">
      <alignment horizontal="center" vertical="center"/>
      <protection locked="0"/>
    </xf>
    <xf numFmtId="169" fontId="72" fillId="0" borderId="90" xfId="0" applyNumberFormat="1" applyFont="1" applyBorder="1" applyAlignment="1" applyProtection="1">
      <alignment horizontal="center" vertical="center"/>
      <protection locked="0"/>
    </xf>
    <xf numFmtId="169" fontId="72" fillId="0" borderId="144" xfId="0" applyNumberFormat="1" applyFont="1" applyBorder="1" applyAlignment="1" applyProtection="1">
      <alignment horizontal="center" vertical="center"/>
      <protection locked="0"/>
    </xf>
    <xf numFmtId="169" fontId="72" fillId="0" borderId="145" xfId="0" applyNumberFormat="1" applyFont="1" applyBorder="1" applyAlignment="1" applyProtection="1">
      <alignment horizontal="center" vertical="center"/>
      <protection locked="0"/>
    </xf>
    <xf numFmtId="169" fontId="72" fillId="0" borderId="92" xfId="0" applyNumberFormat="1" applyFont="1" applyBorder="1" applyAlignment="1" applyProtection="1">
      <alignment horizontal="center" vertical="center"/>
      <protection locked="0"/>
    </xf>
    <xf numFmtId="169" fontId="72" fillId="0" borderId="86" xfId="0" applyNumberFormat="1" applyFont="1" applyBorder="1" applyAlignment="1" applyProtection="1">
      <alignment horizontal="center" vertical="center"/>
      <protection locked="0"/>
    </xf>
    <xf numFmtId="2" fontId="74" fillId="55" borderId="14" xfId="26" applyNumberFormat="1" applyFont="1" applyFill="1" applyBorder="1" applyAlignment="1" applyProtection="1">
      <alignment horizontal="center" vertical="center" wrapText="1"/>
    </xf>
    <xf numFmtId="0" fontId="5" fillId="0" borderId="0" xfId="0" applyFont="1"/>
    <xf numFmtId="0" fontId="34" fillId="87" borderId="0" xfId="0" applyFont="1" applyFill="1" applyAlignment="1">
      <alignment horizontal="center" vertical="center"/>
    </xf>
    <xf numFmtId="0" fontId="9" fillId="46" borderId="12" xfId="0" applyFont="1" applyFill="1" applyBorder="1" applyAlignment="1">
      <alignment horizontal="center"/>
    </xf>
    <xf numFmtId="0" fontId="0" fillId="46" borderId="12" xfId="0" applyFill="1" applyBorder="1" applyAlignment="1">
      <alignment horizontal="center" vertical="top"/>
    </xf>
    <xf numFmtId="1" fontId="9" fillId="54" borderId="12" xfId="0" applyNumberFormat="1" applyFont="1" applyFill="1" applyBorder="1" applyAlignment="1">
      <alignment horizontal="center" vertical="top"/>
    </xf>
    <xf numFmtId="0" fontId="9" fillId="46" borderId="12" xfId="0" applyFont="1" applyFill="1" applyBorder="1" applyAlignment="1">
      <alignment horizontal="center" vertical="top"/>
    </xf>
    <xf numFmtId="2" fontId="0" fillId="46" borderId="12" xfId="0" applyNumberFormat="1" applyFill="1" applyBorder="1"/>
    <xf numFmtId="2" fontId="0" fillId="43" borderId="12" xfId="0" applyNumberFormat="1" applyFill="1" applyBorder="1" applyAlignment="1">
      <alignment horizontal="center"/>
    </xf>
    <xf numFmtId="2" fontId="36" fillId="44" borderId="0" xfId="0" applyNumberFormat="1" applyFont="1" applyFill="1" applyAlignment="1">
      <alignment horizontal="center" vertical="center"/>
    </xf>
    <xf numFmtId="2" fontId="36" fillId="55" borderId="71" xfId="0" applyNumberFormat="1" applyFont="1" applyFill="1" applyBorder="1" applyAlignment="1">
      <alignment horizontal="center" vertical="center" wrapText="1"/>
    </xf>
    <xf numFmtId="2" fontId="36" fillId="55" borderId="73" xfId="0" applyNumberFormat="1" applyFont="1" applyFill="1" applyBorder="1" applyAlignment="1">
      <alignment horizontal="center" vertical="center" wrapText="1"/>
    </xf>
    <xf numFmtId="2" fontId="36" fillId="55" borderId="84" xfId="0" applyNumberFormat="1" applyFont="1" applyFill="1" applyBorder="1" applyAlignment="1">
      <alignment horizontal="center" vertical="center" wrapText="1"/>
    </xf>
    <xf numFmtId="2" fontId="36" fillId="48" borderId="71" xfId="0" applyNumberFormat="1" applyFont="1" applyFill="1" applyBorder="1" applyAlignment="1">
      <alignment horizontal="center" vertical="center" wrapText="1"/>
    </xf>
    <xf numFmtId="2" fontId="36" fillId="48" borderId="73" xfId="0" applyNumberFormat="1" applyFont="1" applyFill="1" applyBorder="1" applyAlignment="1">
      <alignment horizontal="center" vertical="center" wrapText="1"/>
    </xf>
    <xf numFmtId="2" fontId="36" fillId="48" borderId="84" xfId="0" applyNumberFormat="1" applyFont="1" applyFill="1" applyBorder="1" applyAlignment="1">
      <alignment horizontal="center" vertical="center" wrapText="1"/>
    </xf>
    <xf numFmtId="2" fontId="36" fillId="76" borderId="102" xfId="0" applyNumberFormat="1" applyFont="1" applyFill="1" applyBorder="1" applyAlignment="1">
      <alignment horizontal="center" vertical="center" wrapText="1"/>
    </xf>
    <xf numFmtId="2" fontId="36" fillId="76" borderId="103" xfId="0" applyNumberFormat="1" applyFont="1" applyFill="1" applyBorder="1" applyAlignment="1">
      <alignment horizontal="center" vertical="center" wrapText="1"/>
    </xf>
    <xf numFmtId="2" fontId="36" fillId="76" borderId="173" xfId="0" applyNumberFormat="1" applyFont="1" applyFill="1" applyBorder="1" applyAlignment="1">
      <alignment horizontal="center" vertical="center" wrapText="1"/>
    </xf>
    <xf numFmtId="2" fontId="36" fillId="76" borderId="104" xfId="0" applyNumberFormat="1" applyFont="1" applyFill="1" applyBorder="1" applyAlignment="1">
      <alignment horizontal="center" vertical="center" wrapText="1"/>
    </xf>
    <xf numFmtId="2" fontId="36" fillId="45" borderId="102" xfId="0" applyNumberFormat="1" applyFont="1" applyFill="1" applyBorder="1" applyAlignment="1">
      <alignment horizontal="center" vertical="center" wrapText="1"/>
    </xf>
    <xf numFmtId="2" fontId="36" fillId="45" borderId="103" xfId="0" applyNumberFormat="1" applyFont="1" applyFill="1" applyBorder="1" applyAlignment="1">
      <alignment horizontal="center" vertical="center" wrapText="1"/>
    </xf>
    <xf numFmtId="2" fontId="36" fillId="45" borderId="173" xfId="0" applyNumberFormat="1" applyFont="1" applyFill="1" applyBorder="1" applyAlignment="1">
      <alignment horizontal="center" vertical="center" wrapText="1"/>
    </xf>
    <xf numFmtId="2" fontId="36" fillId="45" borderId="104" xfId="0" applyNumberFormat="1" applyFont="1" applyFill="1" applyBorder="1" applyAlignment="1">
      <alignment horizontal="center" vertical="center" wrapText="1"/>
    </xf>
    <xf numFmtId="2" fontId="36" fillId="60" borderId="102" xfId="0" applyNumberFormat="1" applyFont="1" applyFill="1" applyBorder="1" applyAlignment="1">
      <alignment horizontal="center" vertical="center" wrapText="1"/>
    </xf>
    <xf numFmtId="2" fontId="36" fillId="60" borderId="103" xfId="0" applyNumberFormat="1" applyFont="1" applyFill="1" applyBorder="1" applyAlignment="1">
      <alignment horizontal="center" vertical="center" wrapText="1"/>
    </xf>
    <xf numFmtId="2" fontId="36" fillId="60" borderId="104" xfId="0" applyNumberFormat="1" applyFont="1" applyFill="1" applyBorder="1" applyAlignment="1">
      <alignment horizontal="center" vertical="center" wrapText="1"/>
    </xf>
    <xf numFmtId="2" fontId="36" fillId="61" borderId="102" xfId="0" applyNumberFormat="1" applyFont="1" applyFill="1" applyBorder="1" applyAlignment="1">
      <alignment horizontal="center" vertical="center" wrapText="1"/>
    </xf>
    <xf numFmtId="2" fontId="36" fillId="61" borderId="103" xfId="0" applyNumberFormat="1" applyFont="1" applyFill="1" applyBorder="1" applyAlignment="1">
      <alignment horizontal="center" vertical="center" wrapText="1"/>
    </xf>
    <xf numFmtId="2" fontId="36" fillId="61" borderId="173" xfId="0" applyNumberFormat="1" applyFont="1" applyFill="1" applyBorder="1" applyAlignment="1">
      <alignment horizontal="center" vertical="center" wrapText="1"/>
    </xf>
    <xf numFmtId="2" fontId="36" fillId="61" borderId="104" xfId="0" applyNumberFormat="1" applyFont="1" applyFill="1" applyBorder="1" applyAlignment="1">
      <alignment horizontal="center" vertical="center" wrapText="1"/>
    </xf>
    <xf numFmtId="2" fontId="36" fillId="92" borderId="102" xfId="0" applyNumberFormat="1" applyFont="1" applyFill="1" applyBorder="1" applyAlignment="1">
      <alignment horizontal="center" vertical="center" wrapText="1"/>
    </xf>
    <xf numFmtId="2" fontId="36" fillId="92" borderId="103" xfId="0" applyNumberFormat="1" applyFont="1" applyFill="1" applyBorder="1" applyAlignment="1">
      <alignment horizontal="center" vertical="center" wrapText="1"/>
    </xf>
    <xf numFmtId="2" fontId="36" fillId="92" borderId="173" xfId="0" applyNumberFormat="1" applyFont="1" applyFill="1" applyBorder="1" applyAlignment="1">
      <alignment horizontal="center" vertical="center" wrapText="1"/>
    </xf>
    <xf numFmtId="2" fontId="36" fillId="92" borderId="104" xfId="0" applyNumberFormat="1" applyFont="1" applyFill="1" applyBorder="1" applyAlignment="1">
      <alignment horizontal="center" vertical="center" wrapText="1"/>
    </xf>
    <xf numFmtId="2" fontId="36" fillId="100" borderId="102" xfId="0" applyNumberFormat="1" applyFont="1" applyFill="1" applyBorder="1" applyAlignment="1">
      <alignment horizontal="center" vertical="center" wrapText="1"/>
    </xf>
    <xf numFmtId="2" fontId="36" fillId="100" borderId="103" xfId="0" applyNumberFormat="1" applyFont="1" applyFill="1" applyBorder="1" applyAlignment="1">
      <alignment horizontal="center" vertical="center" wrapText="1"/>
    </xf>
    <xf numFmtId="2" fontId="36" fillId="100" borderId="173" xfId="0" applyNumberFormat="1" applyFont="1" applyFill="1" applyBorder="1" applyAlignment="1">
      <alignment horizontal="center" vertical="center" wrapText="1"/>
    </xf>
    <xf numFmtId="2" fontId="36" fillId="100" borderId="104" xfId="0" applyNumberFormat="1" applyFont="1" applyFill="1" applyBorder="1" applyAlignment="1">
      <alignment horizontal="center" vertical="center" wrapText="1"/>
    </xf>
    <xf numFmtId="2" fontId="36" fillId="59" borderId="102" xfId="0" applyNumberFormat="1" applyFont="1" applyFill="1" applyBorder="1" applyAlignment="1">
      <alignment horizontal="center" vertical="center" wrapText="1"/>
    </xf>
    <xf numFmtId="2" fontId="36" fillId="59" borderId="103" xfId="0" applyNumberFormat="1" applyFont="1" applyFill="1" applyBorder="1" applyAlignment="1">
      <alignment horizontal="center" vertical="center" wrapText="1"/>
    </xf>
    <xf numFmtId="2" fontId="36" fillId="59" borderId="173" xfId="0" applyNumberFormat="1" applyFont="1" applyFill="1" applyBorder="1" applyAlignment="1">
      <alignment horizontal="center" vertical="center" wrapText="1"/>
    </xf>
    <xf numFmtId="2" fontId="36" fillId="59" borderId="104" xfId="0" applyNumberFormat="1" applyFont="1" applyFill="1" applyBorder="1" applyAlignment="1">
      <alignment horizontal="center" vertical="center" wrapText="1"/>
    </xf>
    <xf numFmtId="2" fontId="36" fillId="55" borderId="102" xfId="0" applyNumberFormat="1" applyFont="1" applyFill="1" applyBorder="1" applyAlignment="1">
      <alignment horizontal="center" vertical="center" wrapText="1"/>
    </xf>
    <xf numFmtId="2" fontId="36" fillId="55" borderId="103" xfId="0" applyNumberFormat="1" applyFont="1" applyFill="1" applyBorder="1" applyAlignment="1">
      <alignment horizontal="center" vertical="center" wrapText="1"/>
    </xf>
    <xf numFmtId="2" fontId="36" fillId="55" borderId="104" xfId="0" applyNumberFormat="1" applyFont="1" applyFill="1" applyBorder="1" applyAlignment="1">
      <alignment horizontal="center" vertical="center" wrapText="1"/>
    </xf>
    <xf numFmtId="2" fontId="36" fillId="60" borderId="26" xfId="0" applyNumberFormat="1" applyFont="1" applyFill="1" applyBorder="1" applyAlignment="1">
      <alignment horizontal="center" vertical="center"/>
    </xf>
    <xf numFmtId="2" fontId="116" fillId="60" borderId="26" xfId="0" applyNumberFormat="1" applyFont="1" applyFill="1" applyBorder="1" applyAlignment="1">
      <alignment horizontal="center" vertical="center"/>
    </xf>
    <xf numFmtId="2" fontId="116" fillId="60" borderId="11" xfId="0" applyNumberFormat="1" applyFont="1" applyFill="1" applyBorder="1" applyAlignment="1">
      <alignment horizontal="center" vertical="center"/>
    </xf>
    <xf numFmtId="2" fontId="36" fillId="95" borderId="26" xfId="0" applyNumberFormat="1" applyFont="1" applyFill="1" applyBorder="1" applyAlignment="1">
      <alignment horizontal="center" vertical="center"/>
    </xf>
    <xf numFmtId="2" fontId="126" fillId="95" borderId="26" xfId="0" applyNumberFormat="1" applyFont="1" applyFill="1" applyBorder="1" applyAlignment="1">
      <alignment horizontal="center" vertical="center"/>
    </xf>
    <xf numFmtId="2" fontId="126" fillId="95" borderId="11" xfId="0" applyNumberFormat="1" applyFont="1" applyFill="1" applyBorder="1" applyAlignment="1">
      <alignment horizontal="center" vertical="center"/>
    </xf>
    <xf numFmtId="2" fontId="36" fillId="98" borderId="26" xfId="0" applyNumberFormat="1" applyFont="1" applyFill="1" applyBorder="1" applyAlignment="1">
      <alignment horizontal="center" vertical="center"/>
    </xf>
    <xf numFmtId="2" fontId="131" fillId="98" borderId="26" xfId="0" applyNumberFormat="1" applyFont="1" applyFill="1" applyBorder="1" applyAlignment="1">
      <alignment horizontal="center" vertical="center"/>
    </xf>
    <xf numFmtId="2" fontId="131" fillId="98" borderId="11" xfId="0" applyNumberFormat="1" applyFont="1" applyFill="1" applyBorder="1" applyAlignment="1">
      <alignment horizontal="center" vertical="center"/>
    </xf>
    <xf numFmtId="2" fontId="36" fillId="106" borderId="12" xfId="0" applyNumberFormat="1" applyFont="1" applyFill="1" applyBorder="1" applyAlignment="1">
      <alignment horizontal="center" vertical="center"/>
    </xf>
    <xf numFmtId="2" fontId="36" fillId="105" borderId="14" xfId="0" applyNumberFormat="1" applyFont="1" applyFill="1" applyBorder="1" applyAlignment="1">
      <alignment horizontal="center" vertical="center"/>
    </xf>
    <xf numFmtId="2" fontId="36" fillId="105" borderId="11" xfId="0" applyNumberFormat="1" applyFont="1" applyFill="1" applyBorder="1" applyAlignment="1">
      <alignment horizontal="center" vertical="center"/>
    </xf>
    <xf numFmtId="2" fontId="36" fillId="64" borderId="26" xfId="0" applyNumberFormat="1" applyFont="1" applyFill="1" applyBorder="1" applyAlignment="1">
      <alignment horizontal="center" vertical="center"/>
    </xf>
    <xf numFmtId="2" fontId="132" fillId="64" borderId="26" xfId="0" applyNumberFormat="1" applyFont="1" applyFill="1" applyBorder="1" applyAlignment="1">
      <alignment horizontal="center" vertical="center"/>
    </xf>
    <xf numFmtId="2" fontId="132" fillId="64" borderId="11" xfId="0" applyNumberFormat="1" applyFont="1" applyFill="1" applyBorder="1" applyAlignment="1">
      <alignment horizontal="center" vertical="center"/>
    </xf>
    <xf numFmtId="2" fontId="36" fillId="61" borderId="12" xfId="0" applyNumberFormat="1" applyFont="1" applyFill="1" applyBorder="1" applyAlignment="1">
      <alignment horizontal="center" vertical="center"/>
    </xf>
    <xf numFmtId="2" fontId="36" fillId="54" borderId="14" xfId="0" applyNumberFormat="1" applyFont="1" applyFill="1" applyBorder="1" applyAlignment="1">
      <alignment horizontal="center" vertical="center"/>
    </xf>
    <xf numFmtId="2" fontId="36" fillId="54" borderId="11" xfId="0" applyNumberFormat="1" applyFont="1" applyFill="1" applyBorder="1" applyAlignment="1">
      <alignment horizontal="center" vertical="center"/>
    </xf>
    <xf numFmtId="2" fontId="133" fillId="58" borderId="26" xfId="0" quotePrefix="1" applyNumberFormat="1" applyFont="1" applyFill="1" applyBorder="1" applyAlignment="1">
      <alignment horizontal="center" vertical="center"/>
    </xf>
    <xf numFmtId="2" fontId="36" fillId="58" borderId="26" xfId="0" applyNumberFormat="1" applyFont="1" applyFill="1" applyBorder="1" applyAlignment="1">
      <alignment horizontal="center" vertical="center"/>
    </xf>
    <xf numFmtId="2" fontId="133" fillId="58" borderId="26" xfId="0" applyNumberFormat="1" applyFont="1" applyFill="1" applyBorder="1" applyAlignment="1">
      <alignment horizontal="center" vertical="center"/>
    </xf>
    <xf numFmtId="2" fontId="133" fillId="58" borderId="11" xfId="0" applyNumberFormat="1" applyFont="1" applyFill="1" applyBorder="1" applyAlignment="1">
      <alignment horizontal="center" vertical="center"/>
    </xf>
    <xf numFmtId="2" fontId="36" fillId="55" borderId="12" xfId="0" applyNumberFormat="1" applyFont="1" applyFill="1" applyBorder="1" applyAlignment="1">
      <alignment horizontal="center" vertical="center"/>
    </xf>
    <xf numFmtId="2" fontId="36" fillId="48" borderId="14" xfId="0" applyNumberFormat="1" applyFont="1" applyFill="1" applyBorder="1" applyAlignment="1">
      <alignment horizontal="center" vertical="center"/>
    </xf>
    <xf numFmtId="2" fontId="36" fillId="48" borderId="11" xfId="0" applyNumberFormat="1" applyFont="1" applyFill="1" applyBorder="1" applyAlignment="1">
      <alignment horizontal="center" vertical="center"/>
    </xf>
    <xf numFmtId="2" fontId="133" fillId="58" borderId="14" xfId="0" quotePrefix="1" applyNumberFormat="1" applyFont="1" applyFill="1" applyBorder="1" applyAlignment="1">
      <alignment horizontal="center" vertical="center"/>
    </xf>
    <xf numFmtId="2" fontId="134" fillId="77" borderId="26" xfId="0" quotePrefix="1" applyNumberFormat="1" applyFont="1" applyFill="1" applyBorder="1" applyAlignment="1">
      <alignment horizontal="center" vertical="center"/>
    </xf>
    <xf numFmtId="2" fontId="36" fillId="77" borderId="26" xfId="0" applyNumberFormat="1" applyFont="1" applyFill="1" applyBorder="1" applyAlignment="1">
      <alignment horizontal="center" vertical="center"/>
    </xf>
    <xf numFmtId="2" fontId="134" fillId="77" borderId="26" xfId="0" applyNumberFormat="1" applyFont="1" applyFill="1" applyBorder="1" applyAlignment="1">
      <alignment horizontal="center" vertical="center"/>
    </xf>
    <xf numFmtId="2" fontId="134" fillId="77" borderId="11" xfId="0" applyNumberFormat="1" applyFont="1" applyFill="1" applyBorder="1" applyAlignment="1">
      <alignment horizontal="center" vertical="center"/>
    </xf>
    <xf numFmtId="2" fontId="36" fillId="45" borderId="11" xfId="0" applyNumberFormat="1" applyFont="1" applyFill="1" applyBorder="1" applyAlignment="1">
      <alignment horizontal="center" vertical="center"/>
    </xf>
    <xf numFmtId="2" fontId="131" fillId="98" borderId="26" xfId="0" quotePrefix="1" applyNumberFormat="1" applyFont="1" applyFill="1" applyBorder="1" applyAlignment="1">
      <alignment horizontal="center" vertical="center"/>
    </xf>
    <xf numFmtId="2" fontId="132" fillId="64" borderId="26" xfId="0" quotePrefix="1" applyNumberFormat="1" applyFont="1" applyFill="1" applyBorder="1" applyAlignment="1">
      <alignment horizontal="center" vertical="center"/>
    </xf>
    <xf numFmtId="2" fontId="36" fillId="104" borderId="14" xfId="0" quotePrefix="1" applyNumberFormat="1" applyFont="1" applyFill="1" applyBorder="1" applyAlignment="1">
      <alignment horizontal="center" vertical="center"/>
    </xf>
    <xf numFmtId="2" fontId="36" fillId="103" borderId="11" xfId="0" applyNumberFormat="1" applyFont="1" applyFill="1" applyBorder="1" applyAlignment="1">
      <alignment horizontal="center" vertical="center"/>
    </xf>
    <xf numFmtId="2" fontId="36" fillId="98" borderId="14" xfId="0" quotePrefix="1" applyNumberFormat="1" applyFont="1" applyFill="1" applyBorder="1" applyAlignment="1">
      <alignment horizontal="center" vertical="center"/>
    </xf>
    <xf numFmtId="2" fontId="36" fillId="55" borderId="71" xfId="0" applyNumberFormat="1" applyFont="1" applyFill="1" applyBorder="1" applyAlignment="1">
      <alignment horizontal="center" vertical="center"/>
    </xf>
    <xf numFmtId="2" fontId="36" fillId="55" borderId="73" xfId="0" applyNumberFormat="1" applyFont="1" applyFill="1" applyBorder="1" applyAlignment="1">
      <alignment horizontal="center" vertical="center"/>
    </xf>
    <xf numFmtId="2" fontId="36" fillId="76" borderId="102" xfId="0" applyNumberFormat="1" applyFont="1" applyFill="1" applyBorder="1" applyAlignment="1">
      <alignment horizontal="center" vertical="center"/>
    </xf>
    <xf numFmtId="2" fontId="36" fillId="76" borderId="103" xfId="0" applyNumberFormat="1" applyFont="1" applyFill="1" applyBorder="1" applyAlignment="1">
      <alignment horizontal="center" vertical="center"/>
    </xf>
    <xf numFmtId="2" fontId="36" fillId="76" borderId="173" xfId="0" applyNumberFormat="1" applyFont="1" applyFill="1" applyBorder="1" applyAlignment="1">
      <alignment horizontal="center" vertical="center"/>
    </xf>
    <xf numFmtId="2" fontId="36" fillId="76" borderId="104" xfId="0" applyNumberFormat="1" applyFont="1" applyFill="1" applyBorder="1" applyAlignment="1">
      <alignment horizontal="center" vertical="center"/>
    </xf>
    <xf numFmtId="2" fontId="36" fillId="45" borderId="102" xfId="0" applyNumberFormat="1" applyFont="1" applyFill="1" applyBorder="1" applyAlignment="1">
      <alignment horizontal="center" vertical="center"/>
    </xf>
    <xf numFmtId="2" fontId="36" fillId="45" borderId="103" xfId="0" applyNumberFormat="1" applyFont="1" applyFill="1" applyBorder="1" applyAlignment="1">
      <alignment horizontal="center" vertical="center"/>
    </xf>
    <xf numFmtId="2" fontId="36" fillId="45" borderId="173" xfId="0" applyNumberFormat="1" applyFont="1" applyFill="1" applyBorder="1" applyAlignment="1">
      <alignment horizontal="center" vertical="center"/>
    </xf>
    <xf numFmtId="2" fontId="36" fillId="45" borderId="104" xfId="0" applyNumberFormat="1" applyFont="1" applyFill="1" applyBorder="1" applyAlignment="1">
      <alignment horizontal="center" vertical="center"/>
    </xf>
    <xf numFmtId="2" fontId="36" fillId="60" borderId="102" xfId="0" applyNumberFormat="1" applyFont="1" applyFill="1" applyBorder="1" applyAlignment="1">
      <alignment horizontal="center" vertical="center"/>
    </xf>
    <xf numFmtId="2" fontId="36" fillId="60" borderId="103" xfId="0" applyNumberFormat="1" applyFont="1" applyFill="1" applyBorder="1" applyAlignment="1">
      <alignment horizontal="center" vertical="center"/>
    </xf>
    <xf numFmtId="2" fontId="36" fillId="60" borderId="173" xfId="0" applyNumberFormat="1" applyFont="1" applyFill="1" applyBorder="1" applyAlignment="1">
      <alignment horizontal="center" vertical="center"/>
    </xf>
    <xf numFmtId="2" fontId="36" fillId="60" borderId="104" xfId="0" applyNumberFormat="1" applyFont="1" applyFill="1" applyBorder="1" applyAlignment="1">
      <alignment horizontal="center" vertical="center"/>
    </xf>
    <xf numFmtId="2" fontId="36" fillId="61" borderId="102" xfId="0" applyNumberFormat="1" applyFont="1" applyFill="1" applyBorder="1" applyAlignment="1">
      <alignment horizontal="center" vertical="center"/>
    </xf>
    <xf numFmtId="2" fontId="36" fillId="61" borderId="103" xfId="0" applyNumberFormat="1" applyFont="1" applyFill="1" applyBorder="1" applyAlignment="1">
      <alignment horizontal="center" vertical="center"/>
    </xf>
    <xf numFmtId="2" fontId="36" fillId="61" borderId="173" xfId="0" applyNumberFormat="1" applyFont="1" applyFill="1" applyBorder="1" applyAlignment="1">
      <alignment horizontal="center" vertical="center"/>
    </xf>
    <xf numFmtId="2" fontId="36" fillId="61" borderId="104" xfId="0" applyNumberFormat="1" applyFont="1" applyFill="1" applyBorder="1" applyAlignment="1">
      <alignment horizontal="center" vertical="center"/>
    </xf>
    <xf numFmtId="2" fontId="36" fillId="92" borderId="102" xfId="0" applyNumberFormat="1" applyFont="1" applyFill="1" applyBorder="1" applyAlignment="1">
      <alignment horizontal="center" vertical="center"/>
    </xf>
    <xf numFmtId="2" fontId="36" fillId="92" borderId="103" xfId="0" applyNumberFormat="1" applyFont="1" applyFill="1" applyBorder="1" applyAlignment="1">
      <alignment horizontal="center" vertical="center"/>
    </xf>
    <xf numFmtId="2" fontId="36" fillId="92" borderId="173" xfId="0" applyNumberFormat="1" applyFont="1" applyFill="1" applyBorder="1" applyAlignment="1">
      <alignment horizontal="center" vertical="center"/>
    </xf>
    <xf numFmtId="2" fontId="36" fillId="92" borderId="104" xfId="0" applyNumberFormat="1" applyFont="1" applyFill="1" applyBorder="1" applyAlignment="1">
      <alignment horizontal="center" vertical="center"/>
    </xf>
    <xf numFmtId="2" fontId="36" fillId="100" borderId="102" xfId="0" applyNumberFormat="1" applyFont="1" applyFill="1" applyBorder="1" applyAlignment="1">
      <alignment horizontal="center" vertical="center"/>
    </xf>
    <xf numFmtId="2" fontId="36" fillId="100" borderId="103" xfId="0" applyNumberFormat="1" applyFont="1" applyFill="1" applyBorder="1" applyAlignment="1">
      <alignment horizontal="center" vertical="center"/>
    </xf>
    <xf numFmtId="2" fontId="36" fillId="100" borderId="173" xfId="0" applyNumberFormat="1" applyFont="1" applyFill="1" applyBorder="1" applyAlignment="1">
      <alignment horizontal="center" vertical="center"/>
    </xf>
    <xf numFmtId="2" fontId="36" fillId="100" borderId="104" xfId="0" applyNumberFormat="1" applyFont="1" applyFill="1" applyBorder="1" applyAlignment="1">
      <alignment horizontal="center" vertical="center"/>
    </xf>
    <xf numFmtId="2" fontId="36" fillId="59" borderId="102" xfId="0" applyNumberFormat="1" applyFont="1" applyFill="1" applyBorder="1" applyAlignment="1">
      <alignment horizontal="center" vertical="center"/>
    </xf>
    <xf numFmtId="2" fontId="36" fillId="59" borderId="103" xfId="0" applyNumberFormat="1" applyFont="1" applyFill="1" applyBorder="1" applyAlignment="1">
      <alignment horizontal="center" vertical="center"/>
    </xf>
    <xf numFmtId="2" fontId="36" fillId="59" borderId="173" xfId="0" applyNumberFormat="1" applyFont="1" applyFill="1" applyBorder="1" applyAlignment="1">
      <alignment horizontal="center" vertical="center"/>
    </xf>
    <xf numFmtId="2" fontId="36" fillId="59" borderId="104" xfId="0" applyNumberFormat="1" applyFont="1" applyFill="1" applyBorder="1" applyAlignment="1">
      <alignment horizontal="center" vertical="center"/>
    </xf>
    <xf numFmtId="2" fontId="36" fillId="55" borderId="102" xfId="0" applyNumberFormat="1" applyFont="1" applyFill="1" applyBorder="1" applyAlignment="1">
      <alignment horizontal="center" vertical="center"/>
    </xf>
    <xf numFmtId="2" fontId="36" fillId="55" borderId="103" xfId="0" applyNumberFormat="1" applyFont="1" applyFill="1" applyBorder="1" applyAlignment="1">
      <alignment horizontal="center" vertical="center"/>
    </xf>
    <xf numFmtId="2" fontId="36" fillId="55" borderId="104" xfId="0" applyNumberFormat="1" applyFont="1" applyFill="1" applyBorder="1" applyAlignment="1">
      <alignment horizontal="center" vertical="center"/>
    </xf>
    <xf numFmtId="2" fontId="36" fillId="96" borderId="102" xfId="0" applyNumberFormat="1" applyFont="1" applyFill="1" applyBorder="1" applyAlignment="1">
      <alignment horizontal="center" vertical="center"/>
    </xf>
    <xf numFmtId="2" fontId="36" fillId="96" borderId="103" xfId="0" applyNumberFormat="1" applyFont="1" applyFill="1" applyBorder="1" applyAlignment="1">
      <alignment horizontal="center" vertical="center"/>
    </xf>
    <xf numFmtId="2" fontId="36" fillId="96" borderId="104" xfId="0" applyNumberFormat="1" applyFont="1" applyFill="1" applyBorder="1" applyAlignment="1">
      <alignment horizontal="center" vertical="center"/>
    </xf>
    <xf numFmtId="2" fontId="36" fillId="95" borderId="102" xfId="0" applyNumberFormat="1" applyFont="1" applyFill="1" applyBorder="1" applyAlignment="1">
      <alignment horizontal="center" vertical="center"/>
    </xf>
    <xf numFmtId="2" fontId="36" fillId="95" borderId="103" xfId="0" applyNumberFormat="1" applyFont="1" applyFill="1" applyBorder="1" applyAlignment="1">
      <alignment horizontal="center" vertical="center"/>
    </xf>
    <xf numFmtId="2" fontId="36" fillId="95" borderId="104" xfId="0" applyNumberFormat="1" applyFont="1" applyFill="1" applyBorder="1" applyAlignment="1">
      <alignment horizontal="center" vertical="center"/>
    </xf>
    <xf numFmtId="2" fontId="34" fillId="85" borderId="172" xfId="0" applyNumberFormat="1" applyFont="1" applyFill="1" applyBorder="1" applyAlignment="1">
      <alignment horizontal="center" vertical="center" wrapText="1"/>
    </xf>
    <xf numFmtId="2" fontId="34" fillId="85" borderId="14" xfId="0" applyNumberFormat="1" applyFont="1" applyFill="1" applyBorder="1" applyAlignment="1">
      <alignment horizontal="center" vertical="center" wrapText="1"/>
    </xf>
    <xf numFmtId="0" fontId="5" fillId="48" borderId="12" xfId="0" applyFont="1" applyFill="1" applyBorder="1"/>
    <xf numFmtId="0" fontId="0" fillId="46" borderId="12" xfId="0" applyFill="1" applyBorder="1"/>
    <xf numFmtId="0" fontId="36" fillId="92" borderId="87" xfId="0" applyFont="1" applyFill="1" applyBorder="1" applyAlignment="1">
      <alignment horizontal="center" vertical="center"/>
    </xf>
    <xf numFmtId="0" fontId="36" fillId="92" borderId="88" xfId="0" applyFont="1" applyFill="1" applyBorder="1" applyAlignment="1">
      <alignment horizontal="center" vertical="center"/>
    </xf>
    <xf numFmtId="165" fontId="36" fillId="94" borderId="87" xfId="0" applyNumberFormat="1" applyFont="1" applyFill="1" applyBorder="1" applyAlignment="1">
      <alignment horizontal="center" vertical="center"/>
    </xf>
    <xf numFmtId="0" fontId="0" fillId="46" borderId="12" xfId="0" applyFill="1" applyBorder="1" applyAlignment="1" applyProtection="1">
      <alignment horizontal="center"/>
      <protection locked="0"/>
    </xf>
    <xf numFmtId="2" fontId="5" fillId="48" borderId="12" xfId="0" applyNumberFormat="1" applyFont="1" applyFill="1" applyBorder="1"/>
    <xf numFmtId="2" fontId="36" fillId="60" borderId="14" xfId="0" applyNumberFormat="1" applyFont="1" applyFill="1" applyBorder="1" applyAlignment="1">
      <alignment horizontal="center" vertical="center"/>
    </xf>
    <xf numFmtId="2" fontId="36" fillId="60" borderId="11" xfId="0" applyNumberFormat="1" applyFont="1" applyFill="1" applyBorder="1" applyAlignment="1">
      <alignment horizontal="center" vertical="center"/>
    </xf>
    <xf numFmtId="165" fontId="36" fillId="94" borderId="81" xfId="0" applyNumberFormat="1" applyFont="1" applyFill="1" applyBorder="1" applyAlignment="1">
      <alignment horizontal="center" vertical="center"/>
    </xf>
    <xf numFmtId="165" fontId="36" fillId="94" borderId="82" xfId="0" applyNumberFormat="1" applyFont="1" applyFill="1" applyBorder="1" applyAlignment="1">
      <alignment horizontal="center" vertical="center"/>
    </xf>
    <xf numFmtId="0" fontId="36" fillId="55" borderId="103" xfId="0" applyFont="1" applyFill="1" applyBorder="1" applyAlignment="1">
      <alignment horizontal="center" vertical="center"/>
    </xf>
    <xf numFmtId="0" fontId="36" fillId="55" borderId="104" xfId="0" applyFont="1" applyFill="1" applyBorder="1" applyAlignment="1">
      <alignment horizontal="center" vertical="center"/>
    </xf>
    <xf numFmtId="0" fontId="25" fillId="53" borderId="245" xfId="40" applyFont="1" applyFill="1" applyBorder="1" applyAlignment="1">
      <alignment horizontal="center" vertical="center"/>
    </xf>
    <xf numFmtId="1" fontId="72" fillId="0" borderId="83" xfId="0" applyNumberFormat="1" applyFont="1" applyBorder="1" applyAlignment="1" applyProtection="1">
      <alignment horizontal="center" vertical="center"/>
      <protection locked="0"/>
    </xf>
    <xf numFmtId="1" fontId="72" fillId="0" borderId="85" xfId="0" applyNumberFormat="1" applyFont="1" applyBorder="1" applyAlignment="1" applyProtection="1">
      <alignment horizontal="center" vertical="center"/>
      <protection locked="0"/>
    </xf>
    <xf numFmtId="1" fontId="72" fillId="0" borderId="96" xfId="0" applyNumberFormat="1" applyFont="1" applyBorder="1" applyAlignment="1" applyProtection="1">
      <alignment horizontal="center" vertical="center"/>
      <protection locked="0"/>
    </xf>
    <xf numFmtId="1" fontId="72" fillId="0" borderId="150" xfId="0" applyNumberFormat="1" applyFont="1" applyBorder="1" applyAlignment="1" applyProtection="1">
      <alignment horizontal="center" vertical="center"/>
      <protection locked="0"/>
    </xf>
    <xf numFmtId="1" fontId="72" fillId="0" borderId="152" xfId="0" applyNumberFormat="1" applyFont="1" applyBorder="1" applyAlignment="1" applyProtection="1">
      <alignment horizontal="center" vertical="center"/>
      <protection locked="0"/>
    </xf>
    <xf numFmtId="1" fontId="72" fillId="0" borderId="153" xfId="0" applyNumberFormat="1" applyFont="1" applyBorder="1" applyAlignment="1" applyProtection="1">
      <alignment horizontal="center" vertical="center"/>
      <protection locked="0"/>
    </xf>
    <xf numFmtId="1" fontId="72" fillId="0" borderId="98" xfId="0" applyNumberFormat="1" applyFont="1" applyBorder="1" applyAlignment="1" applyProtection="1">
      <alignment horizontal="center" vertical="center"/>
      <protection locked="0"/>
    </xf>
    <xf numFmtId="1" fontId="72" fillId="0" borderId="209" xfId="0" applyNumberFormat="1" applyFont="1" applyBorder="1" applyAlignment="1" applyProtection="1">
      <alignment horizontal="center" vertical="center"/>
      <protection locked="0"/>
    </xf>
    <xf numFmtId="2" fontId="0" fillId="44" borderId="0" xfId="0" applyNumberFormat="1" applyFill="1"/>
    <xf numFmtId="0" fontId="0" fillId="44" borderId="0" xfId="0" applyFill="1" applyAlignment="1">
      <alignment vertical="center"/>
    </xf>
    <xf numFmtId="0" fontId="58" fillId="44" borderId="247" xfId="0" applyFont="1" applyFill="1" applyBorder="1"/>
    <xf numFmtId="0" fontId="58" fillId="44" borderId="248" xfId="0" applyFont="1" applyFill="1" applyBorder="1"/>
    <xf numFmtId="0" fontId="9" fillId="0" borderId="12" xfId="0" applyFont="1" applyBorder="1" applyAlignment="1">
      <alignment horizontal="center"/>
    </xf>
    <xf numFmtId="1" fontId="0" fillId="54" borderId="244" xfId="0" applyNumberFormat="1" applyFill="1" applyBorder="1" applyAlignment="1" applyProtection="1">
      <alignment horizontal="center"/>
      <protection locked="0"/>
    </xf>
    <xf numFmtId="1" fontId="0" fillId="45" borderId="244" xfId="0" applyNumberFormat="1" applyFill="1" applyBorder="1" applyAlignment="1" applyProtection="1">
      <alignment horizontal="center"/>
      <protection locked="0"/>
    </xf>
    <xf numFmtId="1" fontId="0" fillId="46" borderId="244" xfId="0" applyNumberFormat="1" applyFill="1" applyBorder="1" applyAlignment="1" applyProtection="1">
      <alignment horizontal="center"/>
      <protection locked="0"/>
    </xf>
    <xf numFmtId="1" fontId="0" fillId="45" borderId="12" xfId="0" applyNumberFormat="1" applyFill="1" applyBorder="1" applyAlignment="1">
      <alignment horizontal="center"/>
    </xf>
    <xf numFmtId="0" fontId="100" fillId="44" borderId="71" xfId="0" applyFont="1" applyFill="1" applyBorder="1" applyAlignment="1" applyProtection="1">
      <alignment horizontal="center"/>
      <protection locked="0"/>
    </xf>
    <xf numFmtId="0" fontId="100" fillId="44" borderId="73" xfId="0" applyFont="1" applyFill="1" applyBorder="1" applyAlignment="1" applyProtection="1">
      <alignment horizontal="center"/>
      <protection locked="0"/>
    </xf>
    <xf numFmtId="0" fontId="100" fillId="44" borderId="84" xfId="0" applyFont="1" applyFill="1" applyBorder="1" applyAlignment="1" applyProtection="1">
      <alignment horizontal="center"/>
      <protection locked="0"/>
    </xf>
    <xf numFmtId="0" fontId="27" fillId="50" borderId="53" xfId="42" applyFont="1" applyFill="1" applyBorder="1"/>
    <xf numFmtId="2" fontId="36" fillId="58" borderId="71" xfId="0" applyNumberFormat="1" applyFont="1" applyFill="1" applyBorder="1" applyAlignment="1">
      <alignment horizontal="center" vertical="center"/>
    </xf>
    <xf numFmtId="0" fontId="36" fillId="58" borderId="103" xfId="0" applyFont="1" applyFill="1" applyBorder="1" applyAlignment="1">
      <alignment horizontal="center" vertical="center"/>
    </xf>
    <xf numFmtId="0" fontId="36" fillId="94" borderId="127" xfId="0" applyFont="1" applyFill="1" applyBorder="1" applyAlignment="1">
      <alignment horizontal="center" vertical="center"/>
    </xf>
    <xf numFmtId="0" fontId="36" fillId="94" borderId="126" xfId="0" applyFont="1" applyFill="1" applyBorder="1" applyAlignment="1">
      <alignment horizontal="center" vertical="center"/>
    </xf>
    <xf numFmtId="0" fontId="36" fillId="48" borderId="99" xfId="0" applyFont="1" applyFill="1" applyBorder="1" applyAlignment="1">
      <alignment horizontal="center" vertical="center"/>
    </xf>
    <xf numFmtId="0" fontId="36" fillId="48" borderId="102" xfId="0" applyFont="1" applyFill="1" applyBorder="1" applyAlignment="1">
      <alignment horizontal="center" vertical="center"/>
    </xf>
    <xf numFmtId="0" fontId="36" fillId="45" borderId="99" xfId="0" applyFont="1" applyFill="1" applyBorder="1" applyAlignment="1">
      <alignment horizontal="center" vertical="center"/>
    </xf>
    <xf numFmtId="0" fontId="36" fillId="45" borderId="102" xfId="0" applyFont="1" applyFill="1" applyBorder="1" applyAlignment="1">
      <alignment horizontal="center" vertical="center"/>
    </xf>
    <xf numFmtId="0" fontId="36" fillId="45" borderId="101" xfId="0" applyFont="1" applyFill="1" applyBorder="1" applyAlignment="1">
      <alignment horizontal="center" vertical="center"/>
    </xf>
    <xf numFmtId="0" fontId="36" fillId="45" borderId="104" xfId="0" applyFont="1" applyFill="1" applyBorder="1" applyAlignment="1">
      <alignment horizontal="center" vertical="center"/>
    </xf>
    <xf numFmtId="0" fontId="136" fillId="87" borderId="14" xfId="0" applyFont="1" applyFill="1" applyBorder="1" applyAlignment="1">
      <alignment horizontal="center" vertical="center"/>
    </xf>
    <xf numFmtId="0" fontId="136" fillId="87" borderId="26" xfId="0" applyFont="1" applyFill="1" applyBorder="1" applyAlignment="1">
      <alignment horizontal="center" vertical="center"/>
    </xf>
    <xf numFmtId="0" fontId="36" fillId="87" borderId="26" xfId="0" applyFont="1" applyFill="1" applyBorder="1" applyAlignment="1">
      <alignment horizontal="center" vertical="center"/>
    </xf>
    <xf numFmtId="0" fontId="36" fillId="76" borderId="99" xfId="0" applyFont="1" applyFill="1" applyBorder="1" applyAlignment="1">
      <alignment horizontal="center" vertical="center"/>
    </xf>
    <xf numFmtId="0" fontId="36" fillId="76" borderId="102" xfId="0" applyFont="1" applyFill="1" applyBorder="1" applyAlignment="1">
      <alignment horizontal="center" vertical="center"/>
    </xf>
    <xf numFmtId="0" fontId="36" fillId="76" borderId="104" xfId="0" applyFont="1" applyFill="1" applyBorder="1" applyAlignment="1">
      <alignment horizontal="center" vertical="center"/>
    </xf>
    <xf numFmtId="1" fontId="5" fillId="44" borderId="165" xfId="0" applyNumberFormat="1" applyFont="1" applyFill="1" applyBorder="1" applyAlignment="1" applyProtection="1">
      <alignment horizontal="center"/>
      <protection locked="0"/>
    </xf>
    <xf numFmtId="1" fontId="9" fillId="44" borderId="168" xfId="0" applyNumberFormat="1" applyFont="1" applyFill="1" applyBorder="1" applyAlignment="1" applyProtection="1">
      <alignment horizontal="center"/>
      <protection locked="0"/>
    </xf>
    <xf numFmtId="1" fontId="9" fillId="44" borderId="175" xfId="0" applyNumberFormat="1" applyFont="1" applyFill="1" applyBorder="1" applyAlignment="1" applyProtection="1">
      <alignment horizontal="center"/>
      <protection locked="0"/>
    </xf>
    <xf numFmtId="1" fontId="9" fillId="44" borderId="171" xfId="0" applyNumberFormat="1" applyFont="1" applyFill="1" applyBorder="1" applyAlignment="1" applyProtection="1">
      <alignment horizontal="center"/>
      <protection locked="0"/>
    </xf>
    <xf numFmtId="1" fontId="9" fillId="44" borderId="165" xfId="0" applyNumberFormat="1" applyFont="1" applyFill="1" applyBorder="1" applyAlignment="1" applyProtection="1">
      <alignment horizontal="center"/>
      <protection locked="0"/>
    </xf>
    <xf numFmtId="2" fontId="36" fillId="77" borderId="71" xfId="0" applyNumberFormat="1" applyFont="1" applyFill="1" applyBorder="1" applyAlignment="1">
      <alignment horizontal="center" vertical="center"/>
    </xf>
    <xf numFmtId="0" fontId="36" fillId="77" borderId="103" xfId="0" applyFont="1" applyFill="1" applyBorder="1" applyAlignment="1">
      <alignment horizontal="center" vertical="center"/>
    </xf>
    <xf numFmtId="2" fontId="36" fillId="87" borderId="71" xfId="0" applyNumberFormat="1" applyFont="1" applyFill="1" applyBorder="1" applyAlignment="1">
      <alignment horizontal="center" vertical="center"/>
    </xf>
    <xf numFmtId="0" fontId="36" fillId="44" borderId="29" xfId="0" applyFont="1" applyFill="1" applyBorder="1" applyAlignment="1">
      <alignment horizontal="center" vertical="center"/>
    </xf>
    <xf numFmtId="165" fontId="36" fillId="94" borderId="89" xfId="0" applyNumberFormat="1" applyFont="1" applyFill="1" applyBorder="1" applyAlignment="1">
      <alignment horizontal="center" vertical="center"/>
    </xf>
    <xf numFmtId="0" fontId="36" fillId="94" borderId="209" xfId="0" applyFont="1" applyFill="1" applyBorder="1" applyAlignment="1">
      <alignment horizontal="center" vertical="center"/>
    </xf>
    <xf numFmtId="0" fontId="36" fillId="48" borderId="103" xfId="0" applyFont="1" applyFill="1" applyBorder="1" applyAlignment="1">
      <alignment horizontal="center" vertical="center"/>
    </xf>
    <xf numFmtId="0" fontId="36" fillId="59" borderId="104" xfId="0" applyFont="1" applyFill="1" applyBorder="1" applyAlignment="1">
      <alignment horizontal="center" vertical="center"/>
    </xf>
    <xf numFmtId="0" fontId="36" fillId="96" borderId="103" xfId="0" applyFont="1" applyFill="1" applyBorder="1" applyAlignment="1">
      <alignment horizontal="center" vertical="center"/>
    </xf>
    <xf numFmtId="0" fontId="36" fillId="96" borderId="104" xfId="0" applyFont="1" applyFill="1" applyBorder="1" applyAlignment="1">
      <alignment horizontal="center" vertical="center"/>
    </xf>
    <xf numFmtId="0" fontId="36" fillId="60" borderId="103" xfId="0" applyFont="1" applyFill="1" applyBorder="1" applyAlignment="1">
      <alignment horizontal="center" vertical="center"/>
    </xf>
    <xf numFmtId="0" fontId="36" fillId="60" borderId="104" xfId="0" applyFont="1" applyFill="1" applyBorder="1" applyAlignment="1">
      <alignment horizontal="center" vertical="center"/>
    </xf>
    <xf numFmtId="0" fontId="36" fillId="56" borderId="26" xfId="0" applyFont="1" applyFill="1" applyBorder="1" applyAlignment="1">
      <alignment horizontal="center" vertical="center"/>
    </xf>
    <xf numFmtId="2" fontId="36" fillId="56" borderId="71" xfId="0" applyNumberFormat="1" applyFont="1" applyFill="1" applyBorder="1" applyAlignment="1">
      <alignment horizontal="center" vertical="center"/>
    </xf>
    <xf numFmtId="0" fontId="36" fillId="56" borderId="103" xfId="0" applyFont="1" applyFill="1" applyBorder="1" applyAlignment="1">
      <alignment horizontal="center" vertical="center"/>
    </xf>
    <xf numFmtId="0" fontId="36" fillId="54" borderId="99" xfId="0" applyFont="1" applyFill="1" applyBorder="1" applyAlignment="1">
      <alignment horizontal="center" vertical="center"/>
    </xf>
    <xf numFmtId="0" fontId="36" fillId="54" borderId="102" xfId="0" applyFont="1" applyFill="1" applyBorder="1" applyAlignment="1">
      <alignment horizontal="center" vertical="center"/>
    </xf>
    <xf numFmtId="0" fontId="36" fillId="46" borderId="99" xfId="0" applyFont="1" applyFill="1" applyBorder="1" applyAlignment="1">
      <alignment horizontal="center" vertical="center"/>
    </xf>
    <xf numFmtId="0" fontId="36" fillId="46" borderId="102" xfId="0" applyFont="1" applyFill="1" applyBorder="1" applyAlignment="1">
      <alignment horizontal="center" vertical="center"/>
    </xf>
    <xf numFmtId="0" fontId="36" fillId="46" borderId="26" xfId="0" applyFont="1" applyFill="1" applyBorder="1" applyAlignment="1">
      <alignment horizontal="center" vertical="center"/>
    </xf>
    <xf numFmtId="2" fontId="36" fillId="64" borderId="71" xfId="0" applyNumberFormat="1" applyFont="1" applyFill="1" applyBorder="1" applyAlignment="1">
      <alignment horizontal="center" vertical="center"/>
    </xf>
    <xf numFmtId="0" fontId="36" fillId="64" borderId="103" xfId="0" applyFont="1" applyFill="1" applyBorder="1" applyAlignment="1">
      <alignment horizontal="center" vertical="center"/>
    </xf>
    <xf numFmtId="0" fontId="36" fillId="61" borderId="102" xfId="0" applyFont="1" applyFill="1" applyBorder="1" applyAlignment="1">
      <alignment horizontal="center" vertical="center"/>
    </xf>
    <xf numFmtId="0" fontId="36" fillId="61" borderId="104" xfId="0" applyFont="1" applyFill="1" applyBorder="1" applyAlignment="1">
      <alignment horizontal="center" vertical="center"/>
    </xf>
    <xf numFmtId="0" fontId="36" fillId="105" borderId="103" xfId="0" applyFont="1" applyFill="1" applyBorder="1" applyAlignment="1">
      <alignment horizontal="center" vertical="center"/>
    </xf>
    <xf numFmtId="0" fontId="36" fillId="105" borderId="104" xfId="0" applyFont="1" applyFill="1" applyBorder="1" applyAlignment="1">
      <alignment horizontal="center" vertical="center"/>
    </xf>
    <xf numFmtId="2" fontId="36" fillId="98" borderId="71" xfId="0" applyNumberFormat="1" applyFont="1" applyFill="1" applyBorder="1" applyAlignment="1">
      <alignment horizontal="center" vertical="center"/>
    </xf>
    <xf numFmtId="0" fontId="36" fillId="105" borderId="102" xfId="0" applyFont="1" applyFill="1" applyBorder="1" applyAlignment="1">
      <alignment horizontal="center" vertical="center"/>
    </xf>
    <xf numFmtId="0" fontId="36" fillId="92" borderId="99" xfId="0" applyFont="1" applyFill="1" applyBorder="1" applyAlignment="1">
      <alignment horizontal="center" vertical="center"/>
    </xf>
    <xf numFmtId="0" fontId="36" fillId="92" borderId="102" xfId="0" applyFont="1" applyFill="1" applyBorder="1" applyAlignment="1">
      <alignment horizontal="center" vertical="center"/>
    </xf>
    <xf numFmtId="0" fontId="36" fillId="92" borderId="104" xfId="0" applyFont="1" applyFill="1" applyBorder="1" applyAlignment="1">
      <alignment horizontal="center" vertical="center"/>
    </xf>
    <xf numFmtId="0" fontId="36" fillId="100" borderId="103" xfId="0" applyFont="1" applyFill="1" applyBorder="1" applyAlignment="1">
      <alignment horizontal="center" vertical="center"/>
    </xf>
    <xf numFmtId="0" fontId="36" fillId="100" borderId="104" xfId="0" applyFont="1" applyFill="1" applyBorder="1" applyAlignment="1">
      <alignment horizontal="center" vertical="center"/>
    </xf>
    <xf numFmtId="0" fontId="36" fillId="109" borderId="26" xfId="0" applyFont="1" applyFill="1" applyBorder="1" applyAlignment="1">
      <alignment horizontal="center" vertical="center"/>
    </xf>
    <xf numFmtId="2" fontId="36" fillId="109" borderId="71" xfId="0" applyNumberFormat="1" applyFont="1" applyFill="1" applyBorder="1" applyAlignment="1">
      <alignment horizontal="center" vertical="center"/>
    </xf>
    <xf numFmtId="0" fontId="36" fillId="109" borderId="103" xfId="0" applyFont="1" applyFill="1" applyBorder="1" applyAlignment="1">
      <alignment horizontal="center" vertical="center"/>
    </xf>
    <xf numFmtId="0" fontId="36" fillId="100" borderId="102" xfId="0" applyFont="1" applyFill="1" applyBorder="1" applyAlignment="1">
      <alignment horizontal="center" vertical="center"/>
    </xf>
    <xf numFmtId="0" fontId="36" fillId="102" borderId="99" xfId="0" applyFont="1" applyFill="1" applyBorder="1" applyAlignment="1">
      <alignment horizontal="center" vertical="center"/>
    </xf>
    <xf numFmtId="0" fontId="36" fillId="102" borderId="102" xfId="0" applyFont="1" applyFill="1" applyBorder="1" applyAlignment="1">
      <alignment horizontal="center" vertical="center"/>
    </xf>
    <xf numFmtId="0" fontId="36" fillId="76" borderId="103" xfId="0" applyFont="1" applyFill="1" applyBorder="1" applyAlignment="1">
      <alignment horizontal="center" vertical="center"/>
    </xf>
    <xf numFmtId="0" fontId="36" fillId="99" borderId="26" xfId="0" applyFont="1" applyFill="1" applyBorder="1" applyAlignment="1">
      <alignment horizontal="center" vertical="center"/>
    </xf>
    <xf numFmtId="0" fontId="36" fillId="99" borderId="103" xfId="0" applyFont="1" applyFill="1" applyBorder="1" applyAlignment="1">
      <alignment horizontal="center" vertical="center"/>
    </xf>
    <xf numFmtId="0" fontId="128" fillId="56" borderId="14" xfId="0" applyFont="1" applyFill="1" applyBorder="1" applyAlignment="1">
      <alignment horizontal="center" vertical="center"/>
    </xf>
    <xf numFmtId="0" fontId="128" fillId="56" borderId="26" xfId="0" applyFont="1" applyFill="1" applyBorder="1" applyAlignment="1">
      <alignment horizontal="center" vertical="center"/>
    </xf>
    <xf numFmtId="0" fontId="128" fillId="56" borderId="245" xfId="0" applyFont="1" applyFill="1" applyBorder="1" applyAlignment="1">
      <alignment horizontal="center" vertical="center"/>
    </xf>
    <xf numFmtId="0" fontId="128" fillId="56" borderId="11" xfId="0" applyFont="1" applyFill="1" applyBorder="1" applyAlignment="1">
      <alignment horizontal="center" vertical="center"/>
    </xf>
    <xf numFmtId="0" fontId="132" fillId="64" borderId="245" xfId="0" applyFont="1" applyFill="1" applyBorder="1" applyAlignment="1">
      <alignment horizontal="center" vertical="center"/>
    </xf>
    <xf numFmtId="0" fontId="131" fillId="98" borderId="245" xfId="0" applyFont="1" applyFill="1" applyBorder="1" applyAlignment="1">
      <alignment horizontal="center" vertical="center"/>
    </xf>
    <xf numFmtId="0" fontId="139" fillId="109" borderId="14" xfId="0" applyFont="1" applyFill="1" applyBorder="1" applyAlignment="1">
      <alignment horizontal="center" vertical="center"/>
    </xf>
    <xf numFmtId="0" fontId="139" fillId="109" borderId="26" xfId="0" applyFont="1" applyFill="1" applyBorder="1" applyAlignment="1">
      <alignment horizontal="center" vertical="center"/>
    </xf>
    <xf numFmtId="0" fontId="139" fillId="109" borderId="245" xfId="0" applyFont="1" applyFill="1" applyBorder="1" applyAlignment="1">
      <alignment horizontal="center" vertical="center"/>
    </xf>
    <xf numFmtId="0" fontId="134" fillId="77" borderId="245" xfId="0" applyFont="1" applyFill="1" applyBorder="1" applyAlignment="1">
      <alignment horizontal="center" vertical="center"/>
    </xf>
    <xf numFmtId="0" fontId="128" fillId="56" borderId="245" xfId="0" quotePrefix="1" applyFont="1" applyFill="1" applyBorder="1" applyAlignment="1">
      <alignment horizontal="center" vertical="center"/>
    </xf>
    <xf numFmtId="0" fontId="128" fillId="56" borderId="26" xfId="0" quotePrefix="1" applyFont="1" applyFill="1" applyBorder="1" applyAlignment="1">
      <alignment horizontal="center" vertical="center"/>
    </xf>
    <xf numFmtId="0" fontId="128" fillId="56" borderId="14" xfId="0" quotePrefix="1" applyFont="1" applyFill="1" applyBorder="1" applyAlignment="1">
      <alignment horizontal="center" vertical="center"/>
    </xf>
    <xf numFmtId="0" fontId="36" fillId="56" borderId="26" xfId="0" quotePrefix="1" applyFont="1" applyFill="1" applyBorder="1" applyAlignment="1">
      <alignment horizontal="center" vertical="center"/>
    </xf>
    <xf numFmtId="0" fontId="36" fillId="56" borderId="14" xfId="0" quotePrefix="1" applyFont="1" applyFill="1" applyBorder="1" applyAlignment="1">
      <alignment horizontal="center" vertical="center"/>
    </xf>
    <xf numFmtId="0" fontId="36" fillId="56" borderId="11" xfId="0" quotePrefix="1" applyFont="1" applyFill="1" applyBorder="1" applyAlignment="1">
      <alignment horizontal="center" vertical="center"/>
    </xf>
    <xf numFmtId="0" fontId="36" fillId="60" borderId="14" xfId="0" quotePrefix="1" applyFont="1" applyFill="1" applyBorder="1" applyAlignment="1">
      <alignment horizontal="center" vertical="center"/>
    </xf>
    <xf numFmtId="0" fontId="36" fillId="60" borderId="11" xfId="0" quotePrefix="1" applyFont="1" applyFill="1" applyBorder="1" applyAlignment="1">
      <alignment horizontal="center" vertical="center"/>
    </xf>
    <xf numFmtId="0" fontId="36" fillId="46" borderId="14" xfId="0" applyFont="1" applyFill="1" applyBorder="1" applyAlignment="1">
      <alignment horizontal="center" vertical="center"/>
    </xf>
    <xf numFmtId="0" fontId="36" fillId="46" borderId="11" xfId="0" applyFont="1" applyFill="1" applyBorder="1" applyAlignment="1">
      <alignment horizontal="center" vertical="center"/>
    </xf>
    <xf numFmtId="0" fontId="108" fillId="55" borderId="14" xfId="0" quotePrefix="1" applyFont="1" applyFill="1" applyBorder="1" applyAlignment="1">
      <alignment horizontal="center" vertical="center"/>
    </xf>
    <xf numFmtId="0" fontId="108" fillId="55" borderId="26" xfId="0" quotePrefix="1" applyFont="1" applyFill="1" applyBorder="1" applyAlignment="1">
      <alignment horizontal="center" vertical="center"/>
    </xf>
    <xf numFmtId="0" fontId="36" fillId="55" borderId="26" xfId="0" quotePrefix="1" applyFont="1" applyFill="1" applyBorder="1" applyAlignment="1">
      <alignment horizontal="center" vertical="center"/>
    </xf>
    <xf numFmtId="0" fontId="36" fillId="55" borderId="14" xfId="0" quotePrefix="1" applyFont="1" applyFill="1" applyBorder="1" applyAlignment="1">
      <alignment horizontal="center" vertical="center"/>
    </xf>
    <xf numFmtId="0" fontId="36" fillId="55" borderId="11" xfId="0" quotePrefix="1" applyFont="1" applyFill="1" applyBorder="1" applyAlignment="1">
      <alignment horizontal="center" vertical="center"/>
    </xf>
    <xf numFmtId="0" fontId="118" fillId="92" borderId="14" xfId="0" quotePrefix="1" applyFont="1" applyFill="1" applyBorder="1" applyAlignment="1">
      <alignment horizontal="center" vertical="center"/>
    </xf>
    <xf numFmtId="0" fontId="118" fillId="92" borderId="26" xfId="0" quotePrefix="1" applyFont="1" applyFill="1" applyBorder="1" applyAlignment="1">
      <alignment horizontal="center" vertical="center"/>
    </xf>
    <xf numFmtId="0" fontId="36" fillId="92" borderId="26" xfId="0" quotePrefix="1" applyFont="1" applyFill="1" applyBorder="1" applyAlignment="1">
      <alignment horizontal="center" vertical="center"/>
    </xf>
    <xf numFmtId="0" fontId="36" fillId="92" borderId="14" xfId="0" quotePrefix="1" applyFont="1" applyFill="1" applyBorder="1" applyAlignment="1">
      <alignment horizontal="center" vertical="center"/>
    </xf>
    <xf numFmtId="0" fontId="36" fillId="92" borderId="11" xfId="0" quotePrefix="1" applyFont="1" applyFill="1" applyBorder="1" applyAlignment="1">
      <alignment horizontal="center" vertical="center"/>
    </xf>
    <xf numFmtId="0" fontId="36" fillId="101" borderId="14" xfId="0" applyFont="1" applyFill="1" applyBorder="1" applyAlignment="1">
      <alignment horizontal="center" vertical="center"/>
    </xf>
    <xf numFmtId="0" fontId="36" fillId="101" borderId="26" xfId="0" applyFont="1" applyFill="1" applyBorder="1" applyAlignment="1">
      <alignment horizontal="center" vertical="center"/>
    </xf>
    <xf numFmtId="0" fontId="36" fillId="101" borderId="11" xfId="0" applyFont="1" applyFill="1" applyBorder="1" applyAlignment="1">
      <alignment horizontal="center" vertical="center"/>
    </xf>
    <xf numFmtId="0" fontId="110" fillId="76" borderId="14" xfId="0" quotePrefix="1" applyFont="1" applyFill="1" applyBorder="1" applyAlignment="1">
      <alignment horizontal="center" vertical="center"/>
    </xf>
    <xf numFmtId="0" fontId="110" fillId="76" borderId="26" xfId="0" quotePrefix="1" applyFont="1" applyFill="1" applyBorder="1" applyAlignment="1">
      <alignment horizontal="center" vertical="center"/>
    </xf>
    <xf numFmtId="0" fontId="36" fillId="76" borderId="26" xfId="0" quotePrefix="1" applyFont="1" applyFill="1" applyBorder="1" applyAlignment="1">
      <alignment horizontal="center" vertical="center"/>
    </xf>
    <xf numFmtId="0" fontId="36" fillId="76" borderId="14" xfId="0" quotePrefix="1" applyFont="1" applyFill="1" applyBorder="1" applyAlignment="1">
      <alignment horizontal="center" vertical="center"/>
    </xf>
    <xf numFmtId="0" fontId="36" fillId="76" borderId="11" xfId="0" quotePrefix="1" applyFont="1" applyFill="1" applyBorder="1" applyAlignment="1">
      <alignment horizontal="center" vertical="center"/>
    </xf>
    <xf numFmtId="0" fontId="117" fillId="61" borderId="14" xfId="0" quotePrefix="1" applyFont="1" applyFill="1" applyBorder="1" applyAlignment="1">
      <alignment horizontal="center" vertical="center"/>
    </xf>
    <xf numFmtId="0" fontId="117" fillId="61" borderId="26" xfId="0" quotePrefix="1" applyFont="1" applyFill="1" applyBorder="1" applyAlignment="1">
      <alignment horizontal="center" vertical="center"/>
    </xf>
    <xf numFmtId="0" fontId="36" fillId="61" borderId="26" xfId="0" quotePrefix="1" applyFont="1" applyFill="1" applyBorder="1" applyAlignment="1">
      <alignment horizontal="center" vertical="center"/>
    </xf>
    <xf numFmtId="0" fontId="36" fillId="61" borderId="14" xfId="0" quotePrefix="1" applyFont="1" applyFill="1" applyBorder="1" applyAlignment="1">
      <alignment horizontal="center" vertical="center"/>
    </xf>
    <xf numFmtId="0" fontId="36" fillId="61" borderId="11" xfId="0" quotePrefix="1" applyFont="1" applyFill="1" applyBorder="1" applyAlignment="1">
      <alignment horizontal="center" vertical="center"/>
    </xf>
    <xf numFmtId="0" fontId="120" fillId="96" borderId="14" xfId="0" quotePrefix="1" applyFont="1" applyFill="1" applyBorder="1" applyAlignment="1">
      <alignment horizontal="center" vertical="center"/>
    </xf>
    <xf numFmtId="0" fontId="120" fillId="96" borderId="26" xfId="0" quotePrefix="1" applyFont="1" applyFill="1" applyBorder="1" applyAlignment="1">
      <alignment horizontal="center" vertical="center"/>
    </xf>
    <xf numFmtId="0" fontId="121" fillId="100" borderId="14" xfId="0" quotePrefix="1" applyFont="1" applyFill="1" applyBorder="1" applyAlignment="1">
      <alignment horizontal="center" vertical="center"/>
    </xf>
    <xf numFmtId="0" fontId="121" fillId="100" borderId="26" xfId="0" quotePrefix="1" applyFont="1" applyFill="1" applyBorder="1" applyAlignment="1">
      <alignment horizontal="center" vertical="center"/>
    </xf>
    <xf numFmtId="0" fontId="36" fillId="95" borderId="26" xfId="0" quotePrefix="1" applyFont="1" applyFill="1" applyBorder="1" applyAlignment="1">
      <alignment horizontal="center" vertical="center"/>
    </xf>
    <xf numFmtId="0" fontId="126" fillId="95" borderId="26" xfId="0" quotePrefix="1" applyFont="1" applyFill="1" applyBorder="1" applyAlignment="1">
      <alignment horizontal="center" vertical="center"/>
    </xf>
    <xf numFmtId="0" fontId="36" fillId="95" borderId="11" xfId="0" quotePrefix="1" applyFont="1" applyFill="1" applyBorder="1" applyAlignment="1">
      <alignment horizontal="center" vertical="center"/>
    </xf>
    <xf numFmtId="0" fontId="36" fillId="103" borderId="14" xfId="0" applyFont="1" applyFill="1" applyBorder="1" applyAlignment="1">
      <alignment horizontal="center" vertical="center"/>
    </xf>
    <xf numFmtId="0" fontId="36" fillId="103" borderId="26" xfId="0" applyFont="1" applyFill="1" applyBorder="1" applyAlignment="1">
      <alignment horizontal="center" vertical="center"/>
    </xf>
    <xf numFmtId="0" fontId="36" fillId="103" borderId="11" xfId="0" applyFont="1" applyFill="1" applyBorder="1" applyAlignment="1">
      <alignment horizontal="center" vertical="center"/>
    </xf>
    <xf numFmtId="0" fontId="135" fillId="104" borderId="14" xfId="0" applyFont="1" applyFill="1" applyBorder="1" applyAlignment="1">
      <alignment horizontal="center" vertical="center"/>
    </xf>
    <xf numFmtId="0" fontId="129" fillId="104" borderId="26" xfId="0" applyFont="1" applyFill="1" applyBorder="1" applyAlignment="1">
      <alignment horizontal="center" vertical="center"/>
    </xf>
    <xf numFmtId="0" fontId="129" fillId="98" borderId="26" xfId="0" applyFont="1" applyFill="1" applyBorder="1" applyAlignment="1">
      <alignment horizontal="center" vertical="center"/>
    </xf>
    <xf numFmtId="2" fontId="36" fillId="48" borderId="102" xfId="0" applyNumberFormat="1" applyFont="1" applyFill="1" applyBorder="1" applyAlignment="1">
      <alignment horizontal="center" vertical="center"/>
    </xf>
    <xf numFmtId="2" fontId="36" fillId="48" borderId="104" xfId="0" applyNumberFormat="1" applyFont="1" applyFill="1" applyBorder="1" applyAlignment="1">
      <alignment horizontal="center" vertical="center"/>
    </xf>
    <xf numFmtId="2" fontId="36" fillId="45" borderId="99" xfId="0" applyNumberFormat="1" applyFont="1" applyFill="1" applyBorder="1" applyAlignment="1">
      <alignment horizontal="center" vertical="center"/>
    </xf>
    <xf numFmtId="2" fontId="36" fillId="45" borderId="101" xfId="0" applyNumberFormat="1" applyFont="1" applyFill="1" applyBorder="1" applyAlignment="1">
      <alignment horizontal="center" vertical="center"/>
    </xf>
    <xf numFmtId="2" fontId="36" fillId="46" borderId="99" xfId="0" applyNumberFormat="1" applyFont="1" applyFill="1" applyBorder="1" applyAlignment="1">
      <alignment horizontal="center" vertical="center"/>
    </xf>
    <xf numFmtId="2" fontId="36" fillId="54" borderId="99" xfId="0" applyNumberFormat="1" applyFont="1" applyFill="1" applyBorder="1" applyAlignment="1">
      <alignment horizontal="center" vertical="center"/>
    </xf>
    <xf numFmtId="2" fontId="36" fillId="92" borderId="99" xfId="0" applyNumberFormat="1" applyFont="1" applyFill="1" applyBorder="1" applyAlignment="1">
      <alignment horizontal="center" vertical="center"/>
    </xf>
    <xf numFmtId="2" fontId="36" fillId="92" borderId="101" xfId="0" applyNumberFormat="1" applyFont="1" applyFill="1" applyBorder="1" applyAlignment="1">
      <alignment horizontal="center" vertical="center"/>
    </xf>
    <xf numFmtId="2" fontId="36" fillId="102" borderId="99" xfId="0" applyNumberFormat="1" applyFont="1" applyFill="1" applyBorder="1" applyAlignment="1">
      <alignment horizontal="center" vertical="center"/>
    </xf>
    <xf numFmtId="2" fontId="36" fillId="46" borderId="102" xfId="0" applyNumberFormat="1" applyFont="1" applyFill="1" applyBorder="1" applyAlignment="1">
      <alignment horizontal="center" vertical="center"/>
    </xf>
    <xf numFmtId="2" fontId="36" fillId="58" borderId="103" xfId="0" applyNumberFormat="1" applyFont="1" applyFill="1" applyBorder="1" applyAlignment="1">
      <alignment horizontal="center" vertical="center"/>
    </xf>
    <xf numFmtId="2" fontId="36" fillId="58" borderId="104" xfId="0" applyNumberFormat="1" applyFont="1" applyFill="1" applyBorder="1" applyAlignment="1">
      <alignment horizontal="center" vertical="center"/>
    </xf>
    <xf numFmtId="2" fontId="36" fillId="77" borderId="103" xfId="0" applyNumberFormat="1" applyFont="1" applyFill="1" applyBorder="1" applyAlignment="1">
      <alignment horizontal="center" vertical="center"/>
    </xf>
    <xf numFmtId="2" fontId="36" fillId="77" borderId="104" xfId="0" applyNumberFormat="1" applyFont="1" applyFill="1" applyBorder="1" applyAlignment="1">
      <alignment horizontal="center" vertical="center"/>
    </xf>
    <xf numFmtId="2" fontId="36" fillId="87" borderId="103" xfId="0" applyNumberFormat="1" applyFont="1" applyFill="1" applyBorder="1" applyAlignment="1">
      <alignment horizontal="center" vertical="center"/>
    </xf>
    <xf numFmtId="2" fontId="36" fillId="56" borderId="103" xfId="0" applyNumberFormat="1" applyFont="1" applyFill="1" applyBorder="1" applyAlignment="1">
      <alignment horizontal="center" vertical="center"/>
    </xf>
    <xf numFmtId="2" fontId="36" fillId="56" borderId="104" xfId="0" applyNumberFormat="1" applyFont="1" applyFill="1" applyBorder="1" applyAlignment="1">
      <alignment horizontal="center" vertical="center"/>
    </xf>
    <xf numFmtId="2" fontId="36" fillId="64" borderId="103" xfId="0" applyNumberFormat="1" applyFont="1" applyFill="1" applyBorder="1" applyAlignment="1">
      <alignment horizontal="center" vertical="center"/>
    </xf>
    <xf numFmtId="2" fontId="36" fillId="64" borderId="104" xfId="0" applyNumberFormat="1" applyFont="1" applyFill="1" applyBorder="1" applyAlignment="1">
      <alignment horizontal="center" vertical="center"/>
    </xf>
    <xf numFmtId="2" fontId="36" fillId="98" borderId="103" xfId="0" applyNumberFormat="1" applyFont="1" applyFill="1" applyBorder="1" applyAlignment="1">
      <alignment horizontal="center" vertical="center"/>
    </xf>
    <xf numFmtId="2" fontId="36" fillId="98" borderId="104" xfId="0" applyNumberFormat="1" applyFont="1" applyFill="1" applyBorder="1" applyAlignment="1">
      <alignment horizontal="center" vertical="center"/>
    </xf>
    <xf numFmtId="2" fontId="36" fillId="109" borderId="103" xfId="0" applyNumberFormat="1" applyFont="1" applyFill="1" applyBorder="1" applyAlignment="1">
      <alignment horizontal="center" vertical="center"/>
    </xf>
    <xf numFmtId="2" fontId="36" fillId="109" borderId="104" xfId="0" applyNumberFormat="1" applyFont="1" applyFill="1" applyBorder="1" applyAlignment="1">
      <alignment horizontal="center" vertical="center"/>
    </xf>
    <xf numFmtId="0" fontId="36" fillId="58" borderId="26" xfId="0" quotePrefix="1" applyFont="1" applyFill="1" applyBorder="1" applyAlignment="1">
      <alignment horizontal="center" vertical="center"/>
    </xf>
    <xf numFmtId="0" fontId="36" fillId="58" borderId="11" xfId="0" quotePrefix="1" applyFont="1" applyFill="1" applyBorder="1" applyAlignment="1">
      <alignment horizontal="center" vertical="center"/>
    </xf>
    <xf numFmtId="0" fontId="36" fillId="96" borderId="14" xfId="0" applyFont="1" applyFill="1" applyBorder="1" applyAlignment="1">
      <alignment horizontal="center" vertical="center"/>
    </xf>
    <xf numFmtId="0" fontId="36" fillId="96" borderId="26" xfId="0" applyFont="1" applyFill="1" applyBorder="1" applyAlignment="1">
      <alignment horizontal="center" vertical="center"/>
    </xf>
    <xf numFmtId="0" fontId="36" fillId="96" borderId="11" xfId="0" applyFont="1" applyFill="1" applyBorder="1" applyAlignment="1">
      <alignment horizontal="center" vertical="center"/>
    </xf>
    <xf numFmtId="0" fontId="36" fillId="55" borderId="14" xfId="0" applyFont="1" applyFill="1" applyBorder="1" applyAlignment="1">
      <alignment horizontal="center" vertical="center"/>
    </xf>
    <xf numFmtId="0" fontId="36" fillId="55" borderId="11" xfId="0" applyFont="1" applyFill="1" applyBorder="1" applyAlignment="1">
      <alignment horizontal="center" vertical="center"/>
    </xf>
    <xf numFmtId="0" fontId="36" fillId="55" borderId="102" xfId="0" applyFont="1" applyFill="1" applyBorder="1" applyAlignment="1">
      <alignment horizontal="center" vertical="center"/>
    </xf>
    <xf numFmtId="2" fontId="36" fillId="96" borderId="14" xfId="0" applyNumberFormat="1" applyFont="1" applyFill="1" applyBorder="1" applyAlignment="1">
      <alignment horizontal="center" vertical="center"/>
    </xf>
    <xf numFmtId="2" fontId="36" fillId="55" borderId="14" xfId="0" applyNumberFormat="1" applyFont="1" applyFill="1" applyBorder="1" applyAlignment="1">
      <alignment horizontal="center" vertical="center"/>
    </xf>
    <xf numFmtId="2" fontId="36" fillId="55" borderId="26" xfId="0" applyNumberFormat="1" applyFont="1" applyFill="1" applyBorder="1" applyAlignment="1">
      <alignment horizontal="center" vertical="center"/>
    </xf>
    <xf numFmtId="2" fontId="36" fillId="55" borderId="11" xfId="0" applyNumberFormat="1" applyFont="1" applyFill="1" applyBorder="1" applyAlignment="1">
      <alignment horizontal="center" vertical="center"/>
    </xf>
    <xf numFmtId="2" fontId="36" fillId="58" borderId="102" xfId="0" applyNumberFormat="1" applyFont="1" applyFill="1" applyBorder="1" applyAlignment="1">
      <alignment horizontal="center" vertical="center"/>
    </xf>
    <xf numFmtId="0" fontId="36" fillId="64" borderId="26" xfId="0" quotePrefix="1" applyFont="1" applyFill="1" applyBorder="1" applyAlignment="1">
      <alignment horizontal="center" vertical="center"/>
    </xf>
    <xf numFmtId="0" fontId="36" fillId="64" borderId="11" xfId="0" quotePrefix="1" applyFont="1" applyFill="1" applyBorder="1" applyAlignment="1">
      <alignment horizontal="center" vertical="center"/>
    </xf>
    <xf numFmtId="0" fontId="36" fillId="77" borderId="26" xfId="0" quotePrefix="1" applyFont="1" applyFill="1" applyBorder="1" applyAlignment="1">
      <alignment horizontal="center" vertical="center"/>
    </xf>
    <xf numFmtId="0" fontId="36" fillId="77" borderId="11" xfId="0" quotePrefix="1" applyFont="1" applyFill="1" applyBorder="1" applyAlignment="1">
      <alignment horizontal="center" vertical="center"/>
    </xf>
    <xf numFmtId="0" fontId="36" fillId="99" borderId="26" xfId="0" quotePrefix="1" applyFont="1" applyFill="1" applyBorder="1" applyAlignment="1">
      <alignment horizontal="center" vertical="center"/>
    </xf>
    <xf numFmtId="0" fontId="36" fillId="99" borderId="14" xfId="0" quotePrefix="1" applyFont="1" applyFill="1" applyBorder="1" applyAlignment="1">
      <alignment horizontal="center" vertical="center"/>
    </xf>
    <xf numFmtId="0" fontId="36" fillId="99" borderId="11" xfId="0" quotePrefix="1" applyFont="1" applyFill="1" applyBorder="1" applyAlignment="1">
      <alignment horizontal="center" vertical="center"/>
    </xf>
    <xf numFmtId="0" fontId="36" fillId="93" borderId="26" xfId="0" applyFont="1" applyFill="1" applyBorder="1" applyAlignment="1">
      <alignment horizontal="center" vertical="center"/>
    </xf>
    <xf numFmtId="0" fontId="36" fillId="102" borderId="26" xfId="0" applyFont="1" applyFill="1" applyBorder="1" applyAlignment="1">
      <alignment horizontal="center" vertical="center"/>
    </xf>
    <xf numFmtId="0" fontId="36" fillId="110" borderId="26" xfId="0" applyFont="1" applyFill="1" applyBorder="1" applyAlignment="1">
      <alignment horizontal="center" vertical="center"/>
    </xf>
    <xf numFmtId="0" fontId="133" fillId="58" borderId="245" xfId="0" applyFont="1" applyFill="1" applyBorder="1" applyAlignment="1">
      <alignment horizontal="center" vertical="center"/>
    </xf>
    <xf numFmtId="0" fontId="133" fillId="58" borderId="26" xfId="0" quotePrefix="1" applyFont="1" applyFill="1" applyBorder="1" applyAlignment="1">
      <alignment horizontal="center" vertical="center"/>
    </xf>
    <xf numFmtId="0" fontId="134" fillId="77" borderId="26" xfId="0" quotePrefix="1" applyFont="1" applyFill="1" applyBorder="1" applyAlignment="1">
      <alignment horizontal="center" vertical="center"/>
    </xf>
    <xf numFmtId="0" fontId="137" fillId="93" borderId="245" xfId="0" applyFont="1" applyFill="1" applyBorder="1" applyAlignment="1">
      <alignment horizontal="center" vertical="center"/>
    </xf>
    <xf numFmtId="0" fontId="137" fillId="93" borderId="26" xfId="0" applyFont="1" applyFill="1" applyBorder="1" applyAlignment="1">
      <alignment horizontal="center" vertical="center"/>
    </xf>
    <xf numFmtId="0" fontId="36" fillId="110" borderId="26" xfId="0" quotePrefix="1" applyFont="1" applyFill="1" applyBorder="1" applyAlignment="1">
      <alignment horizontal="center" vertical="center"/>
    </xf>
    <xf numFmtId="0" fontId="36" fillId="110" borderId="14" xfId="0" quotePrefix="1" applyFont="1" applyFill="1" applyBorder="1" applyAlignment="1">
      <alignment horizontal="center" vertical="center"/>
    </xf>
    <xf numFmtId="0" fontId="36" fillId="110" borderId="11" xfId="0" quotePrefix="1" applyFont="1" applyFill="1" applyBorder="1" applyAlignment="1">
      <alignment horizontal="center" vertical="center"/>
    </xf>
    <xf numFmtId="0" fontId="137" fillId="93" borderId="14" xfId="0" quotePrefix="1" applyFont="1" applyFill="1" applyBorder="1" applyAlignment="1">
      <alignment horizontal="center" vertical="center"/>
    </xf>
    <xf numFmtId="0" fontId="137" fillId="93" borderId="26" xfId="0" quotePrefix="1" applyFont="1" applyFill="1" applyBorder="1" applyAlignment="1">
      <alignment horizontal="center" vertical="center"/>
    </xf>
    <xf numFmtId="0" fontId="36" fillId="93" borderId="26" xfId="0" quotePrefix="1" applyFont="1" applyFill="1" applyBorder="1" applyAlignment="1">
      <alignment horizontal="center" vertical="center"/>
    </xf>
    <xf numFmtId="0" fontId="36" fillId="93" borderId="14" xfId="0" quotePrefix="1" applyFont="1" applyFill="1" applyBorder="1" applyAlignment="1">
      <alignment horizontal="center" vertical="center"/>
    </xf>
    <xf numFmtId="0" fontId="36" fillId="93" borderId="11" xfId="0" quotePrefix="1" applyFont="1" applyFill="1" applyBorder="1" applyAlignment="1">
      <alignment horizontal="center" vertical="center"/>
    </xf>
    <xf numFmtId="0" fontId="36" fillId="105" borderId="26" xfId="0" applyFont="1" applyFill="1" applyBorder="1" applyAlignment="1">
      <alignment horizontal="center" vertical="center"/>
    </xf>
    <xf numFmtId="0" fontId="36" fillId="96" borderId="102" xfId="0" applyFont="1" applyFill="1" applyBorder="1" applyAlignment="1">
      <alignment horizontal="center" vertical="center"/>
    </xf>
    <xf numFmtId="2" fontId="36" fillId="105" borderId="103" xfId="0" applyNumberFormat="1" applyFont="1" applyFill="1" applyBorder="1" applyAlignment="1">
      <alignment horizontal="center" vertical="center"/>
    </xf>
    <xf numFmtId="2" fontId="36" fillId="93" borderId="103" xfId="0" applyNumberFormat="1" applyFont="1" applyFill="1" applyBorder="1" applyAlignment="1">
      <alignment horizontal="center" vertical="center"/>
    </xf>
    <xf numFmtId="0" fontId="36" fillId="61" borderId="14" xfId="0" applyFont="1" applyFill="1" applyBorder="1" applyAlignment="1">
      <alignment horizontal="center" vertical="center"/>
    </xf>
    <xf numFmtId="0" fontId="36" fillId="61" borderId="11" xfId="0" applyFont="1" applyFill="1" applyBorder="1" applyAlignment="1">
      <alignment horizontal="center" vertical="center"/>
    </xf>
    <xf numFmtId="0" fontId="36" fillId="76" borderId="14" xfId="0" applyFont="1" applyFill="1" applyBorder="1" applyAlignment="1">
      <alignment horizontal="center" vertical="center"/>
    </xf>
    <xf numFmtId="0" fontId="36" fillId="76" borderId="11" xfId="0" applyFont="1" applyFill="1" applyBorder="1" applyAlignment="1">
      <alignment horizontal="center" vertical="center"/>
    </xf>
    <xf numFmtId="0" fontId="36" fillId="77" borderId="102" xfId="0" applyFont="1" applyFill="1" applyBorder="1" applyAlignment="1">
      <alignment horizontal="center" vertical="center"/>
    </xf>
    <xf numFmtId="2" fontId="36" fillId="99" borderId="103" xfId="0" applyNumberFormat="1" applyFont="1" applyFill="1" applyBorder="1" applyAlignment="1">
      <alignment horizontal="center" vertical="center"/>
    </xf>
    <xf numFmtId="2" fontId="36" fillId="87" borderId="102" xfId="0" applyNumberFormat="1" applyFont="1" applyFill="1" applyBorder="1" applyAlignment="1">
      <alignment horizontal="center" vertical="center"/>
    </xf>
    <xf numFmtId="2" fontId="36" fillId="54" borderId="102" xfId="0" applyNumberFormat="1" applyFont="1" applyFill="1" applyBorder="1" applyAlignment="1">
      <alignment horizontal="center" vertical="center"/>
    </xf>
    <xf numFmtId="0" fontId="36" fillId="60" borderId="102" xfId="0" applyFont="1" applyFill="1" applyBorder="1" applyAlignment="1">
      <alignment horizontal="center" vertical="center"/>
    </xf>
    <xf numFmtId="0" fontId="36" fillId="59" borderId="102" xfId="0" applyFont="1" applyFill="1" applyBorder="1" applyAlignment="1">
      <alignment horizontal="center" vertical="center"/>
    </xf>
    <xf numFmtId="0" fontId="140" fillId="99" borderId="245" xfId="0" applyFont="1" applyFill="1" applyBorder="1" applyAlignment="1">
      <alignment horizontal="center" vertical="center"/>
    </xf>
    <xf numFmtId="0" fontId="140" fillId="99" borderId="26" xfId="0" applyFont="1" applyFill="1" applyBorder="1" applyAlignment="1">
      <alignment horizontal="center" vertical="center"/>
    </xf>
    <xf numFmtId="0" fontId="140" fillId="99" borderId="14" xfId="0" quotePrefix="1" applyFont="1" applyFill="1" applyBorder="1" applyAlignment="1">
      <alignment horizontal="center" vertical="center"/>
    </xf>
    <xf numFmtId="0" fontId="140" fillId="99" borderId="26" xfId="0" quotePrefix="1" applyFont="1" applyFill="1" applyBorder="1" applyAlignment="1">
      <alignment horizontal="center" vertical="center"/>
    </xf>
    <xf numFmtId="0" fontId="132" fillId="64" borderId="26" xfId="0" quotePrefix="1" applyFont="1" applyFill="1" applyBorder="1" applyAlignment="1">
      <alignment horizontal="center" vertical="center"/>
    </xf>
    <xf numFmtId="0" fontId="36" fillId="109" borderId="26" xfId="0" quotePrefix="1" applyFont="1" applyFill="1" applyBorder="1" applyAlignment="1">
      <alignment horizontal="center" vertical="center"/>
    </xf>
    <xf numFmtId="0" fontId="36" fillId="109" borderId="14" xfId="0" quotePrefix="1" applyFont="1" applyFill="1" applyBorder="1" applyAlignment="1">
      <alignment horizontal="center" vertical="center"/>
    </xf>
    <xf numFmtId="0" fontId="36" fillId="109" borderId="11" xfId="0" quotePrefix="1" applyFont="1" applyFill="1" applyBorder="1" applyAlignment="1">
      <alignment horizontal="center" vertical="center"/>
    </xf>
    <xf numFmtId="0" fontId="36" fillId="100" borderId="14" xfId="0" applyFont="1" applyFill="1" applyBorder="1" applyAlignment="1">
      <alignment horizontal="center" vertical="center"/>
    </xf>
    <xf numFmtId="0" fontId="36" fillId="100" borderId="11" xfId="0" applyFont="1" applyFill="1" applyBorder="1" applyAlignment="1">
      <alignment horizontal="center" vertical="center"/>
    </xf>
    <xf numFmtId="0" fontId="139" fillId="109" borderId="14" xfId="0" quotePrefix="1" applyFont="1" applyFill="1" applyBorder="1" applyAlignment="1">
      <alignment horizontal="center" vertical="center"/>
    </xf>
    <xf numFmtId="0" fontId="139" fillId="109" borderId="26" xfId="0" quotePrefix="1" applyFont="1" applyFill="1" applyBorder="1" applyAlignment="1">
      <alignment horizontal="center" vertical="center"/>
    </xf>
    <xf numFmtId="2" fontId="36" fillId="110" borderId="103" xfId="0" applyNumberFormat="1" applyFont="1" applyFill="1" applyBorder="1" applyAlignment="1">
      <alignment horizontal="center" vertical="center"/>
    </xf>
    <xf numFmtId="0" fontId="36" fillId="111" borderId="14" xfId="0" applyFont="1" applyFill="1" applyBorder="1" applyAlignment="1">
      <alignment horizontal="center" vertical="center"/>
    </xf>
    <xf numFmtId="0" fontId="36" fillId="111" borderId="26" xfId="0" applyFont="1" applyFill="1" applyBorder="1" applyAlignment="1">
      <alignment horizontal="center" vertical="center"/>
    </xf>
    <xf numFmtId="0" fontId="36" fillId="111" borderId="11" xfId="0" applyFont="1" applyFill="1" applyBorder="1" applyAlignment="1">
      <alignment horizontal="center" vertical="center"/>
    </xf>
    <xf numFmtId="0" fontId="36" fillId="111" borderId="102" xfId="0" applyFont="1" applyFill="1" applyBorder="1" applyAlignment="1">
      <alignment horizontal="center" vertical="center"/>
    </xf>
    <xf numFmtId="0" fontId="36" fillId="111" borderId="104" xfId="0" applyFont="1" applyFill="1" applyBorder="1" applyAlignment="1">
      <alignment horizontal="center" vertical="center"/>
    </xf>
    <xf numFmtId="0" fontId="36" fillId="112" borderId="26" xfId="0" applyFont="1" applyFill="1" applyBorder="1" applyAlignment="1">
      <alignment horizontal="center" vertical="center"/>
    </xf>
    <xf numFmtId="0" fontId="36" fillId="112" borderId="102" xfId="0" applyFont="1" applyFill="1" applyBorder="1" applyAlignment="1">
      <alignment horizontal="center" vertical="center"/>
    </xf>
    <xf numFmtId="0" fontId="141" fillId="110" borderId="14" xfId="0" quotePrefix="1" applyFont="1" applyFill="1" applyBorder="1" applyAlignment="1">
      <alignment horizontal="center" vertical="center"/>
    </xf>
    <xf numFmtId="0" fontId="141" fillId="110" borderId="26" xfId="0" quotePrefix="1" applyFont="1" applyFill="1" applyBorder="1" applyAlignment="1">
      <alignment horizontal="center" vertical="center"/>
    </xf>
    <xf numFmtId="0" fontId="141" fillId="110" borderId="245" xfId="0" applyFont="1" applyFill="1" applyBorder="1" applyAlignment="1">
      <alignment horizontal="center" vertical="center"/>
    </xf>
    <xf numFmtId="0" fontId="141" fillId="110" borderId="26" xfId="0" applyFont="1" applyFill="1" applyBorder="1" applyAlignment="1">
      <alignment horizontal="center" vertical="center"/>
    </xf>
    <xf numFmtId="0" fontId="36" fillId="48" borderId="104" xfId="0" applyFont="1" applyFill="1" applyBorder="1" applyAlignment="1">
      <alignment horizontal="center" vertical="center"/>
    </xf>
    <xf numFmtId="0" fontId="36" fillId="46" borderId="104" xfId="0" applyFont="1" applyFill="1" applyBorder="1" applyAlignment="1">
      <alignment horizontal="center" vertical="center"/>
    </xf>
    <xf numFmtId="0" fontId="36" fillId="54" borderId="104" xfId="0" applyFont="1" applyFill="1" applyBorder="1" applyAlignment="1">
      <alignment horizontal="center" vertical="center"/>
    </xf>
    <xf numFmtId="0" fontId="36" fillId="102" borderId="104" xfId="0" applyFont="1" applyFill="1" applyBorder="1" applyAlignment="1">
      <alignment horizontal="center" vertical="center"/>
    </xf>
    <xf numFmtId="0" fontId="36" fillId="55" borderId="71" xfId="0" applyFont="1" applyFill="1" applyBorder="1" applyAlignment="1">
      <alignment horizontal="center" vertical="center"/>
    </xf>
    <xf numFmtId="0" fontId="36" fillId="55" borderId="73" xfId="0" applyFont="1" applyFill="1" applyBorder="1" applyAlignment="1">
      <alignment horizontal="center" vertical="center"/>
    </xf>
    <xf numFmtId="0" fontId="36" fillId="55" borderId="97" xfId="0" applyFont="1" applyFill="1" applyBorder="1" applyAlignment="1">
      <alignment horizontal="center" vertical="center"/>
    </xf>
    <xf numFmtId="0" fontId="36" fillId="55" borderId="105" xfId="0" applyFont="1" applyFill="1" applyBorder="1" applyAlignment="1">
      <alignment horizontal="center" vertical="center"/>
    </xf>
    <xf numFmtId="2" fontId="36" fillId="55" borderId="105" xfId="0" applyNumberFormat="1" applyFont="1" applyFill="1" applyBorder="1" applyAlignment="1">
      <alignment horizontal="center" vertical="center"/>
    </xf>
    <xf numFmtId="0" fontId="36" fillId="48" borderId="73" xfId="0" applyFont="1" applyFill="1" applyBorder="1" applyAlignment="1">
      <alignment horizontal="center" vertical="center"/>
    </xf>
    <xf numFmtId="2" fontId="36" fillId="48" borderId="103" xfId="0" applyNumberFormat="1" applyFont="1" applyFill="1" applyBorder="1" applyAlignment="1">
      <alignment horizontal="center" vertical="center"/>
    </xf>
    <xf numFmtId="0" fontId="36" fillId="48" borderId="173" xfId="0" applyFont="1" applyFill="1" applyBorder="1" applyAlignment="1">
      <alignment horizontal="center" vertical="center"/>
    </xf>
    <xf numFmtId="0" fontId="36" fillId="48" borderId="84" xfId="0" applyFont="1" applyFill="1" applyBorder="1" applyAlignment="1">
      <alignment horizontal="center" vertical="center"/>
    </xf>
    <xf numFmtId="0" fontId="36" fillId="0" borderId="102" xfId="0" applyFont="1" applyBorder="1" applyAlignment="1" applyProtection="1">
      <alignment horizontal="center" vertical="center"/>
      <protection locked="0"/>
    </xf>
    <xf numFmtId="0" fontId="36" fillId="0" borderId="103" xfId="0" applyFont="1" applyBorder="1" applyAlignment="1" applyProtection="1">
      <alignment horizontal="center" vertical="center"/>
      <protection locked="0"/>
    </xf>
    <xf numFmtId="0" fontId="36" fillId="58" borderId="71" xfId="0" applyFont="1" applyFill="1" applyBorder="1" applyAlignment="1">
      <alignment horizontal="center" vertical="center"/>
    </xf>
    <xf numFmtId="0" fontId="36" fillId="58" borderId="102" xfId="0" applyFont="1" applyFill="1" applyBorder="1" applyAlignment="1">
      <alignment horizontal="center" vertical="center"/>
    </xf>
    <xf numFmtId="0" fontId="36" fillId="58" borderId="73" xfId="0" applyFont="1" applyFill="1" applyBorder="1" applyAlignment="1">
      <alignment horizontal="center" vertical="center"/>
    </xf>
    <xf numFmtId="2" fontId="36" fillId="58" borderId="73" xfId="0" applyNumberFormat="1" applyFont="1" applyFill="1" applyBorder="1" applyAlignment="1">
      <alignment horizontal="center" vertical="center"/>
    </xf>
    <xf numFmtId="0" fontId="36" fillId="58" borderId="97" xfId="0" applyFont="1" applyFill="1" applyBorder="1" applyAlignment="1">
      <alignment horizontal="center" vertical="center"/>
    </xf>
    <xf numFmtId="0" fontId="36" fillId="58" borderId="105" xfId="0" applyFont="1" applyFill="1" applyBorder="1" applyAlignment="1">
      <alignment horizontal="center" vertical="center"/>
    </xf>
    <xf numFmtId="2" fontId="36" fillId="58" borderId="105" xfId="0" applyNumberFormat="1" applyFont="1" applyFill="1" applyBorder="1" applyAlignment="1">
      <alignment horizontal="center" vertical="center"/>
    </xf>
    <xf numFmtId="0" fontId="36" fillId="55" borderId="173" xfId="0" applyFont="1" applyFill="1" applyBorder="1" applyAlignment="1">
      <alignment horizontal="center" vertical="center"/>
    </xf>
    <xf numFmtId="0" fontId="36" fillId="55" borderId="84" xfId="0" applyFont="1" applyFill="1" applyBorder="1" applyAlignment="1">
      <alignment horizontal="center" vertical="center"/>
    </xf>
    <xf numFmtId="0" fontId="36" fillId="77" borderId="71" xfId="0" applyFont="1" applyFill="1" applyBorder="1" applyAlignment="1">
      <alignment horizontal="center" vertical="center"/>
    </xf>
    <xf numFmtId="2" fontId="36" fillId="77" borderId="102" xfId="0" applyNumberFormat="1" applyFont="1" applyFill="1" applyBorder="1" applyAlignment="1">
      <alignment horizontal="center" vertical="center"/>
    </xf>
    <xf numFmtId="0" fontId="36" fillId="77" borderId="73" xfId="0" applyFont="1" applyFill="1" applyBorder="1" applyAlignment="1">
      <alignment horizontal="center" vertical="center"/>
    </xf>
    <xf numFmtId="2" fontId="36" fillId="77" borderId="73" xfId="0" applyNumberFormat="1" applyFont="1" applyFill="1" applyBorder="1" applyAlignment="1">
      <alignment horizontal="center" vertical="center"/>
    </xf>
    <xf numFmtId="0" fontId="36" fillId="77" borderId="97" xfId="0" applyFont="1" applyFill="1" applyBorder="1" applyAlignment="1">
      <alignment horizontal="center" vertical="center"/>
    </xf>
    <xf numFmtId="0" fontId="36" fillId="77" borderId="105" xfId="0" applyFont="1" applyFill="1" applyBorder="1" applyAlignment="1">
      <alignment horizontal="center" vertical="center"/>
    </xf>
    <xf numFmtId="0" fontId="36" fillId="76" borderId="73" xfId="0" applyFont="1" applyFill="1" applyBorder="1" applyAlignment="1">
      <alignment horizontal="center" vertical="center"/>
    </xf>
    <xf numFmtId="0" fontId="36" fillId="76" borderId="173" xfId="0" applyFont="1" applyFill="1" applyBorder="1" applyAlignment="1">
      <alignment horizontal="center" vertical="center"/>
    </xf>
    <xf numFmtId="0" fontId="36" fillId="76" borderId="84" xfId="0" applyFont="1" applyFill="1" applyBorder="1" applyAlignment="1">
      <alignment horizontal="center" vertical="center"/>
    </xf>
    <xf numFmtId="0" fontId="36" fillId="87" borderId="71" xfId="0" applyFont="1" applyFill="1" applyBorder="1" applyAlignment="1">
      <alignment horizontal="center" vertical="center"/>
    </xf>
    <xf numFmtId="0" fontId="36" fillId="87" borderId="102" xfId="0" applyFont="1" applyFill="1" applyBorder="1" applyAlignment="1">
      <alignment horizontal="center" vertical="center"/>
    </xf>
    <xf numFmtId="0" fontId="36" fillId="87" borderId="73" xfId="0" applyFont="1" applyFill="1" applyBorder="1" applyAlignment="1">
      <alignment horizontal="center" vertical="center"/>
    </xf>
    <xf numFmtId="0" fontId="36" fillId="87" borderId="103" xfId="0" applyFont="1" applyFill="1" applyBorder="1" applyAlignment="1">
      <alignment horizontal="center" vertical="center"/>
    </xf>
    <xf numFmtId="2" fontId="36" fillId="87" borderId="73" xfId="0" applyNumberFormat="1" applyFont="1" applyFill="1" applyBorder="1" applyAlignment="1">
      <alignment horizontal="center" vertical="center"/>
    </xf>
    <xf numFmtId="0" fontId="36" fillId="87" borderId="97" xfId="0" applyFont="1" applyFill="1" applyBorder="1" applyAlignment="1">
      <alignment horizontal="center" vertical="center"/>
    </xf>
    <xf numFmtId="0" fontId="36" fillId="87" borderId="105" xfId="0" applyFont="1" applyFill="1" applyBorder="1" applyAlignment="1">
      <alignment horizontal="center" vertical="center"/>
    </xf>
    <xf numFmtId="2" fontId="36" fillId="87" borderId="105" xfId="0" applyNumberFormat="1" applyFont="1" applyFill="1" applyBorder="1" applyAlignment="1">
      <alignment horizontal="center" vertical="center"/>
    </xf>
    <xf numFmtId="0" fontId="36" fillId="77" borderId="173" xfId="0" applyFont="1" applyFill="1" applyBorder="1" applyAlignment="1">
      <alignment horizontal="center" vertical="center"/>
    </xf>
    <xf numFmtId="0" fontId="36" fillId="77" borderId="84" xfId="0" applyFont="1" applyFill="1" applyBorder="1" applyAlignment="1">
      <alignment horizontal="center" vertical="center"/>
    </xf>
    <xf numFmtId="0" fontId="36" fillId="77" borderId="104" xfId="0" applyFont="1" applyFill="1" applyBorder="1" applyAlignment="1">
      <alignment horizontal="center" vertical="center"/>
    </xf>
    <xf numFmtId="0" fontId="36" fillId="56" borderId="102" xfId="0" applyFont="1" applyFill="1" applyBorder="1" applyAlignment="1">
      <alignment horizontal="center" vertical="center"/>
    </xf>
    <xf numFmtId="0" fontId="36" fillId="56" borderId="71" xfId="0" applyFont="1" applyFill="1" applyBorder="1" applyAlignment="1">
      <alignment horizontal="center" vertical="center"/>
    </xf>
    <xf numFmtId="2" fontId="36" fillId="56" borderId="102" xfId="0" applyNumberFormat="1" applyFont="1" applyFill="1" applyBorder="1" applyAlignment="1">
      <alignment horizontal="center" vertical="center"/>
    </xf>
    <xf numFmtId="0" fontId="36" fillId="56" borderId="73" xfId="0" applyFont="1" applyFill="1" applyBorder="1" applyAlignment="1">
      <alignment horizontal="center" vertical="center"/>
    </xf>
    <xf numFmtId="2" fontId="36" fillId="56" borderId="73" xfId="0" applyNumberFormat="1" applyFont="1" applyFill="1" applyBorder="1" applyAlignment="1">
      <alignment horizontal="center" vertical="center"/>
    </xf>
    <xf numFmtId="0" fontId="36" fillId="56" borderId="97" xfId="0" applyFont="1" applyFill="1" applyBorder="1" applyAlignment="1">
      <alignment horizontal="center" vertical="center"/>
    </xf>
    <xf numFmtId="0" fontId="36" fillId="56" borderId="105" xfId="0" applyFont="1" applyFill="1" applyBorder="1" applyAlignment="1">
      <alignment horizontal="center" vertical="center"/>
    </xf>
    <xf numFmtId="2" fontId="36" fillId="56" borderId="105" xfId="0" applyNumberFormat="1" applyFont="1" applyFill="1" applyBorder="1" applyAlignment="1">
      <alignment horizontal="center" vertical="center"/>
    </xf>
    <xf numFmtId="0" fontId="36" fillId="60" borderId="73" xfId="0" applyFont="1" applyFill="1" applyBorder="1" applyAlignment="1">
      <alignment horizontal="center" vertical="center"/>
    </xf>
    <xf numFmtId="0" fontId="36" fillId="60" borderId="173" xfId="0" applyFont="1" applyFill="1" applyBorder="1" applyAlignment="1">
      <alignment horizontal="center" vertical="center"/>
    </xf>
    <xf numFmtId="0" fontId="36" fillId="60" borderId="84" xfId="0" applyFont="1" applyFill="1" applyBorder="1" applyAlignment="1">
      <alignment horizontal="center" vertical="center"/>
    </xf>
    <xf numFmtId="0" fontId="36" fillId="64" borderId="71" xfId="0" applyFont="1" applyFill="1" applyBorder="1" applyAlignment="1">
      <alignment horizontal="center" vertical="center"/>
    </xf>
    <xf numFmtId="0" fontId="36" fillId="64" borderId="102" xfId="0" applyFont="1" applyFill="1" applyBorder="1" applyAlignment="1">
      <alignment horizontal="center" vertical="center"/>
    </xf>
    <xf numFmtId="0" fontId="36" fillId="64" borderId="73" xfId="0" applyFont="1" applyFill="1" applyBorder="1" applyAlignment="1">
      <alignment horizontal="center" vertical="center"/>
    </xf>
    <xf numFmtId="2" fontId="36" fillId="64" borderId="73" xfId="0" applyNumberFormat="1" applyFont="1" applyFill="1" applyBorder="1" applyAlignment="1">
      <alignment horizontal="center" vertical="center"/>
    </xf>
    <xf numFmtId="0" fontId="36" fillId="64" borderId="97" xfId="0" applyFont="1" applyFill="1" applyBorder="1" applyAlignment="1">
      <alignment horizontal="center" vertical="center"/>
    </xf>
    <xf numFmtId="0" fontId="36" fillId="64" borderId="105" xfId="0" applyFont="1" applyFill="1" applyBorder="1" applyAlignment="1">
      <alignment horizontal="center" vertical="center"/>
    </xf>
    <xf numFmtId="2" fontId="36" fillId="64" borderId="97" xfId="0" applyNumberFormat="1" applyFont="1" applyFill="1" applyBorder="1" applyAlignment="1">
      <alignment horizontal="center" vertical="center"/>
    </xf>
    <xf numFmtId="0" fontId="36" fillId="61" borderId="103" xfId="0" applyFont="1" applyFill="1" applyBorder="1" applyAlignment="1">
      <alignment horizontal="center" vertical="center"/>
    </xf>
    <xf numFmtId="0" fontId="36" fillId="61" borderId="73" xfId="0" applyFont="1" applyFill="1" applyBorder="1" applyAlignment="1">
      <alignment horizontal="center" vertical="center"/>
    </xf>
    <xf numFmtId="2" fontId="36" fillId="61" borderId="73" xfId="0" applyNumberFormat="1" applyFont="1" applyFill="1" applyBorder="1" applyAlignment="1">
      <alignment horizontal="center" vertical="center"/>
    </xf>
    <xf numFmtId="0" fontId="36" fillId="61" borderId="173" xfId="0" applyFont="1" applyFill="1" applyBorder="1" applyAlignment="1">
      <alignment horizontal="center" vertical="center"/>
    </xf>
    <xf numFmtId="0" fontId="36" fillId="61" borderId="84" xfId="0" applyFont="1" applyFill="1" applyBorder="1" applyAlignment="1">
      <alignment horizontal="center" vertical="center"/>
    </xf>
    <xf numFmtId="2" fontId="36" fillId="61" borderId="84" xfId="0" applyNumberFormat="1" applyFont="1" applyFill="1" applyBorder="1" applyAlignment="1">
      <alignment horizontal="center" vertical="center"/>
    </xf>
    <xf numFmtId="0" fontId="36" fillId="98" borderId="71" xfId="0" applyFont="1" applyFill="1" applyBorder="1" applyAlignment="1">
      <alignment horizontal="center" vertical="center"/>
    </xf>
    <xf numFmtId="0" fontId="36" fillId="98" borderId="102" xfId="0" applyFont="1" applyFill="1" applyBorder="1" applyAlignment="1">
      <alignment horizontal="center" vertical="center"/>
    </xf>
    <xf numFmtId="0" fontId="36" fillId="98" borderId="73" xfId="0" applyFont="1" applyFill="1" applyBorder="1" applyAlignment="1">
      <alignment horizontal="center" vertical="center"/>
    </xf>
    <xf numFmtId="0" fontId="36" fillId="98" borderId="103" xfId="0" applyFont="1" applyFill="1" applyBorder="1" applyAlignment="1">
      <alignment horizontal="center" vertical="center"/>
    </xf>
    <xf numFmtId="2" fontId="36" fillId="98" borderId="73" xfId="0" applyNumberFormat="1" applyFont="1" applyFill="1" applyBorder="1" applyAlignment="1">
      <alignment horizontal="center" vertical="center"/>
    </xf>
    <xf numFmtId="0" fontId="36" fillId="98" borderId="97" xfId="0" applyFont="1" applyFill="1" applyBorder="1" applyAlignment="1">
      <alignment horizontal="center" vertical="center"/>
    </xf>
    <xf numFmtId="0" fontId="36" fillId="98" borderId="105" xfId="0" applyFont="1" applyFill="1" applyBorder="1" applyAlignment="1">
      <alignment horizontal="center" vertical="center"/>
    </xf>
    <xf numFmtId="2" fontId="36" fillId="98" borderId="97" xfId="0" applyNumberFormat="1" applyFont="1" applyFill="1" applyBorder="1" applyAlignment="1">
      <alignment horizontal="center" vertical="center"/>
    </xf>
    <xf numFmtId="0" fontId="36" fillId="108" borderId="103" xfId="0" applyFont="1" applyFill="1" applyBorder="1" applyAlignment="1">
      <alignment horizontal="center" vertical="center"/>
    </xf>
    <xf numFmtId="0" fontId="36" fillId="108" borderId="73" xfId="0" applyFont="1" applyFill="1" applyBorder="1" applyAlignment="1">
      <alignment horizontal="center" vertical="center"/>
    </xf>
    <xf numFmtId="2" fontId="36" fillId="108" borderId="73" xfId="0" applyNumberFormat="1" applyFont="1" applyFill="1" applyBorder="1" applyAlignment="1">
      <alignment horizontal="center" vertical="center"/>
    </xf>
    <xf numFmtId="0" fontId="36" fillId="108" borderId="173" xfId="0" applyFont="1" applyFill="1" applyBorder="1" applyAlignment="1">
      <alignment horizontal="center" vertical="center"/>
    </xf>
    <xf numFmtId="0" fontId="36" fillId="108" borderId="84" xfId="0" applyFont="1" applyFill="1" applyBorder="1" applyAlignment="1">
      <alignment horizontal="center" vertical="center"/>
    </xf>
    <xf numFmtId="0" fontId="36" fillId="108" borderId="104" xfId="0" applyFont="1" applyFill="1" applyBorder="1" applyAlignment="1">
      <alignment horizontal="center" vertical="center"/>
    </xf>
    <xf numFmtId="2" fontId="36" fillId="108" borderId="84" xfId="0" applyNumberFormat="1" applyFont="1" applyFill="1" applyBorder="1" applyAlignment="1">
      <alignment horizontal="center" vertical="center"/>
    </xf>
    <xf numFmtId="0" fontId="36" fillId="109" borderId="71" xfId="0" applyFont="1" applyFill="1" applyBorder="1" applyAlignment="1">
      <alignment horizontal="center" vertical="center"/>
    </xf>
    <xf numFmtId="0" fontId="36" fillId="109" borderId="102" xfId="0" applyFont="1" applyFill="1" applyBorder="1" applyAlignment="1">
      <alignment horizontal="center" vertical="center"/>
    </xf>
    <xf numFmtId="0" fontId="36" fillId="109" borderId="73" xfId="0" applyFont="1" applyFill="1" applyBorder="1" applyAlignment="1">
      <alignment horizontal="center" vertical="center"/>
    </xf>
    <xf numFmtId="2" fontId="36" fillId="109" borderId="73" xfId="0" applyNumberFormat="1" applyFont="1" applyFill="1" applyBorder="1" applyAlignment="1">
      <alignment horizontal="center" vertical="center"/>
    </xf>
    <xf numFmtId="0" fontId="36" fillId="109" borderId="97" xfId="0" applyFont="1" applyFill="1" applyBorder="1" applyAlignment="1">
      <alignment horizontal="center" vertical="center"/>
    </xf>
    <xf numFmtId="0" fontId="36" fillId="109" borderId="105" xfId="0" applyFont="1" applyFill="1" applyBorder="1" applyAlignment="1">
      <alignment horizontal="center" vertical="center"/>
    </xf>
    <xf numFmtId="2" fontId="36" fillId="109" borderId="97" xfId="0" applyNumberFormat="1" applyFont="1" applyFill="1" applyBorder="1" applyAlignment="1">
      <alignment horizontal="center" vertical="center"/>
    </xf>
    <xf numFmtId="0" fontId="36" fillId="100" borderId="73" xfId="0" applyFont="1" applyFill="1" applyBorder="1" applyAlignment="1">
      <alignment horizontal="center" vertical="center"/>
    </xf>
    <xf numFmtId="2" fontId="36" fillId="100" borderId="73" xfId="0" applyNumberFormat="1" applyFont="1" applyFill="1" applyBorder="1" applyAlignment="1">
      <alignment horizontal="center" vertical="center"/>
    </xf>
    <xf numFmtId="0" fontId="36" fillId="100" borderId="173" xfId="0" applyFont="1" applyFill="1" applyBorder="1" applyAlignment="1">
      <alignment horizontal="center" vertical="center"/>
    </xf>
    <xf numFmtId="0" fontId="36" fillId="100" borderId="84" xfId="0" applyFont="1" applyFill="1" applyBorder="1" applyAlignment="1">
      <alignment horizontal="center" vertical="center"/>
    </xf>
    <xf numFmtId="2" fontId="36" fillId="100" borderId="84" xfId="0" applyNumberFormat="1" applyFont="1" applyFill="1" applyBorder="1" applyAlignment="1">
      <alignment horizontal="center" vertical="center"/>
    </xf>
    <xf numFmtId="2" fontId="36" fillId="77" borderId="97" xfId="0" applyNumberFormat="1" applyFont="1" applyFill="1" applyBorder="1" applyAlignment="1">
      <alignment horizontal="center" vertical="center"/>
    </xf>
    <xf numFmtId="2" fontId="36" fillId="76" borderId="73" xfId="0" applyNumberFormat="1" applyFont="1" applyFill="1" applyBorder="1" applyAlignment="1">
      <alignment horizontal="center" vertical="center"/>
    </xf>
    <xf numFmtId="2" fontId="36" fillId="76" borderId="84" xfId="0" applyNumberFormat="1" applyFont="1" applyFill="1" applyBorder="1" applyAlignment="1">
      <alignment horizontal="center" vertical="center"/>
    </xf>
    <xf numFmtId="0" fontId="36" fillId="56" borderId="173" xfId="0" applyFont="1" applyFill="1" applyBorder="1" applyAlignment="1">
      <alignment horizontal="center" vertical="center"/>
    </xf>
    <xf numFmtId="0" fontId="36" fillId="58" borderId="173" xfId="0" applyFont="1" applyFill="1" applyBorder="1" applyAlignment="1">
      <alignment horizontal="center" vertical="center"/>
    </xf>
    <xf numFmtId="2" fontId="36" fillId="77" borderId="173" xfId="0" applyNumberFormat="1" applyFont="1" applyFill="1" applyBorder="1" applyAlignment="1">
      <alignment horizontal="center" vertical="center"/>
    </xf>
    <xf numFmtId="2" fontId="36" fillId="93" borderId="102" xfId="0" applyNumberFormat="1" applyFont="1" applyFill="1" applyBorder="1" applyAlignment="1">
      <alignment horizontal="center" vertical="center"/>
    </xf>
    <xf numFmtId="0" fontId="36" fillId="93" borderId="103" xfId="0" applyFont="1" applyFill="1" applyBorder="1" applyAlignment="1">
      <alignment horizontal="center" vertical="center"/>
    </xf>
    <xf numFmtId="0" fontId="36" fillId="93" borderId="173" xfId="0" applyFont="1" applyFill="1" applyBorder="1" applyAlignment="1">
      <alignment horizontal="center" vertical="center"/>
    </xf>
    <xf numFmtId="2" fontId="36" fillId="93" borderId="173" xfId="0" applyNumberFormat="1" applyFont="1" applyFill="1" applyBorder="1" applyAlignment="1">
      <alignment horizontal="center" vertical="center"/>
    </xf>
    <xf numFmtId="2" fontId="36" fillId="105" borderId="102" xfId="0" applyNumberFormat="1" applyFont="1" applyFill="1" applyBorder="1" applyAlignment="1">
      <alignment horizontal="center" vertical="center"/>
    </xf>
    <xf numFmtId="2" fontId="36" fillId="105" borderId="104" xfId="0" applyNumberFormat="1" applyFont="1" applyFill="1" applyBorder="1" applyAlignment="1">
      <alignment horizontal="center" vertical="center"/>
    </xf>
    <xf numFmtId="2" fontId="36" fillId="99" borderId="102" xfId="0" applyNumberFormat="1" applyFont="1" applyFill="1" applyBorder="1" applyAlignment="1">
      <alignment horizontal="center" vertical="center"/>
    </xf>
    <xf numFmtId="2" fontId="36" fillId="99" borderId="104" xfId="0" applyNumberFormat="1" applyFont="1" applyFill="1" applyBorder="1" applyAlignment="1">
      <alignment horizontal="center" vertical="center"/>
    </xf>
    <xf numFmtId="0" fontId="36" fillId="99" borderId="173" xfId="0" applyFont="1" applyFill="1" applyBorder="1" applyAlignment="1">
      <alignment horizontal="center" vertical="center"/>
    </xf>
    <xf numFmtId="2" fontId="36" fillId="64" borderId="102" xfId="0" applyNumberFormat="1" applyFont="1" applyFill="1" applyBorder="1" applyAlignment="1">
      <alignment horizontal="center" vertical="center"/>
    </xf>
    <xf numFmtId="0" fontId="36" fillId="64" borderId="173" xfId="0" applyFont="1" applyFill="1" applyBorder="1" applyAlignment="1">
      <alignment horizontal="center" vertical="center"/>
    </xf>
    <xf numFmtId="2" fontId="36" fillId="109" borderId="102" xfId="0" applyNumberFormat="1" applyFont="1" applyFill="1" applyBorder="1" applyAlignment="1">
      <alignment horizontal="center" vertical="center"/>
    </xf>
    <xf numFmtId="0" fontId="36" fillId="109" borderId="173" xfId="0" applyFont="1" applyFill="1" applyBorder="1" applyAlignment="1">
      <alignment horizontal="center" vertical="center"/>
    </xf>
    <xf numFmtId="2" fontId="36" fillId="110" borderId="102" xfId="0" applyNumberFormat="1" applyFont="1" applyFill="1" applyBorder="1" applyAlignment="1">
      <alignment horizontal="center" vertical="center"/>
    </xf>
    <xf numFmtId="0" fontId="36" fillId="110" borderId="103" xfId="0" applyFont="1" applyFill="1" applyBorder="1" applyAlignment="1">
      <alignment horizontal="center" vertical="center"/>
    </xf>
    <xf numFmtId="2" fontId="36" fillId="110" borderId="104" xfId="0" applyNumberFormat="1" applyFont="1" applyFill="1" applyBorder="1" applyAlignment="1">
      <alignment horizontal="center" vertical="center"/>
    </xf>
    <xf numFmtId="0" fontId="36" fillId="110" borderId="173" xfId="0" applyFont="1" applyFill="1" applyBorder="1" applyAlignment="1">
      <alignment horizontal="center" vertical="center"/>
    </xf>
    <xf numFmtId="0" fontId="36" fillId="111" borderId="103" xfId="0" applyFont="1" applyFill="1" applyBorder="1" applyAlignment="1">
      <alignment horizontal="center" vertical="center"/>
    </xf>
    <xf numFmtId="2" fontId="36" fillId="111" borderId="102" xfId="0" applyNumberFormat="1" applyFont="1" applyFill="1" applyBorder="1" applyAlignment="1">
      <alignment horizontal="center" vertical="center"/>
    </xf>
    <xf numFmtId="2" fontId="36" fillId="111" borderId="103" xfId="0" applyNumberFormat="1" applyFont="1" applyFill="1" applyBorder="1" applyAlignment="1">
      <alignment horizontal="center" vertical="center"/>
    </xf>
    <xf numFmtId="2" fontId="36" fillId="111" borderId="104" xfId="0" applyNumberFormat="1" applyFont="1" applyFill="1" applyBorder="1" applyAlignment="1">
      <alignment horizontal="center" vertical="center"/>
    </xf>
    <xf numFmtId="0" fontId="36" fillId="0" borderId="245" xfId="0" applyFont="1" applyBorder="1" applyAlignment="1">
      <alignment horizontal="center" vertical="center"/>
    </xf>
    <xf numFmtId="0" fontId="34" fillId="49" borderId="12" xfId="0" applyFont="1" applyFill="1" applyBorder="1" applyAlignment="1">
      <alignment horizontal="center" vertical="center" wrapText="1"/>
    </xf>
    <xf numFmtId="0" fontId="34" fillId="95" borderId="12" xfId="0" quotePrefix="1" applyFont="1" applyFill="1" applyBorder="1" applyAlignment="1">
      <alignment horizontal="center" vertical="center" wrapText="1"/>
    </xf>
    <xf numFmtId="0" fontId="34" fillId="95" borderId="12" xfId="0" applyFont="1" applyFill="1" applyBorder="1" applyAlignment="1">
      <alignment horizontal="center" vertical="center" wrapText="1"/>
    </xf>
    <xf numFmtId="2" fontId="34" fillId="26" borderId="12" xfId="0" applyNumberFormat="1" applyFont="1" applyFill="1" applyBorder="1" applyAlignment="1">
      <alignment horizontal="center" vertical="center" wrapText="1"/>
    </xf>
    <xf numFmtId="0" fontId="34" fillId="24" borderId="12" xfId="0" applyFont="1" applyFill="1" applyBorder="1" applyAlignment="1">
      <alignment horizontal="center" vertical="center" wrapText="1"/>
    </xf>
    <xf numFmtId="0" fontId="34" fillId="0" borderId="17" xfId="0" applyFont="1" applyBorder="1" applyAlignment="1">
      <alignment horizontal="center" vertical="center" wrapText="1"/>
    </xf>
    <xf numFmtId="0" fontId="36" fillId="56" borderId="126" xfId="0" applyFont="1" applyFill="1" applyBorder="1" applyAlignment="1">
      <alignment horizontal="center" vertical="center"/>
    </xf>
    <xf numFmtId="0" fontId="36" fillId="56" borderId="127" xfId="0" applyFont="1" applyFill="1" applyBorder="1" applyAlignment="1">
      <alignment horizontal="center" vertical="center"/>
    </xf>
    <xf numFmtId="0" fontId="36" fillId="56" borderId="104" xfId="0" applyFont="1" applyFill="1" applyBorder="1" applyAlignment="1">
      <alignment horizontal="center" vertical="center"/>
    </xf>
    <xf numFmtId="0" fontId="36" fillId="56" borderId="128" xfId="0" applyFont="1" applyFill="1" applyBorder="1" applyAlignment="1">
      <alignment horizontal="center" vertical="center"/>
    </xf>
    <xf numFmtId="0" fontId="36" fillId="60" borderId="28" xfId="0" applyFont="1" applyFill="1" applyBorder="1" applyAlignment="1">
      <alignment horizontal="center" vertical="center"/>
    </xf>
    <xf numFmtId="0" fontId="129" fillId="46" borderId="102" xfId="0" applyFont="1" applyFill="1" applyBorder="1" applyAlignment="1">
      <alignment horizontal="center" vertical="center"/>
    </xf>
    <xf numFmtId="0" fontId="129" fillId="46" borderId="102" xfId="0" applyFont="1" applyFill="1" applyBorder="1" applyAlignment="1">
      <alignment horizontal="center" vertical="center" wrapText="1"/>
    </xf>
    <xf numFmtId="0" fontId="129" fillId="46" borderId="104" xfId="0" applyFont="1" applyFill="1" applyBorder="1" applyAlignment="1">
      <alignment horizontal="center" vertical="center"/>
    </xf>
    <xf numFmtId="0" fontId="129" fillId="46" borderId="128" xfId="0" applyFont="1" applyFill="1" applyBorder="1" applyAlignment="1">
      <alignment horizontal="center" vertical="center"/>
    </xf>
    <xf numFmtId="0" fontId="129" fillId="113" borderId="102" xfId="0" applyFont="1" applyFill="1" applyBorder="1" applyAlignment="1">
      <alignment horizontal="center" vertical="center"/>
    </xf>
    <xf numFmtId="0" fontId="129" fillId="113" borderId="104" xfId="0" applyFont="1" applyFill="1" applyBorder="1" applyAlignment="1">
      <alignment horizontal="center" vertical="center"/>
    </xf>
    <xf numFmtId="0" fontId="36" fillId="60" borderId="244" xfId="0" applyFont="1" applyFill="1" applyBorder="1" applyAlignment="1">
      <alignment horizontal="center" vertical="center"/>
    </xf>
    <xf numFmtId="0" fontId="36" fillId="60" borderId="244" xfId="0" applyFont="1" applyFill="1" applyBorder="1" applyAlignment="1">
      <alignment horizontal="center" vertical="center" wrapText="1"/>
    </xf>
    <xf numFmtId="0" fontId="36" fillId="104" borderId="14" xfId="0" quotePrefix="1" applyFont="1" applyFill="1" applyBorder="1" applyAlignment="1">
      <alignment horizontal="center" vertical="center"/>
    </xf>
    <xf numFmtId="0" fontId="36" fillId="115" borderId="12" xfId="0" applyFont="1" applyFill="1" applyBorder="1" applyAlignment="1">
      <alignment horizontal="center" vertical="center"/>
    </xf>
    <xf numFmtId="0" fontId="36" fillId="116" borderId="14" xfId="0" applyFont="1" applyFill="1" applyBorder="1" applyAlignment="1">
      <alignment horizontal="center" vertical="center"/>
    </xf>
    <xf numFmtId="0" fontId="36" fillId="116" borderId="11" xfId="0" applyFont="1" applyFill="1" applyBorder="1" applyAlignment="1">
      <alignment horizontal="center" vertical="center"/>
    </xf>
    <xf numFmtId="0" fontId="36" fillId="117" borderId="26" xfId="0" applyFont="1" applyFill="1" applyBorder="1" applyAlignment="1">
      <alignment horizontal="center" vertical="center"/>
    </xf>
    <xf numFmtId="0" fontId="36" fillId="118" borderId="26" xfId="0" applyFont="1" applyFill="1" applyBorder="1" applyAlignment="1">
      <alignment horizontal="center" vertical="center"/>
    </xf>
    <xf numFmtId="0" fontId="36" fillId="104" borderId="246" xfId="0" quotePrefix="1" applyFont="1" applyFill="1" applyBorder="1" applyAlignment="1">
      <alignment horizontal="center" vertical="center"/>
    </xf>
    <xf numFmtId="0" fontId="36" fillId="104" borderId="18" xfId="0" applyFont="1" applyFill="1" applyBorder="1" applyAlignment="1">
      <alignment horizontal="center" vertical="center"/>
    </xf>
    <xf numFmtId="0" fontId="36" fillId="104" borderId="24" xfId="0" applyFont="1" applyFill="1" applyBorder="1" applyAlignment="1">
      <alignment horizontal="center" vertical="center"/>
    </xf>
    <xf numFmtId="0" fontId="36" fillId="115" borderId="10" xfId="0" applyFont="1" applyFill="1" applyBorder="1" applyAlignment="1">
      <alignment horizontal="center" vertical="center"/>
    </xf>
    <xf numFmtId="0" fontId="36" fillId="116" borderId="246" xfId="0" applyFont="1" applyFill="1" applyBorder="1" applyAlignment="1">
      <alignment horizontal="center" vertical="center"/>
    </xf>
    <xf numFmtId="0" fontId="36" fillId="116" borderId="24" xfId="0" applyFont="1" applyFill="1" applyBorder="1" applyAlignment="1">
      <alignment horizontal="center" vertical="center"/>
    </xf>
    <xf numFmtId="0" fontId="36" fillId="117" borderId="18" xfId="0" applyFont="1" applyFill="1" applyBorder="1" applyAlignment="1">
      <alignment horizontal="center" vertical="center"/>
    </xf>
    <xf numFmtId="0" fontId="36" fillId="104" borderId="18" xfId="0" quotePrefix="1" applyFont="1" applyFill="1" applyBorder="1" applyAlignment="1">
      <alignment horizontal="center" vertical="center"/>
    </xf>
    <xf numFmtId="0" fontId="36" fillId="98" borderId="246" xfId="0" quotePrefix="1" applyFont="1" applyFill="1" applyBorder="1" applyAlignment="1">
      <alignment horizontal="center" vertical="center"/>
    </xf>
    <xf numFmtId="0" fontId="36" fillId="98" borderId="18" xfId="0" applyFont="1" applyFill="1" applyBorder="1" applyAlignment="1">
      <alignment horizontal="center" vertical="center"/>
    </xf>
    <xf numFmtId="0" fontId="36" fillId="98" borderId="24" xfId="0" applyFont="1" applyFill="1" applyBorder="1" applyAlignment="1">
      <alignment horizontal="center" vertical="center"/>
    </xf>
    <xf numFmtId="0" fontId="36" fillId="106" borderId="10" xfId="0" applyFont="1" applyFill="1" applyBorder="1" applyAlignment="1">
      <alignment horizontal="center" vertical="center"/>
    </xf>
    <xf numFmtId="0" fontId="36" fillId="105" borderId="246" xfId="0" applyFont="1" applyFill="1" applyBorder="1" applyAlignment="1">
      <alignment horizontal="center" vertical="center"/>
    </xf>
    <xf numFmtId="0" fontId="36" fillId="105" borderId="24" xfId="0" applyFont="1" applyFill="1" applyBorder="1" applyAlignment="1">
      <alignment horizontal="center" vertical="center"/>
    </xf>
    <xf numFmtId="0" fontId="36" fillId="118" borderId="18" xfId="0" applyFont="1" applyFill="1" applyBorder="1" applyAlignment="1">
      <alignment horizontal="center" vertical="center"/>
    </xf>
    <xf numFmtId="0" fontId="36" fillId="64" borderId="246" xfId="0" quotePrefix="1" applyFont="1" applyFill="1" applyBorder="1" applyAlignment="1">
      <alignment horizontal="center" vertical="center"/>
    </xf>
    <xf numFmtId="0" fontId="36" fillId="61" borderId="10" xfId="0" applyFont="1" applyFill="1" applyBorder="1" applyAlignment="1">
      <alignment horizontal="center" vertical="center"/>
    </xf>
    <xf numFmtId="0" fontId="36" fillId="54" borderId="246" xfId="0" applyFont="1" applyFill="1" applyBorder="1" applyAlignment="1">
      <alignment horizontal="center" vertical="center"/>
    </xf>
    <xf numFmtId="0" fontId="36" fillId="54" borderId="24" xfId="0" applyFont="1" applyFill="1" applyBorder="1" applyAlignment="1">
      <alignment horizontal="center" vertical="center"/>
    </xf>
    <xf numFmtId="0" fontId="36" fillId="58" borderId="246" xfId="0" quotePrefix="1" applyFont="1" applyFill="1" applyBorder="1" applyAlignment="1">
      <alignment horizontal="center" vertical="center"/>
    </xf>
    <xf numFmtId="0" fontId="36" fillId="55" borderId="10" xfId="0" applyFont="1" applyFill="1" applyBorder="1" applyAlignment="1">
      <alignment horizontal="center" vertical="center"/>
    </xf>
    <xf numFmtId="0" fontId="36" fillId="48" borderId="246" xfId="0" applyFont="1" applyFill="1" applyBorder="1" applyAlignment="1">
      <alignment horizontal="center" vertical="center"/>
    </xf>
    <xf numFmtId="0" fontId="36" fillId="48" borderId="24" xfId="0" applyFont="1" applyFill="1" applyBorder="1" applyAlignment="1">
      <alignment horizontal="center" vertical="center"/>
    </xf>
    <xf numFmtId="2" fontId="36" fillId="104" borderId="102" xfId="0" applyNumberFormat="1" applyFont="1" applyFill="1" applyBorder="1" applyAlignment="1">
      <alignment horizontal="center" vertical="center"/>
    </xf>
    <xf numFmtId="2" fontId="36" fillId="104" borderId="103" xfId="0" applyNumberFormat="1" applyFont="1" applyFill="1" applyBorder="1" applyAlignment="1">
      <alignment horizontal="center" vertical="center"/>
    </xf>
    <xf numFmtId="2" fontId="36" fillId="104" borderId="99" xfId="0" applyNumberFormat="1" applyFont="1" applyFill="1" applyBorder="1" applyAlignment="1">
      <alignment horizontal="center" vertical="center"/>
    </xf>
    <xf numFmtId="2" fontId="36" fillId="104" borderId="100" xfId="0" applyNumberFormat="1" applyFont="1" applyFill="1" applyBorder="1" applyAlignment="1">
      <alignment horizontal="center" vertical="center"/>
    </xf>
    <xf numFmtId="0" fontId="36" fillId="119" borderId="26" xfId="0" applyFont="1" applyFill="1" applyBorder="1" applyAlignment="1">
      <alignment horizontal="center" vertical="center"/>
    </xf>
    <xf numFmtId="0" fontId="36" fillId="119" borderId="18" xfId="0" applyFont="1" applyFill="1" applyBorder="1" applyAlignment="1">
      <alignment horizontal="center" vertical="center"/>
    </xf>
    <xf numFmtId="0" fontId="36" fillId="120" borderId="26" xfId="0" applyFont="1" applyFill="1" applyBorder="1" applyAlignment="1">
      <alignment horizontal="center" vertical="center"/>
    </xf>
    <xf numFmtId="0" fontId="36" fillId="120" borderId="18" xfId="0" applyFont="1" applyFill="1" applyBorder="1" applyAlignment="1">
      <alignment horizontal="center" vertical="center"/>
    </xf>
    <xf numFmtId="2" fontId="36" fillId="98" borderId="102" xfId="0" applyNumberFormat="1" applyFont="1" applyFill="1" applyBorder="1" applyAlignment="1">
      <alignment horizontal="center" vertical="center"/>
    </xf>
    <xf numFmtId="2" fontId="36" fillId="98" borderId="99" xfId="0" applyNumberFormat="1" applyFont="1" applyFill="1" applyBorder="1" applyAlignment="1">
      <alignment horizontal="center" vertical="center"/>
    </xf>
    <xf numFmtId="2" fontId="36" fillId="98" borderId="100" xfId="0" applyNumberFormat="1" applyFont="1" applyFill="1" applyBorder="1" applyAlignment="1">
      <alignment horizontal="center" vertical="center"/>
    </xf>
    <xf numFmtId="2" fontId="36" fillId="98" borderId="101" xfId="0" applyNumberFormat="1" applyFont="1" applyFill="1" applyBorder="1" applyAlignment="1">
      <alignment horizontal="center" vertical="center"/>
    </xf>
    <xf numFmtId="2" fontId="36" fillId="64" borderId="99" xfId="0" applyNumberFormat="1" applyFont="1" applyFill="1" applyBorder="1" applyAlignment="1">
      <alignment horizontal="center" vertical="center"/>
    </xf>
    <xf numFmtId="2" fontId="36" fillId="64" borderId="100" xfId="0" applyNumberFormat="1" applyFont="1" applyFill="1" applyBorder="1" applyAlignment="1">
      <alignment horizontal="center" vertical="center"/>
    </xf>
    <xf numFmtId="2" fontId="36" fillId="64" borderId="101" xfId="0" applyNumberFormat="1" applyFont="1" applyFill="1" applyBorder="1" applyAlignment="1">
      <alignment horizontal="center" vertical="center"/>
    </xf>
    <xf numFmtId="0" fontId="36" fillId="55" borderId="245" xfId="0" applyFont="1" applyFill="1" applyBorder="1" applyAlignment="1">
      <alignment horizontal="center" vertical="center"/>
    </xf>
    <xf numFmtId="0" fontId="36" fillId="55" borderId="246" xfId="0" applyFont="1" applyFill="1" applyBorder="1" applyAlignment="1">
      <alignment horizontal="center" vertical="center"/>
    </xf>
    <xf numFmtId="2" fontId="36" fillId="58" borderId="99" xfId="0" applyNumberFormat="1" applyFont="1" applyFill="1" applyBorder="1" applyAlignment="1">
      <alignment horizontal="center" vertical="center"/>
    </xf>
    <xf numFmtId="2" fontId="36" fillId="58" borderId="100" xfId="0" applyNumberFormat="1" applyFont="1" applyFill="1" applyBorder="1" applyAlignment="1">
      <alignment horizontal="center" vertical="center"/>
    </xf>
    <xf numFmtId="2" fontId="36" fillId="58" borderId="101" xfId="0" applyNumberFormat="1" applyFont="1" applyFill="1" applyBorder="1" applyAlignment="1">
      <alignment horizontal="center" vertical="center"/>
    </xf>
    <xf numFmtId="0" fontId="36" fillId="103" borderId="244" xfId="0" applyFont="1" applyFill="1" applyBorder="1" applyAlignment="1">
      <alignment horizontal="center" vertical="center" wrapText="1"/>
    </xf>
    <xf numFmtId="0" fontId="135" fillId="104" borderId="245" xfId="0" applyFont="1" applyFill="1" applyBorder="1" applyAlignment="1">
      <alignment horizontal="center" vertical="center"/>
    </xf>
    <xf numFmtId="0" fontId="36" fillId="118" borderId="245" xfId="0" applyFont="1" applyFill="1" applyBorder="1" applyAlignment="1">
      <alignment horizontal="center" vertical="center" wrapText="1"/>
    </xf>
    <xf numFmtId="0" fontId="36" fillId="118" borderId="244" xfId="0" applyFont="1" applyFill="1" applyBorder="1" applyAlignment="1">
      <alignment horizontal="center" vertical="center" wrapText="1"/>
    </xf>
    <xf numFmtId="0" fontId="36" fillId="117" borderId="245" xfId="0" applyFont="1" applyFill="1" applyBorder="1" applyAlignment="1">
      <alignment horizontal="center" vertical="center" wrapText="1"/>
    </xf>
    <xf numFmtId="0" fontId="36" fillId="117" borderId="244" xfId="0" applyFont="1" applyFill="1" applyBorder="1" applyAlignment="1">
      <alignment horizontal="center" vertical="center" wrapText="1"/>
    </xf>
    <xf numFmtId="0" fontId="36" fillId="115" borderId="244" xfId="0" applyFont="1" applyFill="1" applyBorder="1" applyAlignment="1">
      <alignment horizontal="center" vertical="center" wrapText="1"/>
    </xf>
    <xf numFmtId="165" fontId="36" fillId="94" borderId="91" xfId="0" applyNumberFormat="1" applyFont="1" applyFill="1" applyBorder="1" applyAlignment="1">
      <alignment horizontal="center" vertical="center"/>
    </xf>
    <xf numFmtId="0" fontId="36" fillId="104" borderId="245" xfId="0" applyFont="1" applyFill="1" applyBorder="1" applyAlignment="1">
      <alignment horizontal="center" vertical="center" wrapText="1"/>
    </xf>
    <xf numFmtId="0" fontId="36" fillId="104" borderId="244" xfId="0" applyFont="1" applyFill="1" applyBorder="1" applyAlignment="1">
      <alignment horizontal="center" vertical="center"/>
    </xf>
    <xf numFmtId="2" fontId="36" fillId="58" borderId="173" xfId="0" applyNumberFormat="1" applyFont="1" applyFill="1" applyBorder="1" applyAlignment="1">
      <alignment horizontal="center" vertical="center"/>
    </xf>
    <xf numFmtId="2" fontId="36" fillId="58" borderId="250" xfId="0" applyNumberFormat="1" applyFont="1" applyFill="1" applyBorder="1" applyAlignment="1">
      <alignment horizontal="center" vertical="center"/>
    </xf>
    <xf numFmtId="0" fontId="36" fillId="98" borderId="245" xfId="0" applyFont="1" applyFill="1" applyBorder="1" applyAlignment="1">
      <alignment horizontal="center" vertical="center" wrapText="1"/>
    </xf>
    <xf numFmtId="0" fontId="36" fillId="98" borderId="11" xfId="0" applyFont="1" applyFill="1" applyBorder="1" applyAlignment="1">
      <alignment horizontal="center" vertical="center" wrapText="1"/>
    </xf>
    <xf numFmtId="0" fontId="36" fillId="98" borderId="244" xfId="0" applyFont="1" applyFill="1" applyBorder="1" applyAlignment="1">
      <alignment horizontal="center" vertical="center"/>
    </xf>
    <xf numFmtId="0" fontId="36" fillId="121" borderId="244" xfId="0" applyFont="1" applyFill="1" applyBorder="1" applyAlignment="1">
      <alignment horizontal="center" vertical="center" wrapText="1"/>
    </xf>
    <xf numFmtId="0" fontId="131" fillId="98" borderId="245" xfId="0" quotePrefix="1" applyFont="1" applyFill="1" applyBorder="1" applyAlignment="1">
      <alignment horizontal="center" vertical="center"/>
    </xf>
    <xf numFmtId="0" fontId="36" fillId="115" borderId="26" xfId="0" applyFont="1" applyFill="1" applyBorder="1" applyAlignment="1">
      <alignment horizontal="center" vertical="center" wrapText="1"/>
    </xf>
    <xf numFmtId="2" fontId="36" fillId="102" borderId="102" xfId="0" applyNumberFormat="1" applyFont="1" applyFill="1" applyBorder="1" applyAlignment="1">
      <alignment horizontal="center" vertical="center"/>
    </xf>
    <xf numFmtId="2" fontId="36" fillId="112" borderId="102" xfId="0" applyNumberFormat="1" applyFont="1" applyFill="1" applyBorder="1" applyAlignment="1">
      <alignment horizontal="center" vertical="center"/>
    </xf>
    <xf numFmtId="2" fontId="128" fillId="56" borderId="245" xfId="0" applyNumberFormat="1" applyFont="1" applyFill="1" applyBorder="1" applyAlignment="1">
      <alignment horizontal="center" vertical="center"/>
    </xf>
    <xf numFmtId="2" fontId="36" fillId="56" borderId="26" xfId="0" applyNumberFormat="1" applyFont="1" applyFill="1" applyBorder="1" applyAlignment="1">
      <alignment horizontal="center" vertical="center"/>
    </xf>
    <xf numFmtId="2" fontId="128" fillId="56" borderId="26" xfId="0" applyNumberFormat="1" applyFont="1" applyFill="1" applyBorder="1" applyAlignment="1">
      <alignment horizontal="center" vertical="center"/>
    </xf>
    <xf numFmtId="2" fontId="128" fillId="56" borderId="11" xfId="0" applyNumberFormat="1" applyFont="1" applyFill="1" applyBorder="1" applyAlignment="1">
      <alignment horizontal="center" vertical="center"/>
    </xf>
    <xf numFmtId="2" fontId="36" fillId="60" borderId="244" xfId="0" applyNumberFormat="1" applyFont="1" applyFill="1" applyBorder="1" applyAlignment="1">
      <alignment horizontal="center" vertical="center"/>
    </xf>
    <xf numFmtId="2" fontId="129" fillId="46" borderId="102" xfId="0" applyNumberFormat="1" applyFont="1" applyFill="1" applyBorder="1" applyAlignment="1">
      <alignment horizontal="center" vertical="center" wrapText="1"/>
    </xf>
    <xf numFmtId="2" fontId="129" fillId="46" borderId="104" xfId="0" applyNumberFormat="1" applyFont="1" applyFill="1" applyBorder="1" applyAlignment="1">
      <alignment horizontal="center" vertical="center"/>
    </xf>
    <xf numFmtId="2" fontId="36" fillId="104" borderId="26" xfId="0" applyNumberFormat="1" applyFont="1" applyFill="1" applyBorder="1" applyAlignment="1">
      <alignment horizontal="center" vertical="center"/>
    </xf>
    <xf numFmtId="2" fontId="36" fillId="104" borderId="11" xfId="0" applyNumberFormat="1" applyFont="1" applyFill="1" applyBorder="1" applyAlignment="1">
      <alignment horizontal="center" vertical="center"/>
    </xf>
    <xf numFmtId="2" fontId="36" fillId="115" borderId="12" xfId="0" applyNumberFormat="1" applyFont="1" applyFill="1" applyBorder="1" applyAlignment="1">
      <alignment horizontal="center" vertical="center"/>
    </xf>
    <xf numFmtId="2" fontId="36" fillId="116" borderId="14" xfId="0" applyNumberFormat="1" applyFont="1" applyFill="1" applyBorder="1" applyAlignment="1">
      <alignment horizontal="center" vertical="center"/>
    </xf>
    <xf numFmtId="2" fontId="36" fillId="116" borderId="11" xfId="0" applyNumberFormat="1" applyFont="1" applyFill="1" applyBorder="1" applyAlignment="1">
      <alignment horizontal="center" vertical="center"/>
    </xf>
    <xf numFmtId="2" fontId="36" fillId="117" borderId="26" xfId="0" applyNumberFormat="1" applyFont="1" applyFill="1" applyBorder="1" applyAlignment="1">
      <alignment horizontal="center" vertical="center"/>
    </xf>
    <xf numFmtId="2" fontId="36" fillId="98" borderId="11" xfId="0" applyNumberFormat="1" applyFont="1" applyFill="1" applyBorder="1" applyAlignment="1">
      <alignment horizontal="center" vertical="center"/>
    </xf>
    <xf numFmtId="2" fontId="36" fillId="118" borderId="26" xfId="0" applyNumberFormat="1" applyFont="1" applyFill="1" applyBorder="1" applyAlignment="1">
      <alignment horizontal="center" vertical="center"/>
    </xf>
    <xf numFmtId="2" fontId="36" fillId="64" borderId="14" xfId="0" quotePrefix="1" applyNumberFormat="1" applyFont="1" applyFill="1" applyBorder="1" applyAlignment="1">
      <alignment horizontal="center" vertical="center"/>
    </xf>
    <xf numFmtId="2" fontId="36" fillId="64" borderId="11" xfId="0" applyNumberFormat="1" applyFont="1" applyFill="1" applyBorder="1" applyAlignment="1">
      <alignment horizontal="center" vertical="center"/>
    </xf>
    <xf numFmtId="2" fontId="36" fillId="120" borderId="26" xfId="0" applyNumberFormat="1" applyFont="1" applyFill="1" applyBorder="1" applyAlignment="1">
      <alignment horizontal="center" vertical="center"/>
    </xf>
    <xf numFmtId="2" fontId="36" fillId="119" borderId="26" xfId="0" applyNumberFormat="1" applyFont="1" applyFill="1" applyBorder="1" applyAlignment="1">
      <alignment horizontal="center" vertical="center"/>
    </xf>
    <xf numFmtId="2" fontId="36" fillId="55" borderId="245" xfId="0" applyNumberFormat="1" applyFont="1" applyFill="1" applyBorder="1" applyAlignment="1">
      <alignment horizontal="center" vertical="center"/>
    </xf>
    <xf numFmtId="2" fontId="36" fillId="104" borderId="245" xfId="0" applyNumberFormat="1" applyFont="1" applyFill="1" applyBorder="1" applyAlignment="1">
      <alignment horizontal="center" vertical="center" wrapText="1"/>
    </xf>
    <xf numFmtId="2" fontId="36" fillId="104" borderId="26" xfId="0" applyNumberFormat="1" applyFont="1" applyFill="1" applyBorder="1" applyAlignment="1">
      <alignment horizontal="center" vertical="center" wrapText="1"/>
    </xf>
    <xf numFmtId="2" fontId="36" fillId="115" borderId="244" xfId="0" applyNumberFormat="1" applyFont="1" applyFill="1" applyBorder="1" applyAlignment="1">
      <alignment horizontal="center" vertical="center" wrapText="1"/>
    </xf>
    <xf numFmtId="2" fontId="36" fillId="117" borderId="245" xfId="0" applyNumberFormat="1" applyFont="1" applyFill="1" applyBorder="1" applyAlignment="1">
      <alignment horizontal="center" vertical="center" wrapText="1"/>
    </xf>
    <xf numFmtId="2" fontId="36" fillId="117" borderId="244" xfId="0" applyNumberFormat="1" applyFont="1" applyFill="1" applyBorder="1" applyAlignment="1">
      <alignment horizontal="center" vertical="center" wrapText="1"/>
    </xf>
    <xf numFmtId="2" fontId="36" fillId="98" borderId="245" xfId="0" applyNumberFormat="1" applyFont="1" applyFill="1" applyBorder="1" applyAlignment="1">
      <alignment horizontal="center" vertical="center" wrapText="1"/>
    </xf>
    <xf numFmtId="2" fontId="36" fillId="98" borderId="26" xfId="0" applyNumberFormat="1" applyFont="1" applyFill="1" applyBorder="1" applyAlignment="1">
      <alignment horizontal="center" vertical="center" wrapText="1"/>
    </xf>
    <xf numFmtId="2" fontId="36" fillId="121" borderId="244" xfId="0" applyNumberFormat="1" applyFont="1" applyFill="1" applyBorder="1" applyAlignment="1">
      <alignment horizontal="center" vertical="center" wrapText="1"/>
    </xf>
    <xf numFmtId="2" fontId="36" fillId="118" borderId="245" xfId="0" applyNumberFormat="1" applyFont="1" applyFill="1" applyBorder="1" applyAlignment="1">
      <alignment horizontal="center" vertical="center" wrapText="1"/>
    </xf>
    <xf numFmtId="2" fontId="36" fillId="118" borderId="244" xfId="0" applyNumberFormat="1" applyFont="1" applyFill="1" applyBorder="1" applyAlignment="1">
      <alignment horizontal="center" vertical="center" wrapText="1"/>
    </xf>
    <xf numFmtId="0" fontId="0" fillId="54" borderId="12" xfId="0" applyFill="1" applyBorder="1" applyAlignment="1">
      <alignment horizontal="center" vertical="top"/>
    </xf>
    <xf numFmtId="1" fontId="9" fillId="46" borderId="12" xfId="0" applyNumberFormat="1" applyFont="1" applyFill="1" applyBorder="1" applyAlignment="1">
      <alignment horizontal="center" vertical="top"/>
    </xf>
    <xf numFmtId="0" fontId="9" fillId="54" borderId="12" xfId="0" applyFont="1" applyFill="1" applyBorder="1" applyAlignment="1">
      <alignment horizontal="center" vertical="top"/>
    </xf>
    <xf numFmtId="0" fontId="0" fillId="54" borderId="12" xfId="0" applyFill="1" applyBorder="1"/>
    <xf numFmtId="2" fontId="0" fillId="54" borderId="12" xfId="0" applyNumberFormat="1" applyFill="1" applyBorder="1"/>
    <xf numFmtId="2" fontId="5" fillId="54" borderId="12" xfId="0" applyNumberFormat="1" applyFont="1" applyFill="1" applyBorder="1"/>
    <xf numFmtId="2" fontId="0" fillId="54" borderId="12" xfId="0" applyNumberFormat="1" applyFill="1" applyBorder="1" applyAlignment="1">
      <alignment horizontal="center"/>
    </xf>
    <xf numFmtId="0" fontId="110" fillId="76" borderId="245" xfId="0" applyFont="1" applyFill="1" applyBorder="1" applyAlignment="1">
      <alignment horizontal="center" vertical="center"/>
    </xf>
    <xf numFmtId="0" fontId="112" fillId="45" borderId="245" xfId="0" applyFont="1" applyFill="1" applyBorder="1" applyAlignment="1">
      <alignment horizontal="center" vertical="center"/>
    </xf>
    <xf numFmtId="0" fontId="119" fillId="59" borderId="245" xfId="0" applyFont="1" applyFill="1" applyBorder="1" applyAlignment="1">
      <alignment horizontal="center" vertical="center"/>
    </xf>
    <xf numFmtId="2" fontId="129" fillId="56" borderId="245" xfId="0" applyNumberFormat="1" applyFont="1" applyFill="1" applyBorder="1" applyAlignment="1">
      <alignment horizontal="center" vertical="center"/>
    </xf>
    <xf numFmtId="2" fontId="36" fillId="98" borderId="244" xfId="0" applyNumberFormat="1" applyFont="1" applyFill="1" applyBorder="1" applyAlignment="1">
      <alignment horizontal="center" vertical="center"/>
    </xf>
    <xf numFmtId="2" fontId="36" fillId="64" borderId="244" xfId="0" applyNumberFormat="1" applyFont="1" applyFill="1" applyBorder="1" applyAlignment="1">
      <alignment horizontal="center" vertical="center"/>
    </xf>
    <xf numFmtId="2" fontId="36" fillId="58" borderId="244" xfId="0" applyNumberFormat="1" applyFont="1" applyFill="1" applyBorder="1" applyAlignment="1">
      <alignment horizontal="center" vertical="center"/>
    </xf>
    <xf numFmtId="2" fontId="36" fillId="77" borderId="244" xfId="0" applyNumberFormat="1" applyFont="1" applyFill="1" applyBorder="1" applyAlignment="1">
      <alignment horizontal="center" vertical="center"/>
    </xf>
    <xf numFmtId="2" fontId="36" fillId="95" borderId="244" xfId="0" applyNumberFormat="1" applyFont="1" applyFill="1" applyBorder="1" applyAlignment="1">
      <alignment horizontal="center" vertical="center"/>
    </xf>
    <xf numFmtId="2" fontId="36" fillId="104" borderId="245" xfId="0" applyNumberFormat="1" applyFont="1" applyFill="1" applyBorder="1" applyAlignment="1">
      <alignment horizontal="center" vertical="center"/>
    </xf>
    <xf numFmtId="2" fontId="36" fillId="104" borderId="244" xfId="0" applyNumberFormat="1" applyFont="1" applyFill="1" applyBorder="1" applyAlignment="1">
      <alignment horizontal="center" vertical="center"/>
    </xf>
    <xf numFmtId="164" fontId="36" fillId="44" borderId="0" xfId="0" applyNumberFormat="1" applyFont="1" applyFill="1" applyAlignment="1">
      <alignment horizontal="center" vertical="center"/>
    </xf>
    <xf numFmtId="2" fontId="36" fillId="55" borderId="99" xfId="0" applyNumberFormat="1" applyFont="1" applyFill="1" applyBorder="1" applyAlignment="1">
      <alignment horizontal="center" vertical="center"/>
    </xf>
    <xf numFmtId="2" fontId="36" fillId="55" borderId="100" xfId="0" applyNumberFormat="1" applyFont="1" applyFill="1" applyBorder="1" applyAlignment="1">
      <alignment horizontal="center" vertical="center"/>
    </xf>
    <xf numFmtId="2" fontId="36" fillId="55" borderId="101" xfId="0" applyNumberFormat="1" applyFont="1" applyFill="1" applyBorder="1" applyAlignment="1">
      <alignment horizontal="center" vertical="center"/>
    </xf>
    <xf numFmtId="2" fontId="36" fillId="48" borderId="99" xfId="0" applyNumberFormat="1" applyFont="1" applyFill="1" applyBorder="1" applyAlignment="1">
      <alignment horizontal="center" vertical="center"/>
    </xf>
    <xf numFmtId="2" fontId="36" fillId="48" borderId="100" xfId="0" applyNumberFormat="1" applyFont="1" applyFill="1" applyBorder="1" applyAlignment="1">
      <alignment horizontal="center" vertical="center"/>
    </xf>
    <xf numFmtId="2" fontId="36" fillId="48" borderId="101" xfId="0" applyNumberFormat="1" applyFont="1" applyFill="1" applyBorder="1" applyAlignment="1">
      <alignment horizontal="center" vertical="center"/>
    </xf>
    <xf numFmtId="2" fontId="36" fillId="76" borderId="99" xfId="0" applyNumberFormat="1" applyFont="1" applyFill="1" applyBorder="1" applyAlignment="1">
      <alignment horizontal="center" vertical="center"/>
    </xf>
    <xf numFmtId="2" fontId="36" fillId="76" borderId="100" xfId="0" applyNumberFormat="1" applyFont="1" applyFill="1" applyBorder="1" applyAlignment="1">
      <alignment horizontal="center" vertical="center"/>
    </xf>
    <xf numFmtId="2" fontId="36" fillId="76" borderId="250" xfId="0" applyNumberFormat="1" applyFont="1" applyFill="1" applyBorder="1" applyAlignment="1">
      <alignment horizontal="center" vertical="center"/>
    </xf>
    <xf numFmtId="2" fontId="36" fillId="76" borderId="101" xfId="0" applyNumberFormat="1" applyFont="1" applyFill="1" applyBorder="1" applyAlignment="1">
      <alignment horizontal="center" vertical="center"/>
    </xf>
    <xf numFmtId="2" fontId="36" fillId="45" borderId="100" xfId="0" applyNumberFormat="1" applyFont="1" applyFill="1" applyBorder="1" applyAlignment="1">
      <alignment horizontal="center" vertical="center"/>
    </xf>
    <xf numFmtId="2" fontId="36" fillId="45" borderId="250" xfId="0" applyNumberFormat="1" applyFont="1" applyFill="1" applyBorder="1" applyAlignment="1">
      <alignment horizontal="center" vertical="center"/>
    </xf>
    <xf numFmtId="2" fontId="36" fillId="60" borderId="99" xfId="0" applyNumberFormat="1" applyFont="1" applyFill="1" applyBorder="1" applyAlignment="1">
      <alignment horizontal="center" vertical="center"/>
    </xf>
    <xf numFmtId="2" fontId="36" fillId="60" borderId="100" xfId="0" applyNumberFormat="1" applyFont="1" applyFill="1" applyBorder="1" applyAlignment="1">
      <alignment horizontal="center" vertical="center"/>
    </xf>
    <xf numFmtId="2" fontId="36" fillId="60" borderId="250" xfId="0" applyNumberFormat="1" applyFont="1" applyFill="1" applyBorder="1" applyAlignment="1">
      <alignment horizontal="center" vertical="center"/>
    </xf>
    <xf numFmtId="2" fontId="36" fillId="60" borderId="101" xfId="0" applyNumberFormat="1" applyFont="1" applyFill="1" applyBorder="1" applyAlignment="1">
      <alignment horizontal="center" vertical="center"/>
    </xf>
    <xf numFmtId="2" fontId="36" fillId="61" borderId="99" xfId="0" applyNumberFormat="1" applyFont="1" applyFill="1" applyBorder="1" applyAlignment="1">
      <alignment horizontal="center" vertical="center"/>
    </xf>
    <xf numFmtId="2" fontId="36" fillId="61" borderId="100" xfId="0" applyNumberFormat="1" applyFont="1" applyFill="1" applyBorder="1" applyAlignment="1">
      <alignment horizontal="center" vertical="center"/>
    </xf>
    <xf numFmtId="2" fontId="36" fillId="61" borderId="250" xfId="0" applyNumberFormat="1" applyFont="1" applyFill="1" applyBorder="1" applyAlignment="1">
      <alignment horizontal="center" vertical="center"/>
    </xf>
    <xf numFmtId="2" fontId="36" fillId="61" borderId="101" xfId="0" applyNumberFormat="1" applyFont="1" applyFill="1" applyBorder="1" applyAlignment="1">
      <alignment horizontal="center" vertical="center"/>
    </xf>
    <xf numFmtId="2" fontId="36" fillId="92" borderId="100" xfId="0" applyNumberFormat="1" applyFont="1" applyFill="1" applyBorder="1" applyAlignment="1">
      <alignment horizontal="center" vertical="center"/>
    </xf>
    <xf numFmtId="2" fontId="36" fillId="92" borderId="250" xfId="0" applyNumberFormat="1" applyFont="1" applyFill="1" applyBorder="1" applyAlignment="1">
      <alignment horizontal="center" vertical="center"/>
    </xf>
    <xf numFmtId="2" fontId="36" fillId="100" borderId="99" xfId="0" applyNumberFormat="1" applyFont="1" applyFill="1" applyBorder="1" applyAlignment="1">
      <alignment horizontal="center" vertical="center"/>
    </xf>
    <xf numFmtId="2" fontId="36" fillId="100" borderId="100" xfId="0" applyNumberFormat="1" applyFont="1" applyFill="1" applyBorder="1" applyAlignment="1">
      <alignment horizontal="center" vertical="center"/>
    </xf>
    <xf numFmtId="2" fontId="36" fillId="100" borderId="250" xfId="0" applyNumberFormat="1" applyFont="1" applyFill="1" applyBorder="1" applyAlignment="1">
      <alignment horizontal="center" vertical="center"/>
    </xf>
    <xf numFmtId="2" fontId="36" fillId="100" borderId="101" xfId="0" applyNumberFormat="1" applyFont="1" applyFill="1" applyBorder="1" applyAlignment="1">
      <alignment horizontal="center" vertical="center"/>
    </xf>
    <xf numFmtId="2" fontId="36" fillId="59" borderId="99" xfId="0" applyNumberFormat="1" applyFont="1" applyFill="1" applyBorder="1" applyAlignment="1">
      <alignment horizontal="center" vertical="center"/>
    </xf>
    <xf numFmtId="2" fontId="36" fillId="59" borderId="100" xfId="0" applyNumberFormat="1" applyFont="1" applyFill="1" applyBorder="1" applyAlignment="1">
      <alignment horizontal="center" vertical="center"/>
    </xf>
    <xf numFmtId="2" fontId="36" fillId="59" borderId="250" xfId="0" applyNumberFormat="1" applyFont="1" applyFill="1" applyBorder="1" applyAlignment="1">
      <alignment horizontal="center" vertical="center"/>
    </xf>
    <xf numFmtId="2" fontId="36" fillId="59" borderId="101" xfId="0" applyNumberFormat="1" applyFont="1" applyFill="1" applyBorder="1" applyAlignment="1">
      <alignment horizontal="center" vertical="center"/>
    </xf>
    <xf numFmtId="2" fontId="36" fillId="96" borderId="99" xfId="0" applyNumberFormat="1" applyFont="1" applyFill="1" applyBorder="1" applyAlignment="1">
      <alignment horizontal="center" vertical="center"/>
    </xf>
    <xf numFmtId="2" fontId="36" fillId="96" borderId="100" xfId="0" applyNumberFormat="1" applyFont="1" applyFill="1" applyBorder="1" applyAlignment="1">
      <alignment horizontal="center" vertical="center"/>
    </xf>
    <xf numFmtId="2" fontId="36" fillId="96" borderId="101" xfId="0" applyNumberFormat="1" applyFont="1" applyFill="1" applyBorder="1" applyAlignment="1">
      <alignment horizontal="center" vertical="center"/>
    </xf>
    <xf numFmtId="2" fontId="36" fillId="95" borderId="99" xfId="0" applyNumberFormat="1" applyFont="1" applyFill="1" applyBorder="1" applyAlignment="1">
      <alignment horizontal="center" vertical="center"/>
    </xf>
    <xf numFmtId="2" fontId="36" fillId="95" borderId="100" xfId="0" applyNumberFormat="1" applyFont="1" applyFill="1" applyBorder="1" applyAlignment="1">
      <alignment horizontal="center" vertical="center"/>
    </xf>
    <xf numFmtId="2" fontId="36" fillId="95" borderId="101" xfId="0" applyNumberFormat="1" applyFont="1" applyFill="1" applyBorder="1" applyAlignment="1">
      <alignment horizontal="center" vertical="center"/>
    </xf>
    <xf numFmtId="2" fontId="36" fillId="60" borderId="10" xfId="0" applyNumberFormat="1" applyFont="1" applyFill="1" applyBorder="1" applyAlignment="1">
      <alignment horizontal="center" vertical="center"/>
    </xf>
    <xf numFmtId="2" fontId="36" fillId="95" borderId="10" xfId="0" applyNumberFormat="1" applyFont="1" applyFill="1" applyBorder="1" applyAlignment="1">
      <alignment horizontal="center" vertical="center"/>
    </xf>
    <xf numFmtId="2" fontId="36" fillId="98" borderId="10" xfId="0" applyNumberFormat="1" applyFont="1" applyFill="1" applyBorder="1" applyAlignment="1">
      <alignment horizontal="center" vertical="center"/>
    </xf>
    <xf numFmtId="2" fontId="36" fillId="64" borderId="10" xfId="0" applyNumberFormat="1" applyFont="1" applyFill="1" applyBorder="1" applyAlignment="1">
      <alignment horizontal="center" vertical="center"/>
    </xf>
    <xf numFmtId="2" fontId="36" fillId="58" borderId="10" xfId="0" applyNumberFormat="1" applyFont="1" applyFill="1" applyBorder="1" applyAlignment="1">
      <alignment horizontal="center" vertical="center"/>
    </xf>
    <xf numFmtId="2" fontId="36" fillId="77" borderId="10" xfId="0" applyNumberFormat="1" applyFont="1" applyFill="1" applyBorder="1" applyAlignment="1">
      <alignment horizontal="center" vertical="center"/>
    </xf>
    <xf numFmtId="2" fontId="36" fillId="104" borderId="10" xfId="0" applyNumberFormat="1" applyFont="1" applyFill="1" applyBorder="1" applyAlignment="1">
      <alignment horizontal="center" vertical="center"/>
    </xf>
    <xf numFmtId="2" fontId="34" fillId="85" borderId="248" xfId="0" applyNumberFormat="1" applyFont="1" applyFill="1" applyBorder="1" applyAlignment="1">
      <alignment horizontal="center" vertical="center" wrapText="1"/>
    </xf>
    <xf numFmtId="2" fontId="36" fillId="55" borderId="81" xfId="0" applyNumberFormat="1" applyFont="1" applyFill="1" applyBorder="1" applyAlignment="1">
      <alignment horizontal="center" vertical="center" wrapText="1"/>
    </xf>
    <xf numFmtId="2" fontId="36" fillId="55" borderId="82" xfId="0" applyNumberFormat="1" applyFont="1" applyFill="1" applyBorder="1" applyAlignment="1">
      <alignment horizontal="center" vertical="center" wrapText="1"/>
    </xf>
    <xf numFmtId="2" fontId="36" fillId="55" borderId="80" xfId="0" applyNumberFormat="1" applyFont="1" applyFill="1" applyBorder="1" applyAlignment="1">
      <alignment horizontal="center" vertical="center" wrapText="1"/>
    </xf>
    <xf numFmtId="2" fontId="36" fillId="48" borderId="81" xfId="0" applyNumberFormat="1" applyFont="1" applyFill="1" applyBorder="1" applyAlignment="1">
      <alignment horizontal="center" vertical="center" wrapText="1"/>
    </xf>
    <xf numFmtId="2" fontId="36" fillId="48" borderId="82" xfId="0" applyNumberFormat="1" applyFont="1" applyFill="1" applyBorder="1" applyAlignment="1">
      <alignment horizontal="center" vertical="center" wrapText="1"/>
    </xf>
    <xf numFmtId="2" fontId="36" fillId="48" borderId="80" xfId="0" applyNumberFormat="1" applyFont="1" applyFill="1" applyBorder="1" applyAlignment="1">
      <alignment horizontal="center" vertical="center" wrapText="1"/>
    </xf>
    <xf numFmtId="2" fontId="36" fillId="76" borderId="126" xfId="0" applyNumberFormat="1" applyFont="1" applyFill="1" applyBorder="1" applyAlignment="1">
      <alignment horizontal="center" vertical="center" wrapText="1"/>
    </xf>
    <xf numFmtId="2" fontId="36" fillId="76" borderId="127" xfId="0" applyNumberFormat="1" applyFont="1" applyFill="1" applyBorder="1" applyAlignment="1">
      <alignment horizontal="center" vertical="center" wrapText="1"/>
    </xf>
    <xf numFmtId="2" fontId="36" fillId="76" borderId="208" xfId="0" applyNumberFormat="1" applyFont="1" applyFill="1" applyBorder="1" applyAlignment="1">
      <alignment horizontal="center" vertical="center" wrapText="1"/>
    </xf>
    <xf numFmtId="2" fontId="36" fillId="76" borderId="128" xfId="0" applyNumberFormat="1" applyFont="1" applyFill="1" applyBorder="1" applyAlignment="1">
      <alignment horizontal="center" vertical="center" wrapText="1"/>
    </xf>
    <xf numFmtId="2" fontId="36" fillId="45" borderId="126" xfId="0" applyNumberFormat="1" applyFont="1" applyFill="1" applyBorder="1" applyAlignment="1">
      <alignment horizontal="center" vertical="center" wrapText="1"/>
    </xf>
    <xf numFmtId="2" fontId="36" fillId="45" borderId="127" xfId="0" applyNumberFormat="1" applyFont="1" applyFill="1" applyBorder="1" applyAlignment="1">
      <alignment horizontal="center" vertical="center" wrapText="1"/>
    </xf>
    <xf numFmtId="2" fontId="36" fillId="45" borderId="208" xfId="0" applyNumberFormat="1" applyFont="1" applyFill="1" applyBorder="1" applyAlignment="1">
      <alignment horizontal="center" vertical="center" wrapText="1"/>
    </xf>
    <xf numFmtId="2" fontId="36" fillId="45" borderId="128" xfId="0" applyNumberFormat="1" applyFont="1" applyFill="1" applyBorder="1" applyAlignment="1">
      <alignment horizontal="center" vertical="center" wrapText="1"/>
    </xf>
    <xf numFmtId="2" fontId="36" fillId="60" borderId="126" xfId="0" applyNumberFormat="1" applyFont="1" applyFill="1" applyBorder="1" applyAlignment="1">
      <alignment horizontal="center" vertical="center" wrapText="1"/>
    </xf>
    <xf numFmtId="2" fontId="36" fillId="60" borderId="127" xfId="0" applyNumberFormat="1" applyFont="1" applyFill="1" applyBorder="1" applyAlignment="1">
      <alignment horizontal="center" vertical="center" wrapText="1"/>
    </xf>
    <xf numFmtId="2" fontId="36" fillId="60" borderId="208" xfId="0" applyNumberFormat="1" applyFont="1" applyFill="1" applyBorder="1" applyAlignment="1">
      <alignment horizontal="center" vertical="center" wrapText="1"/>
    </xf>
    <xf numFmtId="2" fontId="36" fillId="60" borderId="128" xfId="0" applyNumberFormat="1" applyFont="1" applyFill="1" applyBorder="1" applyAlignment="1">
      <alignment horizontal="center" vertical="center" wrapText="1"/>
    </xf>
    <xf numFmtId="2" fontId="36" fillId="61" borderId="126" xfId="0" applyNumberFormat="1" applyFont="1" applyFill="1" applyBorder="1" applyAlignment="1">
      <alignment horizontal="center" vertical="center" wrapText="1"/>
    </xf>
    <xf numFmtId="2" fontId="36" fillId="61" borderId="127" xfId="0" applyNumberFormat="1" applyFont="1" applyFill="1" applyBorder="1" applyAlignment="1">
      <alignment horizontal="center" vertical="center" wrapText="1"/>
    </xf>
    <xf numFmtId="2" fontId="36" fillId="61" borderId="208" xfId="0" applyNumberFormat="1" applyFont="1" applyFill="1" applyBorder="1" applyAlignment="1">
      <alignment horizontal="center" vertical="center" wrapText="1"/>
    </xf>
    <xf numFmtId="2" fontId="36" fillId="61" borderId="128" xfId="0" applyNumberFormat="1" applyFont="1" applyFill="1" applyBorder="1" applyAlignment="1">
      <alignment horizontal="center" vertical="center" wrapText="1"/>
    </xf>
    <xf numFmtId="2" fontId="36" fillId="92" borderId="126" xfId="0" applyNumberFormat="1" applyFont="1" applyFill="1" applyBorder="1" applyAlignment="1">
      <alignment horizontal="center" vertical="center" wrapText="1"/>
    </xf>
    <xf numFmtId="2" fontId="36" fillId="92" borderId="127" xfId="0" applyNumberFormat="1" applyFont="1" applyFill="1" applyBorder="1" applyAlignment="1">
      <alignment horizontal="center" vertical="center" wrapText="1"/>
    </xf>
    <xf numFmtId="2" fontId="36" fillId="92" borderId="208" xfId="0" applyNumberFormat="1" applyFont="1" applyFill="1" applyBorder="1" applyAlignment="1">
      <alignment horizontal="center" vertical="center" wrapText="1"/>
    </xf>
    <xf numFmtId="2" fontId="36" fillId="92" borderId="128" xfId="0" applyNumberFormat="1" applyFont="1" applyFill="1" applyBorder="1" applyAlignment="1">
      <alignment horizontal="center" vertical="center" wrapText="1"/>
    </xf>
    <xf numFmtId="2" fontId="36" fillId="100" borderId="126" xfId="0" applyNumberFormat="1" applyFont="1" applyFill="1" applyBorder="1" applyAlignment="1">
      <alignment horizontal="center" vertical="center" wrapText="1"/>
    </xf>
    <xf numFmtId="2" fontId="36" fillId="100" borderId="127" xfId="0" applyNumberFormat="1" applyFont="1" applyFill="1" applyBorder="1" applyAlignment="1">
      <alignment horizontal="center" vertical="center" wrapText="1"/>
    </xf>
    <xf numFmtId="2" fontId="36" fillId="100" borderId="208" xfId="0" applyNumberFormat="1" applyFont="1" applyFill="1" applyBorder="1" applyAlignment="1">
      <alignment horizontal="center" vertical="center" wrapText="1"/>
    </xf>
    <xf numFmtId="2" fontId="36" fillId="100" borderId="128" xfId="0" applyNumberFormat="1" applyFont="1" applyFill="1" applyBorder="1" applyAlignment="1">
      <alignment horizontal="center" vertical="center" wrapText="1"/>
    </xf>
    <xf numFmtId="2" fontId="36" fillId="59" borderId="126" xfId="0" applyNumberFormat="1" applyFont="1" applyFill="1" applyBorder="1" applyAlignment="1">
      <alignment horizontal="center" vertical="center" wrapText="1"/>
    </xf>
    <xf numFmtId="2" fontId="36" fillId="59" borderId="127" xfId="0" applyNumberFormat="1" applyFont="1" applyFill="1" applyBorder="1" applyAlignment="1">
      <alignment horizontal="center" vertical="center" wrapText="1"/>
    </xf>
    <xf numFmtId="2" fontId="36" fillId="59" borderId="208" xfId="0" applyNumberFormat="1" applyFont="1" applyFill="1" applyBorder="1" applyAlignment="1">
      <alignment horizontal="center" vertical="center" wrapText="1"/>
    </xf>
    <xf numFmtId="2" fontId="36" fillId="59" borderId="128" xfId="0" applyNumberFormat="1" applyFont="1" applyFill="1" applyBorder="1" applyAlignment="1">
      <alignment horizontal="center" vertical="center" wrapText="1"/>
    </xf>
    <xf numFmtId="2" fontId="36" fillId="55" borderId="126" xfId="0" applyNumberFormat="1" applyFont="1" applyFill="1" applyBorder="1" applyAlignment="1">
      <alignment horizontal="center" vertical="center" wrapText="1"/>
    </xf>
    <xf numFmtId="2" fontId="36" fillId="55" borderId="127" xfId="0" applyNumberFormat="1" applyFont="1" applyFill="1" applyBorder="1" applyAlignment="1">
      <alignment horizontal="center" vertical="center" wrapText="1"/>
    </xf>
    <xf numFmtId="2" fontId="36" fillId="55" borderId="128" xfId="0" applyNumberFormat="1" applyFont="1" applyFill="1" applyBorder="1" applyAlignment="1">
      <alignment horizontal="center" vertical="center" wrapText="1"/>
    </xf>
    <xf numFmtId="2" fontId="36" fillId="95" borderId="126" xfId="0" applyNumberFormat="1" applyFont="1" applyFill="1" applyBorder="1" applyAlignment="1">
      <alignment horizontal="center" vertical="center" wrapText="1"/>
    </xf>
    <xf numFmtId="2" fontId="36" fillId="95" borderId="127" xfId="0" applyNumberFormat="1" applyFont="1" applyFill="1" applyBorder="1" applyAlignment="1">
      <alignment horizontal="center" vertical="center" wrapText="1"/>
    </xf>
    <xf numFmtId="2" fontId="36" fillId="95" borderId="128" xfId="0" applyNumberFormat="1" applyFont="1" applyFill="1" applyBorder="1" applyAlignment="1">
      <alignment horizontal="center" vertical="center" wrapText="1"/>
    </xf>
    <xf numFmtId="2" fontId="116" fillId="60" borderId="248" xfId="0" applyNumberFormat="1" applyFont="1" applyFill="1" applyBorder="1" applyAlignment="1">
      <alignment horizontal="center" vertical="center"/>
    </xf>
    <xf numFmtId="2" fontId="36" fillId="60" borderId="29" xfId="0" applyNumberFormat="1" applyFont="1" applyFill="1" applyBorder="1" applyAlignment="1">
      <alignment horizontal="center" vertical="center"/>
    </xf>
    <xf numFmtId="2" fontId="116" fillId="60" borderId="29" xfId="0" applyNumberFormat="1" applyFont="1" applyFill="1" applyBorder="1" applyAlignment="1">
      <alignment horizontal="center" vertical="center"/>
    </xf>
    <xf numFmtId="2" fontId="116" fillId="60" borderId="68" xfId="0" applyNumberFormat="1" applyFont="1" applyFill="1" applyBorder="1" applyAlignment="1">
      <alignment horizontal="center" vertical="center"/>
    </xf>
    <xf numFmtId="2" fontId="36" fillId="46" borderId="28" xfId="0" applyNumberFormat="1" applyFont="1" applyFill="1" applyBorder="1" applyAlignment="1">
      <alignment horizontal="center" vertical="center"/>
    </xf>
    <xf numFmtId="2" fontId="129" fillId="56" borderId="248" xfId="0" applyNumberFormat="1" applyFont="1" applyFill="1" applyBorder="1" applyAlignment="1">
      <alignment horizontal="center" vertical="center"/>
    </xf>
    <xf numFmtId="2" fontId="126" fillId="95" borderId="248" xfId="0" quotePrefix="1" applyNumberFormat="1" applyFont="1" applyFill="1" applyBorder="1" applyAlignment="1">
      <alignment horizontal="center" vertical="center"/>
    </xf>
    <xf numFmtId="2" fontId="36" fillId="95" borderId="29" xfId="0" applyNumberFormat="1" applyFont="1" applyFill="1" applyBorder="1" applyAlignment="1">
      <alignment horizontal="center" vertical="center"/>
    </xf>
    <xf numFmtId="2" fontId="126" fillId="95" borderId="29" xfId="0" applyNumberFormat="1" applyFont="1" applyFill="1" applyBorder="1" applyAlignment="1">
      <alignment horizontal="center" vertical="center"/>
    </xf>
    <xf numFmtId="2" fontId="126" fillId="95" borderId="68" xfId="0" applyNumberFormat="1" applyFont="1" applyFill="1" applyBorder="1" applyAlignment="1">
      <alignment horizontal="center" vertical="center"/>
    </xf>
    <xf numFmtId="2" fontId="36" fillId="103" borderId="28" xfId="0" applyNumberFormat="1" applyFont="1" applyFill="1" applyBorder="1" applyAlignment="1">
      <alignment horizontal="center" vertical="center"/>
    </xf>
    <xf numFmtId="2" fontId="36" fillId="104" borderId="248" xfId="0" applyNumberFormat="1" applyFont="1" applyFill="1" applyBorder="1" applyAlignment="1">
      <alignment horizontal="center" vertical="center"/>
    </xf>
    <xf numFmtId="2" fontId="131" fillId="98" borderId="248" xfId="0" quotePrefix="1" applyNumberFormat="1" applyFont="1" applyFill="1" applyBorder="1" applyAlignment="1">
      <alignment horizontal="center" vertical="center"/>
    </xf>
    <xf numFmtId="2" fontId="36" fillId="98" borderId="29" xfId="0" applyNumberFormat="1" applyFont="1" applyFill="1" applyBorder="1" applyAlignment="1">
      <alignment horizontal="center" vertical="center"/>
    </xf>
    <xf numFmtId="2" fontId="131" fillId="98" borderId="29" xfId="0" applyNumberFormat="1" applyFont="1" applyFill="1" applyBorder="1" applyAlignment="1">
      <alignment horizontal="center" vertical="center"/>
    </xf>
    <xf numFmtId="2" fontId="131" fillId="98" borderId="68" xfId="0" applyNumberFormat="1" applyFont="1" applyFill="1" applyBorder="1" applyAlignment="1">
      <alignment horizontal="center" vertical="center"/>
    </xf>
    <xf numFmtId="2" fontId="36" fillId="106" borderId="28" xfId="0" applyNumberFormat="1" applyFont="1" applyFill="1" applyBorder="1" applyAlignment="1">
      <alignment horizontal="center" vertical="center"/>
    </xf>
    <xf numFmtId="2" fontId="36" fillId="105" borderId="248" xfId="0" applyNumberFormat="1" applyFont="1" applyFill="1" applyBorder="1" applyAlignment="1">
      <alignment horizontal="center" vertical="center"/>
    </xf>
    <xf numFmtId="2" fontId="36" fillId="105" borderId="68" xfId="0" applyNumberFormat="1" applyFont="1" applyFill="1" applyBorder="1" applyAlignment="1">
      <alignment horizontal="center" vertical="center"/>
    </xf>
    <xf numFmtId="2" fontId="132" fillId="64" borderId="248" xfId="0" quotePrefix="1" applyNumberFormat="1" applyFont="1" applyFill="1" applyBorder="1" applyAlignment="1">
      <alignment horizontal="center" vertical="center"/>
    </xf>
    <xf numFmtId="2" fontId="36" fillId="64" borderId="29" xfId="0" applyNumberFormat="1" applyFont="1" applyFill="1" applyBorder="1" applyAlignment="1">
      <alignment horizontal="center" vertical="center"/>
    </xf>
    <xf numFmtId="2" fontId="132" fillId="64" borderId="29" xfId="0" applyNumberFormat="1" applyFont="1" applyFill="1" applyBorder="1" applyAlignment="1">
      <alignment horizontal="center" vertical="center"/>
    </xf>
    <xf numFmtId="2" fontId="132" fillId="64" borderId="68" xfId="0" applyNumberFormat="1" applyFont="1" applyFill="1" applyBorder="1" applyAlignment="1">
      <alignment horizontal="center" vertical="center"/>
    </xf>
    <xf numFmtId="2" fontId="36" fillId="61" borderId="28" xfId="0" applyNumberFormat="1" applyFont="1" applyFill="1" applyBorder="1" applyAlignment="1">
      <alignment horizontal="center" vertical="center"/>
    </xf>
    <xf numFmtId="2" fontId="36" fillId="54" borderId="248" xfId="0" applyNumberFormat="1" applyFont="1" applyFill="1" applyBorder="1" applyAlignment="1">
      <alignment horizontal="center" vertical="center"/>
    </xf>
    <xf numFmtId="2" fontId="36" fillId="54" borderId="68" xfId="0" applyNumberFormat="1" applyFont="1" applyFill="1" applyBorder="1" applyAlignment="1">
      <alignment horizontal="center" vertical="center"/>
    </xf>
    <xf numFmtId="2" fontId="133" fillId="58" borderId="29" xfId="0" quotePrefix="1" applyNumberFormat="1" applyFont="1" applyFill="1" applyBorder="1" applyAlignment="1">
      <alignment horizontal="center" vertical="center"/>
    </xf>
    <xf numFmtId="2" fontId="36" fillId="58" borderId="29" xfId="0" applyNumberFormat="1" applyFont="1" applyFill="1" applyBorder="1" applyAlignment="1">
      <alignment horizontal="center" vertical="center"/>
    </xf>
    <xf numFmtId="2" fontId="133" fillId="58" borderId="29" xfId="0" applyNumberFormat="1" applyFont="1" applyFill="1" applyBorder="1" applyAlignment="1">
      <alignment horizontal="center" vertical="center"/>
    </xf>
    <xf numFmtId="2" fontId="133" fillId="58" borderId="68" xfId="0" applyNumberFormat="1" applyFont="1" applyFill="1" applyBorder="1" applyAlignment="1">
      <alignment horizontal="center" vertical="center"/>
    </xf>
    <xf numFmtId="2" fontId="36" fillId="55" borderId="28" xfId="0" applyNumberFormat="1" applyFont="1" applyFill="1" applyBorder="1" applyAlignment="1">
      <alignment horizontal="center" vertical="center"/>
    </xf>
    <xf numFmtId="2" fontId="36" fillId="48" borderId="248" xfId="0" applyNumberFormat="1" applyFont="1" applyFill="1" applyBorder="1" applyAlignment="1">
      <alignment horizontal="center" vertical="center"/>
    </xf>
    <xf numFmtId="2" fontId="36" fillId="48" borderId="68" xfId="0" applyNumberFormat="1" applyFont="1" applyFill="1" applyBorder="1" applyAlignment="1">
      <alignment horizontal="center" vertical="center"/>
    </xf>
    <xf numFmtId="2" fontId="133" fillId="58" borderId="248" xfId="0" quotePrefix="1" applyNumberFormat="1" applyFont="1" applyFill="1" applyBorder="1" applyAlignment="1">
      <alignment horizontal="center" vertical="center"/>
    </xf>
    <xf numFmtId="2" fontId="134" fillId="77" borderId="29" xfId="0" quotePrefix="1" applyNumberFormat="1" applyFont="1" applyFill="1" applyBorder="1" applyAlignment="1">
      <alignment horizontal="center" vertical="center"/>
    </xf>
    <xf numFmtId="2" fontId="36" fillId="77" borderId="29" xfId="0" applyNumberFormat="1" applyFont="1" applyFill="1" applyBorder="1" applyAlignment="1">
      <alignment horizontal="center" vertical="center"/>
    </xf>
    <xf numFmtId="2" fontId="134" fillId="77" borderId="29" xfId="0" applyNumberFormat="1" applyFont="1" applyFill="1" applyBorder="1" applyAlignment="1">
      <alignment horizontal="center" vertical="center"/>
    </xf>
    <xf numFmtId="2" fontId="134" fillId="77" borderId="68" xfId="0" applyNumberFormat="1" applyFont="1" applyFill="1" applyBorder="1" applyAlignment="1">
      <alignment horizontal="center" vertical="center"/>
    </xf>
    <xf numFmtId="2" fontId="36" fillId="76" borderId="28" xfId="0" applyNumberFormat="1" applyFont="1" applyFill="1" applyBorder="1" applyAlignment="1">
      <alignment horizontal="center" vertical="center"/>
    </xf>
    <xf numFmtId="2" fontId="36" fillId="45" borderId="248" xfId="0" applyNumberFormat="1" applyFont="1" applyFill="1" applyBorder="1" applyAlignment="1">
      <alignment horizontal="center" vertical="center"/>
    </xf>
    <xf numFmtId="2" fontId="36" fillId="45" borderId="68" xfId="0" applyNumberFormat="1" applyFont="1" applyFill="1" applyBorder="1" applyAlignment="1">
      <alignment horizontal="center" vertical="center"/>
    </xf>
    <xf numFmtId="2" fontId="134" fillId="77" borderId="248" xfId="0" quotePrefix="1" applyNumberFormat="1" applyFont="1" applyFill="1" applyBorder="1" applyAlignment="1">
      <alignment horizontal="center" vertical="center"/>
    </xf>
    <xf numFmtId="2" fontId="131" fillId="98" borderId="29" xfId="0" quotePrefix="1" applyNumberFormat="1" applyFont="1" applyFill="1" applyBorder="1" applyAlignment="1">
      <alignment horizontal="center" vertical="center"/>
    </xf>
    <xf numFmtId="2" fontId="132" fillId="64" borderId="29" xfId="0" quotePrefix="1" applyNumberFormat="1" applyFont="1" applyFill="1" applyBorder="1" applyAlignment="1">
      <alignment horizontal="center" vertical="center"/>
    </xf>
    <xf numFmtId="2" fontId="36" fillId="104" borderId="248" xfId="0" quotePrefix="1" applyNumberFormat="1" applyFont="1" applyFill="1" applyBorder="1" applyAlignment="1">
      <alignment horizontal="center" vertical="center"/>
    </xf>
    <xf numFmtId="2" fontId="36" fillId="103" borderId="68" xfId="0" applyNumberFormat="1" applyFont="1" applyFill="1" applyBorder="1" applyAlignment="1">
      <alignment horizontal="center" vertical="center"/>
    </xf>
    <xf numFmtId="2" fontId="36" fillId="98" borderId="248" xfId="0" quotePrefix="1" applyNumberFormat="1" applyFont="1" applyFill="1" applyBorder="1" applyAlignment="1">
      <alignment horizontal="center" vertical="center"/>
    </xf>
    <xf numFmtId="2" fontId="36" fillId="105" borderId="28" xfId="0" applyNumberFormat="1" applyFont="1" applyFill="1" applyBorder="1" applyAlignment="1">
      <alignment horizontal="center" vertical="center"/>
    </xf>
    <xf numFmtId="2" fontId="34" fillId="26" borderId="245" xfId="0" applyNumberFormat="1" applyFont="1" applyFill="1" applyBorder="1" applyAlignment="1">
      <alignment horizontal="center" vertical="center" wrapText="1"/>
    </xf>
    <xf numFmtId="2" fontId="36" fillId="60" borderId="245" xfId="0" applyNumberFormat="1" applyFont="1" applyFill="1" applyBorder="1" applyAlignment="1">
      <alignment horizontal="center" vertical="center"/>
    </xf>
    <xf numFmtId="2" fontId="36" fillId="46" borderId="244" xfId="0" applyNumberFormat="1" applyFont="1" applyFill="1" applyBorder="1" applyAlignment="1">
      <alignment horizontal="center" vertical="center"/>
    </xf>
    <xf numFmtId="2" fontId="116" fillId="60" borderId="245" xfId="0" applyNumberFormat="1" applyFont="1" applyFill="1" applyBorder="1" applyAlignment="1">
      <alignment horizontal="center" vertical="center"/>
    </xf>
    <xf numFmtId="2" fontId="126" fillId="95" borderId="245" xfId="0" quotePrefix="1" applyNumberFormat="1" applyFont="1" applyFill="1" applyBorder="1" applyAlignment="1">
      <alignment horizontal="center" vertical="center"/>
    </xf>
    <xf numFmtId="2" fontId="36" fillId="103" borderId="244" xfId="0" applyNumberFormat="1" applyFont="1" applyFill="1" applyBorder="1" applyAlignment="1">
      <alignment horizontal="center" vertical="center"/>
    </xf>
    <xf numFmtId="2" fontId="131" fillId="98" borderId="245" xfId="0" quotePrefix="1" applyNumberFormat="1" applyFont="1" applyFill="1" applyBorder="1" applyAlignment="1">
      <alignment horizontal="center" vertical="center"/>
    </xf>
    <xf numFmtId="2" fontId="36" fillId="106" borderId="244" xfId="0" applyNumberFormat="1" applyFont="1" applyFill="1" applyBorder="1" applyAlignment="1">
      <alignment horizontal="center" vertical="center"/>
    </xf>
    <xf numFmtId="2" fontId="36" fillId="105" borderId="245" xfId="0" applyNumberFormat="1" applyFont="1" applyFill="1" applyBorder="1" applyAlignment="1">
      <alignment horizontal="center" vertical="center"/>
    </xf>
    <xf numFmtId="2" fontId="132" fillId="64" borderId="245" xfId="0" quotePrefix="1" applyNumberFormat="1" applyFont="1" applyFill="1" applyBorder="1" applyAlignment="1">
      <alignment horizontal="center" vertical="center"/>
    </xf>
    <xf numFmtId="2" fontId="36" fillId="61" borderId="244" xfId="0" applyNumberFormat="1" applyFont="1" applyFill="1" applyBorder="1" applyAlignment="1">
      <alignment horizontal="center" vertical="center"/>
    </xf>
    <xf numFmtId="2" fontId="36" fillId="54" borderId="245" xfId="0" applyNumberFormat="1" applyFont="1" applyFill="1" applyBorder="1" applyAlignment="1">
      <alignment horizontal="center" vertical="center"/>
    </xf>
    <xf numFmtId="2" fontId="36" fillId="55" borderId="244" xfId="0" applyNumberFormat="1" applyFont="1" applyFill="1" applyBorder="1" applyAlignment="1">
      <alignment horizontal="center" vertical="center"/>
    </xf>
    <xf numFmtId="2" fontId="36" fillId="48" borderId="245" xfId="0" applyNumberFormat="1" applyFont="1" applyFill="1" applyBorder="1" applyAlignment="1">
      <alignment horizontal="center" vertical="center"/>
    </xf>
    <xf numFmtId="2" fontId="133" fillId="58" borderId="245" xfId="0" quotePrefix="1" applyNumberFormat="1" applyFont="1" applyFill="1" applyBorder="1" applyAlignment="1">
      <alignment horizontal="center" vertical="center"/>
    </xf>
    <xf numFmtId="2" fontId="36" fillId="76" borderId="244" xfId="0" applyNumberFormat="1" applyFont="1" applyFill="1" applyBorder="1" applyAlignment="1">
      <alignment horizontal="center" vertical="center"/>
    </xf>
    <xf numFmtId="2" fontId="36" fillId="45" borderId="245" xfId="0" applyNumberFormat="1" applyFont="1" applyFill="1" applyBorder="1" applyAlignment="1">
      <alignment horizontal="center" vertical="center"/>
    </xf>
    <xf numFmtId="2" fontId="134" fillId="77" borderId="245" xfId="0" quotePrefix="1" applyNumberFormat="1" applyFont="1" applyFill="1" applyBorder="1" applyAlignment="1">
      <alignment horizontal="center" vertical="center"/>
    </xf>
    <xf numFmtId="2" fontId="36" fillId="104" borderId="245" xfId="0" quotePrefix="1" applyNumberFormat="1" applyFont="1" applyFill="1" applyBorder="1" applyAlignment="1">
      <alignment horizontal="center" vertical="center"/>
    </xf>
    <xf numFmtId="2" fontId="36" fillId="98" borderId="245" xfId="0" quotePrefix="1" applyNumberFormat="1" applyFont="1" applyFill="1" applyBorder="1" applyAlignment="1">
      <alignment horizontal="center" vertical="center"/>
    </xf>
    <xf numFmtId="2" fontId="36" fillId="105" borderId="244" xfId="0" applyNumberFormat="1" applyFont="1" applyFill="1" applyBorder="1" applyAlignment="1">
      <alignment horizontal="center" vertical="center"/>
    </xf>
    <xf numFmtId="0" fontId="34" fillId="94" borderId="72" xfId="0" applyFont="1" applyFill="1" applyBorder="1" applyAlignment="1">
      <alignment horizontal="center" vertical="center"/>
    </xf>
    <xf numFmtId="0" fontId="34" fillId="94" borderId="74" xfId="0" applyFont="1" applyFill="1" applyBorder="1" applyAlignment="1">
      <alignment horizontal="center" vertical="center"/>
    </xf>
    <xf numFmtId="0" fontId="34" fillId="94" borderId="75" xfId="0" applyFont="1" applyFill="1" applyBorder="1" applyAlignment="1">
      <alignment horizontal="center" vertical="center"/>
    </xf>
    <xf numFmtId="0" fontId="34" fillId="94" borderId="86" xfId="0" applyFont="1" applyFill="1" applyBorder="1" applyAlignment="1">
      <alignment horizontal="center" vertical="center"/>
    </xf>
    <xf numFmtId="0" fontId="34" fillId="94" borderId="158" xfId="0" applyFont="1" applyFill="1" applyBorder="1" applyAlignment="1">
      <alignment horizontal="center" vertical="center"/>
    </xf>
    <xf numFmtId="0" fontId="34" fillId="94" borderId="88" xfId="0" applyFont="1" applyFill="1" applyBorder="1" applyAlignment="1">
      <alignment horizontal="center" vertical="center"/>
    </xf>
    <xf numFmtId="0" fontId="34" fillId="44" borderId="0" xfId="0" applyFont="1" applyFill="1" applyAlignment="1">
      <alignment horizontal="center" vertical="center"/>
    </xf>
    <xf numFmtId="0" fontId="5" fillId="48" borderId="12" xfId="0" applyFont="1" applyFill="1" applyBorder="1" applyAlignment="1">
      <alignment horizontal="center" vertical="top"/>
    </xf>
    <xf numFmtId="1" fontId="34" fillId="95" borderId="14" xfId="0" applyNumberFormat="1" applyFont="1" applyFill="1" applyBorder="1" applyAlignment="1">
      <alignment horizontal="center" vertical="center" wrapText="1"/>
    </xf>
    <xf numFmtId="1" fontId="36" fillId="94" borderId="96" xfId="0" applyNumberFormat="1" applyFont="1" applyFill="1" applyBorder="1" applyAlignment="1">
      <alignment horizontal="center" vertical="center"/>
    </xf>
    <xf numFmtId="1" fontId="36" fillId="94" borderId="83" xfId="0" applyNumberFormat="1" applyFont="1" applyFill="1" applyBorder="1" applyAlignment="1">
      <alignment horizontal="center" vertical="center"/>
    </xf>
    <xf numFmtId="1" fontId="36" fillId="94" borderId="85" xfId="0" applyNumberFormat="1" applyFont="1" applyFill="1" applyBorder="1" applyAlignment="1">
      <alignment horizontal="center" vertical="center"/>
    </xf>
    <xf numFmtId="1" fontId="36" fillId="94" borderId="154" xfId="0" applyNumberFormat="1" applyFont="1" applyFill="1" applyBorder="1" applyAlignment="1">
      <alignment horizontal="center" vertical="center"/>
    </xf>
    <xf numFmtId="1" fontId="35" fillId="44" borderId="0" xfId="0" applyNumberFormat="1" applyFont="1" applyFill="1" applyAlignment="1">
      <alignment horizontal="center" vertical="center"/>
    </xf>
    <xf numFmtId="1" fontId="35" fillId="0" borderId="0" xfId="0" applyNumberFormat="1" applyFont="1" applyAlignment="1">
      <alignment horizontal="center" vertical="center"/>
    </xf>
    <xf numFmtId="0" fontId="36" fillId="48" borderId="12" xfId="0" applyFont="1" applyFill="1" applyBorder="1" applyAlignment="1">
      <alignment horizontal="center"/>
    </xf>
    <xf numFmtId="168" fontId="36" fillId="0" borderId="0" xfId="0" applyNumberFormat="1" applyFont="1" applyAlignment="1">
      <alignment horizontal="center" vertical="center"/>
    </xf>
    <xf numFmtId="0" fontId="5" fillId="48" borderId="12" xfId="0" applyFont="1" applyFill="1" applyBorder="1" applyAlignment="1">
      <alignment horizontal="center"/>
    </xf>
    <xf numFmtId="2" fontId="14" fillId="51" borderId="14" xfId="0" applyNumberFormat="1" applyFont="1" applyFill="1" applyBorder="1" applyAlignment="1">
      <alignment horizontal="center" vertical="center"/>
    </xf>
    <xf numFmtId="10" fontId="34" fillId="49" borderId="14" xfId="0" applyNumberFormat="1" applyFont="1" applyFill="1" applyBorder="1" applyAlignment="1">
      <alignment horizontal="center" vertical="center" wrapText="1"/>
    </xf>
    <xf numFmtId="10" fontId="36" fillId="44" borderId="0" xfId="0" applyNumberFormat="1" applyFont="1" applyFill="1" applyAlignment="1">
      <alignment horizontal="center" vertical="center"/>
    </xf>
    <xf numFmtId="10" fontId="36" fillId="0" borderId="0" xfId="0" applyNumberFormat="1" applyFont="1" applyAlignment="1">
      <alignment horizontal="center" vertical="center"/>
    </xf>
    <xf numFmtId="10" fontId="34" fillId="49" borderId="12" xfId="0" applyNumberFormat="1" applyFont="1" applyFill="1" applyBorder="1" applyAlignment="1">
      <alignment horizontal="center" vertical="center" wrapText="1"/>
    </xf>
    <xf numFmtId="49" fontId="14" fillId="51" borderId="14" xfId="0" applyNumberFormat="1" applyFont="1" applyFill="1" applyBorder="1" applyAlignment="1">
      <alignment horizontal="center" vertical="center"/>
    </xf>
    <xf numFmtId="49" fontId="0" fillId="43" borderId="12" xfId="0" applyNumberFormat="1" applyFill="1" applyBorder="1" applyAlignment="1">
      <alignment horizontal="center" vertical="top"/>
    </xf>
    <xf numFmtId="49" fontId="0" fillId="43" borderId="12" xfId="0" applyNumberFormat="1" applyFill="1" applyBorder="1" applyAlignment="1">
      <alignment horizontal="center" vertical="top" wrapText="1"/>
    </xf>
    <xf numFmtId="49" fontId="0" fillId="43" borderId="12" xfId="0" applyNumberFormat="1" applyFill="1" applyBorder="1" applyAlignment="1">
      <alignment horizontal="center"/>
    </xf>
    <xf numFmtId="168" fontId="5" fillId="0" borderId="0" xfId="0" applyNumberFormat="1" applyFont="1" applyAlignment="1">
      <alignment horizontal="center" vertical="center"/>
    </xf>
    <xf numFmtId="0" fontId="5" fillId="44" borderId="19" xfId="0" applyFont="1" applyFill="1" applyBorder="1"/>
    <xf numFmtId="0" fontId="7" fillId="0" borderId="0" xfId="0" applyFont="1" applyAlignment="1">
      <alignment horizontal="right"/>
    </xf>
    <xf numFmtId="0" fontId="5" fillId="44" borderId="0" xfId="0" applyFont="1" applyFill="1"/>
    <xf numFmtId="0" fontId="5" fillId="46" borderId="32" xfId="0" applyFont="1" applyFill="1" applyBorder="1" applyAlignment="1" applyProtection="1">
      <alignment horizontal="center"/>
      <protection locked="0"/>
    </xf>
    <xf numFmtId="0" fontId="5" fillId="25" borderId="32" xfId="0" applyFont="1" applyFill="1" applyBorder="1" applyAlignment="1" applyProtection="1">
      <alignment horizontal="center"/>
      <protection locked="0"/>
    </xf>
    <xf numFmtId="20" fontId="5" fillId="29" borderId="32" xfId="0" applyNumberFormat="1" applyFont="1" applyFill="1" applyBorder="1" applyAlignment="1" applyProtection="1">
      <alignment horizontal="center"/>
      <protection locked="0"/>
    </xf>
    <xf numFmtId="0" fontId="5" fillId="49" borderId="32" xfId="0" applyFont="1" applyFill="1" applyBorder="1" applyAlignment="1">
      <alignment horizontal="center"/>
    </xf>
    <xf numFmtId="168" fontId="34" fillId="60" borderId="244" xfId="0" applyNumberFormat="1" applyFont="1" applyFill="1" applyBorder="1" applyAlignment="1">
      <alignment horizontal="center" vertical="center" wrapText="1"/>
    </xf>
    <xf numFmtId="168" fontId="36" fillId="44" borderId="0" xfId="0" applyNumberFormat="1" applyFont="1" applyFill="1" applyAlignment="1">
      <alignment horizontal="center" vertical="center"/>
    </xf>
    <xf numFmtId="1" fontId="0" fillId="44" borderId="0" xfId="0" applyNumberFormat="1" applyFill="1"/>
    <xf numFmtId="168" fontId="72" fillId="44" borderId="81" xfId="0" applyNumberFormat="1" applyFont="1" applyFill="1" applyBorder="1" applyAlignment="1" applyProtection="1">
      <alignment horizontal="center" vertical="center"/>
      <protection locked="0"/>
    </xf>
    <xf numFmtId="1" fontId="72" fillId="44" borderId="72" xfId="0" applyNumberFormat="1" applyFont="1" applyFill="1" applyBorder="1" applyAlignment="1" applyProtection="1">
      <alignment horizontal="center" vertical="center"/>
      <protection locked="0"/>
    </xf>
    <xf numFmtId="168" fontId="72" fillId="44" borderId="82" xfId="0" applyNumberFormat="1" applyFont="1" applyFill="1" applyBorder="1" applyAlignment="1" applyProtection="1">
      <alignment horizontal="center" vertical="center"/>
      <protection locked="0"/>
    </xf>
    <xf numFmtId="1" fontId="72" fillId="44" borderId="74" xfId="0" applyNumberFormat="1" applyFont="1" applyFill="1" applyBorder="1" applyAlignment="1" applyProtection="1">
      <alignment horizontal="center" vertical="center"/>
      <protection locked="0"/>
    </xf>
    <xf numFmtId="168" fontId="72" fillId="44" borderId="80" xfId="0" applyNumberFormat="1" applyFont="1" applyFill="1" applyBorder="1" applyAlignment="1" applyProtection="1">
      <alignment horizontal="center" vertical="center"/>
      <protection locked="0"/>
    </xf>
    <xf numFmtId="1" fontId="72" fillId="44" borderId="75" xfId="0" applyNumberFormat="1" applyFont="1" applyFill="1" applyBorder="1" applyAlignment="1" applyProtection="1">
      <alignment horizontal="center" vertical="center"/>
      <protection locked="0"/>
    </xf>
    <xf numFmtId="1" fontId="72" fillId="44" borderId="144" xfId="0" applyNumberFormat="1" applyFont="1" applyFill="1" applyBorder="1" applyAlignment="1" applyProtection="1">
      <alignment horizontal="center" vertical="center"/>
      <protection locked="0"/>
    </xf>
    <xf numFmtId="168" fontId="72" fillId="44" borderId="210" xfId="0" applyNumberFormat="1" applyFont="1" applyFill="1" applyBorder="1" applyAlignment="1" applyProtection="1">
      <alignment horizontal="center" vertical="center"/>
      <protection locked="0"/>
    </xf>
    <xf numFmtId="1" fontId="72" fillId="44" borderId="86" xfId="0" applyNumberFormat="1" applyFont="1" applyFill="1" applyBorder="1" applyAlignment="1" applyProtection="1">
      <alignment horizontal="center" vertical="center"/>
      <protection locked="0"/>
    </xf>
    <xf numFmtId="1" fontId="72" fillId="44" borderId="98" xfId="0" applyNumberFormat="1" applyFont="1" applyFill="1" applyBorder="1" applyAlignment="1" applyProtection="1">
      <alignment horizontal="center" vertical="center"/>
      <protection locked="0"/>
    </xf>
    <xf numFmtId="1" fontId="72" fillId="44" borderId="83" xfId="0" applyNumberFormat="1" applyFont="1" applyFill="1" applyBorder="1" applyAlignment="1" applyProtection="1">
      <alignment horizontal="center" vertical="center"/>
      <protection locked="0"/>
    </xf>
    <xf numFmtId="1" fontId="72" fillId="44" borderId="85" xfId="0" applyNumberFormat="1" applyFont="1" applyFill="1" applyBorder="1" applyAlignment="1" applyProtection="1">
      <alignment horizontal="center" vertical="center"/>
      <protection locked="0"/>
    </xf>
    <xf numFmtId="1" fontId="72" fillId="44" borderId="96" xfId="0" applyNumberFormat="1" applyFont="1" applyFill="1" applyBorder="1" applyAlignment="1" applyProtection="1">
      <alignment horizontal="center" vertical="center"/>
      <protection locked="0"/>
    </xf>
    <xf numFmtId="2" fontId="36" fillId="44" borderId="102" xfId="0" applyNumberFormat="1" applyFont="1" applyFill="1" applyBorder="1" applyAlignment="1" applyProtection="1">
      <alignment horizontal="center" vertical="center"/>
      <protection locked="0"/>
    </xf>
    <xf numFmtId="2" fontId="36" fillId="44" borderId="103" xfId="0" applyNumberFormat="1" applyFont="1" applyFill="1" applyBorder="1" applyAlignment="1" applyProtection="1">
      <alignment horizontal="center" vertical="center"/>
      <protection locked="0"/>
    </xf>
    <xf numFmtId="2" fontId="36" fillId="0" borderId="103" xfId="0" applyNumberFormat="1" applyFont="1" applyBorder="1" applyAlignment="1" applyProtection="1">
      <alignment horizontal="center" vertical="center"/>
      <protection locked="0"/>
    </xf>
    <xf numFmtId="2" fontId="36" fillId="0" borderId="104" xfId="0" applyNumberFormat="1" applyFont="1" applyBorder="1" applyAlignment="1" applyProtection="1">
      <alignment horizontal="center" vertical="center"/>
      <protection locked="0"/>
    </xf>
    <xf numFmtId="2" fontId="36" fillId="44" borderId="126" xfId="0" applyNumberFormat="1" applyFont="1" applyFill="1" applyBorder="1" applyAlignment="1" applyProtection="1">
      <alignment horizontal="center" vertical="center"/>
      <protection locked="0"/>
    </xf>
    <xf numFmtId="2" fontId="36" fillId="44" borderId="127" xfId="0" applyNumberFormat="1" applyFont="1" applyFill="1" applyBorder="1" applyAlignment="1" applyProtection="1">
      <alignment horizontal="center" vertical="center"/>
      <protection locked="0"/>
    </xf>
    <xf numFmtId="2" fontId="36" fillId="0" borderId="0" xfId="0" applyNumberFormat="1" applyFont="1" applyAlignment="1" applyProtection="1">
      <alignment horizontal="center" vertical="center"/>
      <protection locked="0"/>
    </xf>
    <xf numFmtId="1" fontId="9" fillId="44" borderId="72" xfId="0" applyNumberFormat="1" applyFont="1" applyFill="1" applyBorder="1" applyAlignment="1">
      <alignment horizontal="center"/>
    </xf>
    <xf numFmtId="1" fontId="9" fillId="44" borderId="163" xfId="0" applyNumberFormat="1" applyFont="1" applyFill="1" applyBorder="1" applyAlignment="1">
      <alignment horizontal="center"/>
    </xf>
    <xf numFmtId="1" fontId="9" fillId="44" borderId="74" xfId="0" applyNumberFormat="1" applyFont="1" applyFill="1" applyBorder="1" applyAlignment="1">
      <alignment horizontal="center"/>
    </xf>
    <xf numFmtId="1" fontId="9" fillId="44" borderId="166" xfId="0" applyNumberFormat="1" applyFont="1" applyFill="1" applyBorder="1" applyAlignment="1">
      <alignment horizontal="center"/>
    </xf>
    <xf numFmtId="1" fontId="9" fillId="44" borderId="158" xfId="0" applyNumberFormat="1" applyFont="1" applyFill="1" applyBorder="1" applyAlignment="1">
      <alignment horizontal="center"/>
    </xf>
    <xf numFmtId="1" fontId="9" fillId="44" borderId="180" xfId="0" applyNumberFormat="1" applyFont="1" applyFill="1" applyBorder="1" applyAlignment="1">
      <alignment horizontal="center"/>
    </xf>
    <xf numFmtId="1" fontId="9" fillId="44" borderId="75" xfId="0" applyNumberFormat="1" applyFont="1" applyFill="1" applyBorder="1" applyAlignment="1">
      <alignment horizontal="center"/>
    </xf>
    <xf numFmtId="1" fontId="9" fillId="44" borderId="169" xfId="0" applyNumberFormat="1" applyFont="1" applyFill="1" applyBorder="1" applyAlignment="1">
      <alignment horizontal="center"/>
    </xf>
    <xf numFmtId="1" fontId="9" fillId="44" borderId="86" xfId="0" applyNumberFormat="1" applyFont="1" applyFill="1" applyBorder="1" applyAlignment="1">
      <alignment horizontal="center"/>
    </xf>
    <xf numFmtId="1" fontId="9" fillId="44" borderId="181" xfId="0" applyNumberFormat="1" applyFont="1" applyFill="1" applyBorder="1" applyAlignment="1">
      <alignment horizontal="center"/>
    </xf>
    <xf numFmtId="1" fontId="9" fillId="44" borderId="88" xfId="0" applyNumberFormat="1" applyFont="1" applyFill="1" applyBorder="1" applyAlignment="1">
      <alignment horizontal="center"/>
    </xf>
    <xf numFmtId="1" fontId="9" fillId="44" borderId="243" xfId="0" applyNumberFormat="1" applyFont="1" applyFill="1" applyBorder="1" applyAlignment="1">
      <alignment horizontal="center"/>
    </xf>
    <xf numFmtId="0" fontId="36" fillId="50" borderId="0" xfId="0" applyFont="1" applyFill="1" applyAlignment="1">
      <alignment horizontal="center" vertical="center"/>
    </xf>
    <xf numFmtId="2" fontId="36" fillId="123" borderId="102" xfId="0" applyNumberFormat="1" applyFont="1" applyFill="1" applyBorder="1" applyAlignment="1">
      <alignment horizontal="center" vertical="center"/>
    </xf>
    <xf numFmtId="2" fontId="36" fillId="123" borderId="103" xfId="0" applyNumberFormat="1" applyFont="1" applyFill="1" applyBorder="1" applyAlignment="1">
      <alignment horizontal="center" vertical="center"/>
    </xf>
    <xf numFmtId="2" fontId="36" fillId="123" borderId="173" xfId="0" applyNumberFormat="1" applyFont="1" applyFill="1" applyBorder="1" applyAlignment="1">
      <alignment horizontal="center" vertical="center"/>
    </xf>
    <xf numFmtId="2" fontId="36" fillId="123" borderId="104" xfId="0" applyNumberFormat="1" applyFont="1" applyFill="1" applyBorder="1" applyAlignment="1">
      <alignment horizontal="center" vertical="center"/>
    </xf>
    <xf numFmtId="2" fontId="36" fillId="123" borderId="105" xfId="0" applyNumberFormat="1" applyFont="1" applyFill="1" applyBorder="1" applyAlignment="1">
      <alignment horizontal="center" vertical="center"/>
    </xf>
    <xf numFmtId="2" fontId="36" fillId="123" borderId="14" xfId="0" applyNumberFormat="1" applyFont="1" applyFill="1" applyBorder="1" applyAlignment="1">
      <alignment horizontal="center" vertical="center"/>
    </xf>
    <xf numFmtId="0" fontId="9" fillId="50" borderId="0" xfId="0" applyFont="1" applyFill="1" applyAlignment="1">
      <alignment horizontal="center" vertical="center"/>
    </xf>
    <xf numFmtId="0" fontId="5" fillId="50" borderId="0" xfId="0" applyFont="1" applyFill="1" applyAlignment="1">
      <alignment horizontal="center" vertical="center"/>
    </xf>
    <xf numFmtId="2" fontId="9" fillId="50" borderId="0" xfId="0" applyNumberFormat="1" applyFont="1" applyFill="1" applyAlignment="1">
      <alignment horizontal="center" vertical="center"/>
    </xf>
    <xf numFmtId="0" fontId="7" fillId="50" borderId="0" xfId="0" applyFont="1" applyFill="1" applyAlignment="1">
      <alignment horizontal="center" vertical="center"/>
    </xf>
    <xf numFmtId="167" fontId="22" fillId="50" borderId="0" xfId="38" applyNumberFormat="1" applyFill="1" applyAlignment="1" applyProtection="1">
      <alignment horizontal="center" vertical="center"/>
    </xf>
    <xf numFmtId="1" fontId="5" fillId="50" borderId="0" xfId="0" applyNumberFormat="1" applyFont="1" applyFill="1" applyAlignment="1">
      <alignment horizontal="center" vertical="center"/>
    </xf>
    <xf numFmtId="168" fontId="5" fillId="50" borderId="0" xfId="0" applyNumberFormat="1" applyFont="1" applyFill="1" applyAlignment="1">
      <alignment horizontal="center" vertical="center"/>
    </xf>
    <xf numFmtId="0" fontId="44" fillId="50" borderId="0" xfId="35" applyFill="1" applyAlignment="1" applyProtection="1">
      <alignment horizontal="center" vertical="center"/>
    </xf>
    <xf numFmtId="0" fontId="34" fillId="50" borderId="17" xfId="0" applyFont="1" applyFill="1" applyBorder="1" applyAlignment="1">
      <alignment horizontal="center" vertical="center"/>
    </xf>
    <xf numFmtId="0" fontId="34" fillId="50" borderId="0" xfId="0" applyFont="1" applyFill="1" applyAlignment="1">
      <alignment horizontal="center" vertical="center"/>
    </xf>
    <xf numFmtId="2" fontId="36" fillId="50" borderId="0" xfId="0" applyNumberFormat="1" applyFont="1" applyFill="1" applyAlignment="1">
      <alignment horizontal="center" vertical="center"/>
    </xf>
    <xf numFmtId="10" fontId="36" fillId="50" borderId="0" xfId="0" applyNumberFormat="1" applyFont="1" applyFill="1" applyAlignment="1">
      <alignment horizontal="center" vertical="center"/>
    </xf>
    <xf numFmtId="164" fontId="36" fillId="50" borderId="0" xfId="0" applyNumberFormat="1" applyFont="1" applyFill="1" applyAlignment="1">
      <alignment horizontal="center" vertical="center"/>
    </xf>
    <xf numFmtId="1" fontId="35" fillId="50" borderId="0" xfId="0" applyNumberFormat="1" applyFont="1" applyFill="1" applyAlignment="1">
      <alignment horizontal="center" vertical="center"/>
    </xf>
    <xf numFmtId="168" fontId="36" fillId="50" borderId="0" xfId="0" applyNumberFormat="1" applyFont="1" applyFill="1" applyAlignment="1">
      <alignment horizontal="center" vertical="center"/>
    </xf>
    <xf numFmtId="2" fontId="36" fillId="50" borderId="247" xfId="0" applyNumberFormat="1" applyFont="1" applyFill="1" applyBorder="1" applyAlignment="1">
      <alignment horizontal="center" vertical="center"/>
    </xf>
    <xf numFmtId="168" fontId="5" fillId="44" borderId="71" xfId="0" applyNumberFormat="1" applyFont="1" applyFill="1" applyBorder="1" applyAlignment="1" applyProtection="1">
      <alignment horizontal="center"/>
      <protection locked="0"/>
    </xf>
    <xf numFmtId="168" fontId="5" fillId="44" borderId="73" xfId="0" applyNumberFormat="1" applyFont="1" applyFill="1" applyBorder="1" applyAlignment="1" applyProtection="1">
      <alignment horizontal="center"/>
      <protection locked="0"/>
    </xf>
    <xf numFmtId="168" fontId="5" fillId="44" borderId="84" xfId="0" applyNumberFormat="1" applyFont="1" applyFill="1" applyBorder="1" applyAlignment="1" applyProtection="1">
      <alignment horizontal="center"/>
      <protection locked="0"/>
    </xf>
    <xf numFmtId="0" fontId="34" fillId="50" borderId="18" xfId="0" applyFont="1" applyFill="1" applyBorder="1" applyAlignment="1">
      <alignment horizontal="center" vertical="center" wrapText="1"/>
    </xf>
    <xf numFmtId="1" fontId="5" fillId="50" borderId="0" xfId="0" applyNumberFormat="1" applyFont="1" applyFill="1" applyAlignment="1" applyProtection="1">
      <alignment horizontal="center"/>
      <protection locked="0"/>
    </xf>
    <xf numFmtId="1" fontId="9" fillId="50" borderId="0" xfId="0" applyNumberFormat="1" applyFont="1" applyFill="1" applyAlignment="1" applyProtection="1">
      <alignment horizontal="center"/>
      <protection locked="0"/>
    </xf>
    <xf numFmtId="0" fontId="34" fillId="50" borderId="17" xfId="0" applyFont="1" applyFill="1" applyBorder="1" applyAlignment="1">
      <alignment horizontal="center" vertical="center" wrapText="1"/>
    </xf>
    <xf numFmtId="0" fontId="34" fillId="50" borderId="0" xfId="0" applyFont="1" applyFill="1" applyAlignment="1">
      <alignment horizontal="center" vertical="center" wrapText="1"/>
    </xf>
    <xf numFmtId="0" fontId="34" fillId="87" borderId="244" xfId="0" applyFont="1" applyFill="1" applyBorder="1" applyAlignment="1">
      <alignment horizontal="center" vertical="center"/>
    </xf>
    <xf numFmtId="2" fontId="36" fillId="118" borderId="102" xfId="0" applyNumberFormat="1" applyFont="1" applyFill="1" applyBorder="1" applyAlignment="1">
      <alignment horizontal="center" vertical="center"/>
    </xf>
    <xf numFmtId="2" fontId="36" fillId="118" borderId="103" xfId="0" applyNumberFormat="1" applyFont="1" applyFill="1" applyBorder="1" applyAlignment="1">
      <alignment horizontal="center" vertical="center"/>
    </xf>
    <xf numFmtId="2" fontId="36" fillId="118" borderId="104" xfId="0" applyNumberFormat="1" applyFont="1" applyFill="1" applyBorder="1" applyAlignment="1">
      <alignment horizontal="center" vertical="center"/>
    </xf>
    <xf numFmtId="2" fontId="36" fillId="118" borderId="173" xfId="0" applyNumberFormat="1" applyFont="1" applyFill="1" applyBorder="1" applyAlignment="1">
      <alignment horizontal="center" vertical="center"/>
    </xf>
    <xf numFmtId="0" fontId="36" fillId="118" borderId="102" xfId="0" applyFont="1" applyFill="1" applyBorder="1" applyAlignment="1">
      <alignment horizontal="center" vertical="center"/>
    </xf>
    <xf numFmtId="0" fontId="36" fillId="118" borderId="103" xfId="0" applyFont="1" applyFill="1" applyBorder="1" applyAlignment="1">
      <alignment horizontal="center" vertical="center"/>
    </xf>
    <xf numFmtId="10" fontId="36" fillId="50" borderId="26" xfId="0" applyNumberFormat="1" applyFont="1" applyFill="1" applyBorder="1" applyAlignment="1" applyProtection="1">
      <alignment horizontal="center" vertical="center"/>
      <protection locked="0"/>
    </xf>
    <xf numFmtId="10" fontId="36" fillId="50" borderId="11" xfId="0" applyNumberFormat="1" applyFont="1" applyFill="1" applyBorder="1" applyAlignment="1" applyProtection="1">
      <alignment horizontal="center" vertical="center"/>
      <protection locked="0"/>
    </xf>
    <xf numFmtId="10" fontId="36" fillId="50" borderId="14" xfId="0" applyNumberFormat="1" applyFont="1" applyFill="1" applyBorder="1" applyAlignment="1" applyProtection="1">
      <alignment horizontal="center" vertical="center"/>
      <protection locked="0"/>
    </xf>
    <xf numFmtId="2" fontId="36" fillId="104" borderId="11" xfId="0" applyNumberFormat="1" applyFont="1" applyFill="1" applyBorder="1" applyAlignment="1">
      <alignment horizontal="center" vertical="center" wrapText="1"/>
    </xf>
    <xf numFmtId="2" fontId="36" fillId="98" borderId="11" xfId="0" applyNumberFormat="1" applyFont="1" applyFill="1" applyBorder="1" applyAlignment="1">
      <alignment horizontal="center" vertical="center" wrapText="1"/>
    </xf>
    <xf numFmtId="0" fontId="0" fillId="50" borderId="0" xfId="0" applyFill="1"/>
    <xf numFmtId="49" fontId="0" fillId="50" borderId="0" xfId="0" applyNumberFormat="1" applyFill="1"/>
    <xf numFmtId="1" fontId="0" fillId="50" borderId="0" xfId="0" applyNumberFormat="1" applyFill="1"/>
    <xf numFmtId="164" fontId="0" fillId="50" borderId="0" xfId="0" applyNumberFormat="1" applyFill="1"/>
    <xf numFmtId="0" fontId="46" fillId="50" borderId="0" xfId="0" applyFont="1" applyFill="1"/>
    <xf numFmtId="0" fontId="46" fillId="50" borderId="0" xfId="0" applyFont="1" applyFill="1" applyAlignment="1">
      <alignment horizontal="center"/>
    </xf>
    <xf numFmtId="0" fontId="0" fillId="50" borderId="0" xfId="0" applyFill="1" applyAlignment="1">
      <alignment horizontal="center"/>
    </xf>
    <xf numFmtId="49" fontId="9" fillId="50" borderId="0" xfId="0" applyNumberFormat="1" applyFont="1" applyFill="1"/>
    <xf numFmtId="0" fontId="49" fillId="50" borderId="0" xfId="0" applyFont="1" applyFill="1"/>
    <xf numFmtId="0" fontId="9" fillId="50" borderId="0" xfId="0" applyFont="1" applyFill="1"/>
    <xf numFmtId="1" fontId="9" fillId="50" borderId="0" xfId="0" applyNumberFormat="1" applyFont="1" applyFill="1"/>
    <xf numFmtId="0" fontId="69" fillId="50" borderId="0" xfId="0" applyFont="1" applyFill="1"/>
    <xf numFmtId="0" fontId="49" fillId="50" borderId="0" xfId="0" applyFont="1" applyFill="1" applyAlignment="1">
      <alignment horizontal="center"/>
    </xf>
    <xf numFmtId="0" fontId="9" fillId="50" borderId="0" xfId="0" applyFont="1" applyFill="1" applyAlignment="1">
      <alignment horizontal="center"/>
    </xf>
    <xf numFmtId="0" fontId="47" fillId="50" borderId="0" xfId="0" applyFont="1" applyFill="1"/>
    <xf numFmtId="164" fontId="9" fillId="50" borderId="32" xfId="0" applyNumberFormat="1" applyFont="1" applyFill="1" applyBorder="1" applyAlignment="1">
      <alignment horizontal="center" vertical="center" wrapText="1"/>
    </xf>
    <xf numFmtId="164" fontId="9" fillId="50" borderId="33" xfId="0" applyNumberFormat="1" applyFont="1" applyFill="1" applyBorder="1" applyAlignment="1">
      <alignment horizontal="center" vertical="center" wrapText="1"/>
    </xf>
    <xf numFmtId="164" fontId="9" fillId="50" borderId="34" xfId="0" applyNumberFormat="1" applyFont="1" applyFill="1" applyBorder="1" applyAlignment="1">
      <alignment horizontal="center" vertical="center"/>
    </xf>
    <xf numFmtId="164" fontId="9" fillId="50" borderId="32" xfId="0" applyNumberFormat="1" applyFont="1" applyFill="1" applyBorder="1" applyAlignment="1">
      <alignment horizontal="center" vertical="center"/>
    </xf>
    <xf numFmtId="164" fontId="9" fillId="50" borderId="0" xfId="0" applyNumberFormat="1" applyFont="1" applyFill="1" applyAlignment="1">
      <alignment horizontal="center" vertical="center"/>
    </xf>
    <xf numFmtId="164" fontId="9" fillId="50" borderId="0" xfId="0" applyNumberFormat="1" applyFont="1" applyFill="1" applyAlignment="1">
      <alignment horizontal="center" vertical="center" wrapText="1"/>
    </xf>
    <xf numFmtId="10" fontId="36" fillId="60" borderId="245" xfId="0" applyNumberFormat="1" applyFont="1" applyFill="1" applyBorder="1" applyAlignment="1">
      <alignment horizontal="center" vertical="center"/>
    </xf>
    <xf numFmtId="10" fontId="36" fillId="60" borderId="26" xfId="0" applyNumberFormat="1" applyFont="1" applyFill="1" applyBorder="1" applyAlignment="1">
      <alignment horizontal="center" vertical="center"/>
    </xf>
    <xf numFmtId="10" fontId="36" fillId="60" borderId="11" xfId="0" applyNumberFormat="1" applyFont="1" applyFill="1" applyBorder="1" applyAlignment="1">
      <alignment horizontal="center" vertical="center"/>
    </xf>
    <xf numFmtId="10" fontId="36" fillId="46" borderId="244" xfId="0" applyNumberFormat="1" applyFont="1" applyFill="1" applyBorder="1" applyAlignment="1">
      <alignment horizontal="center" vertical="center"/>
    </xf>
    <xf numFmtId="10" fontId="129" fillId="56" borderId="245" xfId="0" applyNumberFormat="1" applyFont="1" applyFill="1" applyBorder="1" applyAlignment="1">
      <alignment horizontal="center" vertical="center"/>
    </xf>
    <xf numFmtId="10" fontId="116" fillId="60" borderId="245" xfId="0" applyNumberFormat="1" applyFont="1" applyFill="1" applyBorder="1" applyAlignment="1">
      <alignment horizontal="center" vertical="center"/>
    </xf>
    <xf numFmtId="10" fontId="116" fillId="60" borderId="26" xfId="0" applyNumberFormat="1" applyFont="1" applyFill="1" applyBorder="1" applyAlignment="1">
      <alignment horizontal="center" vertical="center"/>
    </xf>
    <xf numFmtId="10" fontId="116" fillId="60" borderId="11" xfId="0" applyNumberFormat="1" applyFont="1" applyFill="1" applyBorder="1" applyAlignment="1">
      <alignment horizontal="center" vertical="center"/>
    </xf>
    <xf numFmtId="10" fontId="126" fillId="95" borderId="245" xfId="0" quotePrefix="1" applyNumberFormat="1" applyFont="1" applyFill="1" applyBorder="1" applyAlignment="1">
      <alignment horizontal="center" vertical="center"/>
    </xf>
    <xf numFmtId="10" fontId="36" fillId="95" borderId="26" xfId="0" applyNumberFormat="1" applyFont="1" applyFill="1" applyBorder="1" applyAlignment="1">
      <alignment horizontal="center" vertical="center"/>
    </xf>
    <xf numFmtId="10" fontId="126" fillId="95" borderId="26" xfId="0" applyNumberFormat="1" applyFont="1" applyFill="1" applyBorder="1" applyAlignment="1">
      <alignment horizontal="center" vertical="center"/>
    </xf>
    <xf numFmtId="10" fontId="126" fillId="95" borderId="11" xfId="0" applyNumberFormat="1" applyFont="1" applyFill="1" applyBorder="1" applyAlignment="1">
      <alignment horizontal="center" vertical="center"/>
    </xf>
    <xf numFmtId="10" fontId="36" fillId="103" borderId="244" xfId="0" applyNumberFormat="1" applyFont="1" applyFill="1" applyBorder="1" applyAlignment="1">
      <alignment horizontal="center" vertical="center"/>
    </xf>
    <xf numFmtId="10" fontId="36" fillId="104" borderId="245" xfId="0" applyNumberFormat="1" applyFont="1" applyFill="1" applyBorder="1" applyAlignment="1">
      <alignment horizontal="center" vertical="center"/>
    </xf>
    <xf numFmtId="10" fontId="131" fillId="98" borderId="245" xfId="0" quotePrefix="1" applyNumberFormat="1" applyFont="1" applyFill="1" applyBorder="1" applyAlignment="1">
      <alignment horizontal="center" vertical="center"/>
    </xf>
    <xf numFmtId="10" fontId="36" fillId="98" borderId="26" xfId="0" applyNumberFormat="1" applyFont="1" applyFill="1" applyBorder="1" applyAlignment="1">
      <alignment horizontal="center" vertical="center"/>
    </xf>
    <xf numFmtId="10" fontId="131" fillId="98" borderId="26" xfId="0" applyNumberFormat="1" applyFont="1" applyFill="1" applyBorder="1" applyAlignment="1">
      <alignment horizontal="center" vertical="center"/>
    </xf>
    <xf numFmtId="10" fontId="131" fillId="98" borderId="11" xfId="0" applyNumberFormat="1" applyFont="1" applyFill="1" applyBorder="1" applyAlignment="1">
      <alignment horizontal="center" vertical="center"/>
    </xf>
    <xf numFmtId="10" fontId="36" fillId="106" borderId="244" xfId="0" applyNumberFormat="1" applyFont="1" applyFill="1" applyBorder="1" applyAlignment="1">
      <alignment horizontal="center" vertical="center"/>
    </xf>
    <xf numFmtId="10" fontId="36" fillId="105" borderId="245" xfId="0" applyNumberFormat="1" applyFont="1" applyFill="1" applyBorder="1" applyAlignment="1">
      <alignment horizontal="center" vertical="center"/>
    </xf>
    <xf numFmtId="10" fontId="36" fillId="105" borderId="11" xfId="0" applyNumberFormat="1" applyFont="1" applyFill="1" applyBorder="1" applyAlignment="1">
      <alignment horizontal="center" vertical="center"/>
    </xf>
    <xf numFmtId="10" fontId="132" fillId="64" borderId="245" xfId="0" quotePrefix="1" applyNumberFormat="1" applyFont="1" applyFill="1" applyBorder="1" applyAlignment="1">
      <alignment horizontal="center" vertical="center"/>
    </xf>
    <xf numFmtId="10" fontId="36" fillId="64" borderId="26" xfId="0" applyNumberFormat="1" applyFont="1" applyFill="1" applyBorder="1" applyAlignment="1">
      <alignment horizontal="center" vertical="center"/>
    </xf>
    <xf numFmtId="10" fontId="132" fillId="64" borderId="26" xfId="0" applyNumberFormat="1" applyFont="1" applyFill="1" applyBorder="1" applyAlignment="1">
      <alignment horizontal="center" vertical="center"/>
    </xf>
    <xf numFmtId="10" fontId="132" fillId="64" borderId="11" xfId="0" applyNumberFormat="1" applyFont="1" applyFill="1" applyBorder="1" applyAlignment="1">
      <alignment horizontal="center" vertical="center"/>
    </xf>
    <xf numFmtId="10" fontId="36" fillId="61" borderId="244" xfId="0" applyNumberFormat="1" applyFont="1" applyFill="1" applyBorder="1" applyAlignment="1">
      <alignment horizontal="center" vertical="center"/>
    </xf>
    <xf numFmtId="10" fontId="36" fillId="54" borderId="245" xfId="0" applyNumberFormat="1" applyFont="1" applyFill="1" applyBorder="1" applyAlignment="1">
      <alignment horizontal="center" vertical="center"/>
    </xf>
    <xf numFmtId="10" fontId="36" fillId="54" borderId="11" xfId="0" applyNumberFormat="1" applyFont="1" applyFill="1" applyBorder="1" applyAlignment="1">
      <alignment horizontal="center" vertical="center"/>
    </xf>
    <xf numFmtId="10" fontId="133" fillId="58" borderId="26" xfId="0" quotePrefix="1" applyNumberFormat="1" applyFont="1" applyFill="1" applyBorder="1" applyAlignment="1">
      <alignment horizontal="center" vertical="center"/>
    </xf>
    <xf numFmtId="10" fontId="36" fillId="58" borderId="26" xfId="0" applyNumberFormat="1" applyFont="1" applyFill="1" applyBorder="1" applyAlignment="1">
      <alignment horizontal="center" vertical="center"/>
    </xf>
    <xf numFmtId="10" fontId="133" fillId="58" borderId="26" xfId="0" applyNumberFormat="1" applyFont="1" applyFill="1" applyBorder="1" applyAlignment="1">
      <alignment horizontal="center" vertical="center"/>
    </xf>
    <xf numFmtId="10" fontId="133" fillId="58" borderId="11" xfId="0" applyNumberFormat="1" applyFont="1" applyFill="1" applyBorder="1" applyAlignment="1">
      <alignment horizontal="center" vertical="center"/>
    </xf>
    <xf numFmtId="10" fontId="36" fillId="55" borderId="244" xfId="0" applyNumberFormat="1" applyFont="1" applyFill="1" applyBorder="1" applyAlignment="1">
      <alignment horizontal="center" vertical="center"/>
    </xf>
    <xf numFmtId="10" fontId="36" fillId="48" borderId="245" xfId="0" applyNumberFormat="1" applyFont="1" applyFill="1" applyBorder="1" applyAlignment="1">
      <alignment horizontal="center" vertical="center"/>
    </xf>
    <xf numFmtId="10" fontId="36" fillId="48" borderId="11" xfId="0" applyNumberFormat="1" applyFont="1" applyFill="1" applyBorder="1" applyAlignment="1">
      <alignment horizontal="center" vertical="center"/>
    </xf>
    <xf numFmtId="10" fontId="133" fillId="58" borderId="245" xfId="0" quotePrefix="1" applyNumberFormat="1" applyFont="1" applyFill="1" applyBorder="1" applyAlignment="1">
      <alignment horizontal="center" vertical="center"/>
    </xf>
    <xf numFmtId="10" fontId="134" fillId="77" borderId="26" xfId="0" quotePrefix="1" applyNumberFormat="1" applyFont="1" applyFill="1" applyBorder="1" applyAlignment="1">
      <alignment horizontal="center" vertical="center"/>
    </xf>
    <xf numFmtId="10" fontId="36" fillId="77" borderId="26" xfId="0" applyNumberFormat="1" applyFont="1" applyFill="1" applyBorder="1" applyAlignment="1">
      <alignment horizontal="center" vertical="center"/>
    </xf>
    <xf numFmtId="10" fontId="134" fillId="77" borderId="26" xfId="0" applyNumberFormat="1" applyFont="1" applyFill="1" applyBorder="1" applyAlignment="1">
      <alignment horizontal="center" vertical="center"/>
    </xf>
    <xf numFmtId="10" fontId="134" fillId="77" borderId="11" xfId="0" applyNumberFormat="1" applyFont="1" applyFill="1" applyBorder="1" applyAlignment="1">
      <alignment horizontal="center" vertical="center"/>
    </xf>
    <xf numFmtId="10" fontId="36" fillId="76" borderId="244" xfId="0" applyNumberFormat="1" applyFont="1" applyFill="1" applyBorder="1" applyAlignment="1">
      <alignment horizontal="center" vertical="center"/>
    </xf>
    <xf numFmtId="10" fontId="36" fillId="45" borderId="245" xfId="0" applyNumberFormat="1" applyFont="1" applyFill="1" applyBorder="1" applyAlignment="1">
      <alignment horizontal="center" vertical="center"/>
    </xf>
    <xf numFmtId="10" fontId="36" fillId="45" borderId="11" xfId="0" applyNumberFormat="1" applyFont="1" applyFill="1" applyBorder="1" applyAlignment="1">
      <alignment horizontal="center" vertical="center"/>
    </xf>
    <xf numFmtId="10" fontId="134" fillId="77" borderId="245" xfId="0" quotePrefix="1" applyNumberFormat="1" applyFont="1" applyFill="1" applyBorder="1" applyAlignment="1">
      <alignment horizontal="center" vertical="center"/>
    </xf>
    <xf numFmtId="10" fontId="131" fillId="98" borderId="26" xfId="0" quotePrefix="1" applyNumberFormat="1" applyFont="1" applyFill="1" applyBorder="1" applyAlignment="1">
      <alignment horizontal="center" vertical="center"/>
    </xf>
    <xf numFmtId="10" fontId="132" fillId="64" borderId="26" xfId="0" quotePrefix="1" applyNumberFormat="1" applyFont="1" applyFill="1" applyBorder="1" applyAlignment="1">
      <alignment horizontal="center" vertical="center"/>
    </xf>
    <xf numFmtId="2" fontId="0" fillId="50" borderId="0" xfId="0" applyNumberFormat="1" applyFill="1"/>
    <xf numFmtId="0" fontId="0" fillId="50" borderId="0" xfId="0" applyFill="1" applyAlignment="1">
      <alignment vertical="center"/>
    </xf>
    <xf numFmtId="0" fontId="29" fillId="50" borderId="0" xfId="0" applyFont="1" applyFill="1" applyAlignment="1">
      <alignment horizontal="center" vertical="center"/>
    </xf>
    <xf numFmtId="0" fontId="125" fillId="50" borderId="0" xfId="0" applyFont="1" applyFill="1" applyAlignment="1">
      <alignment horizontal="center" vertical="center"/>
    </xf>
    <xf numFmtId="0" fontId="124" fillId="50" borderId="0" xfId="0" applyFont="1" applyFill="1" applyAlignment="1">
      <alignment horizontal="center" vertical="center"/>
    </xf>
    <xf numFmtId="0" fontId="0" fillId="50" borderId="0" xfId="0" applyFill="1" applyAlignment="1">
      <alignment horizontal="center" vertical="center"/>
    </xf>
    <xf numFmtId="1" fontId="9" fillId="50" borderId="0" xfId="0" applyNumberFormat="1" applyFont="1" applyFill="1" applyAlignment="1">
      <alignment horizontal="center" vertical="center"/>
    </xf>
    <xf numFmtId="0" fontId="74" fillId="43" borderId="14" xfId="0" applyFont="1" applyFill="1" applyBorder="1" applyAlignment="1">
      <alignment horizontal="center" vertical="center" wrapText="1"/>
    </xf>
    <xf numFmtId="0" fontId="74" fillId="43" borderId="14" xfId="26" applyFont="1" applyFill="1" applyBorder="1" applyAlignment="1" applyProtection="1">
      <alignment horizontal="center" vertical="center" wrapText="1"/>
    </xf>
    <xf numFmtId="2" fontId="74" fillId="43" borderId="14" xfId="26" applyNumberFormat="1" applyFont="1" applyFill="1" applyBorder="1" applyAlignment="1" applyProtection="1">
      <alignment horizontal="center" vertical="center" wrapText="1"/>
    </xf>
    <xf numFmtId="2" fontId="74" fillId="43" borderId="14" xfId="0" applyNumberFormat="1" applyFont="1" applyFill="1" applyBorder="1" applyAlignment="1">
      <alignment horizontal="center" vertical="center" wrapText="1"/>
    </xf>
    <xf numFmtId="0" fontId="93" fillId="49" borderId="87" xfId="0" applyFont="1" applyFill="1" applyBorder="1" applyAlignment="1">
      <alignment horizontal="center" vertical="center"/>
    </xf>
    <xf numFmtId="0" fontId="9" fillId="49" borderId="89" xfId="0" applyFont="1" applyFill="1" applyBorder="1" applyAlignment="1">
      <alignment horizontal="center" vertical="center"/>
    </xf>
    <xf numFmtId="0" fontId="93" fillId="49" borderId="89" xfId="0" applyFont="1" applyFill="1" applyBorder="1" applyAlignment="1">
      <alignment horizontal="center" vertical="center"/>
    </xf>
    <xf numFmtId="0" fontId="9" fillId="49" borderId="91" xfId="0" applyFont="1" applyFill="1" applyBorder="1" applyAlignment="1">
      <alignment horizontal="center" vertical="center"/>
    </xf>
    <xf numFmtId="165" fontId="36" fillId="50" borderId="73" xfId="0" applyNumberFormat="1" applyFont="1" applyFill="1" applyBorder="1" applyAlignment="1">
      <alignment horizontal="center" vertical="center"/>
    </xf>
    <xf numFmtId="165" fontId="36" fillId="50" borderId="71" xfId="0" applyNumberFormat="1" applyFont="1" applyFill="1" applyBorder="1" applyAlignment="1">
      <alignment horizontal="center" vertical="center"/>
    </xf>
    <xf numFmtId="0" fontId="145" fillId="50" borderId="0" xfId="35" applyFont="1" applyFill="1" applyAlignment="1" applyProtection="1">
      <alignment horizontal="left" vertical="center"/>
    </xf>
    <xf numFmtId="0" fontId="36" fillId="50" borderId="0" xfId="0" applyFont="1" applyFill="1" applyAlignment="1">
      <alignment horizontal="left" vertical="center"/>
    </xf>
    <xf numFmtId="0" fontId="146" fillId="50" borderId="0" xfId="0" applyFont="1" applyFill="1" applyAlignment="1">
      <alignment horizontal="left" vertical="center"/>
    </xf>
    <xf numFmtId="0" fontId="36" fillId="48" borderId="71" xfId="0" applyFont="1" applyFill="1" applyBorder="1" applyAlignment="1">
      <alignment horizontal="center" vertical="center"/>
    </xf>
    <xf numFmtId="0" fontId="36" fillId="45" borderId="103" xfId="0" applyFont="1" applyFill="1" applyBorder="1" applyAlignment="1">
      <alignment horizontal="center" vertical="center"/>
    </xf>
    <xf numFmtId="0" fontId="36" fillId="45" borderId="173" xfId="0" applyFont="1" applyFill="1" applyBorder="1" applyAlignment="1">
      <alignment horizontal="center" vertical="center"/>
    </xf>
    <xf numFmtId="0" fontId="36" fillId="92" borderId="103" xfId="0" applyFont="1" applyFill="1" applyBorder="1" applyAlignment="1">
      <alignment horizontal="center" vertical="center"/>
    </xf>
    <xf numFmtId="0" fontId="36" fillId="92" borderId="173" xfId="0" applyFont="1" applyFill="1" applyBorder="1" applyAlignment="1">
      <alignment horizontal="center" vertical="center"/>
    </xf>
    <xf numFmtId="0" fontId="36" fillId="59" borderId="103" xfId="0" applyFont="1" applyFill="1" applyBorder="1" applyAlignment="1">
      <alignment horizontal="center" vertical="center"/>
    </xf>
    <xf numFmtId="0" fontId="36" fillId="59" borderId="173" xfId="0" applyFont="1" applyFill="1" applyBorder="1" applyAlignment="1">
      <alignment horizontal="center" vertical="center"/>
    </xf>
    <xf numFmtId="0" fontId="36" fillId="105" borderId="12" xfId="0" applyFont="1" applyFill="1" applyBorder="1" applyAlignment="1">
      <alignment horizontal="center" vertical="center"/>
    </xf>
    <xf numFmtId="0" fontId="36" fillId="46" borderId="103" xfId="0" applyFont="1" applyFill="1" applyBorder="1" applyAlignment="1">
      <alignment horizontal="center" vertical="center"/>
    </xf>
    <xf numFmtId="0" fontId="36" fillId="60" borderId="102" xfId="0" quotePrefix="1" applyFont="1" applyFill="1" applyBorder="1" applyAlignment="1">
      <alignment horizontal="center" vertical="center"/>
    </xf>
    <xf numFmtId="0" fontId="36" fillId="60" borderId="103" xfId="0" quotePrefix="1" applyFont="1" applyFill="1" applyBorder="1" applyAlignment="1">
      <alignment horizontal="center" vertical="center"/>
    </xf>
    <xf numFmtId="0" fontId="36" fillId="60" borderId="104" xfId="0" quotePrefix="1" applyFont="1" applyFill="1" applyBorder="1" applyAlignment="1">
      <alignment horizontal="center" vertical="center"/>
    </xf>
    <xf numFmtId="0" fontId="36" fillId="46" borderId="102" xfId="0" quotePrefix="1" applyFont="1" applyFill="1" applyBorder="1" applyAlignment="1">
      <alignment horizontal="center" vertical="center"/>
    </xf>
    <xf numFmtId="0" fontId="36" fillId="55" borderId="102" xfId="0" quotePrefix="1" applyFont="1" applyFill="1" applyBorder="1" applyAlignment="1">
      <alignment horizontal="center" vertical="center"/>
    </xf>
    <xf numFmtId="0" fontId="36" fillId="55" borderId="103" xfId="0" quotePrefix="1" applyFont="1" applyFill="1" applyBorder="1" applyAlignment="1">
      <alignment horizontal="center" vertical="center"/>
    </xf>
    <xf numFmtId="0" fontId="36" fillId="55" borderId="104" xfId="0" quotePrefix="1" applyFont="1" applyFill="1" applyBorder="1" applyAlignment="1">
      <alignment horizontal="center" vertical="center"/>
    </xf>
    <xf numFmtId="0" fontId="36" fillId="48" borderId="102" xfId="0" quotePrefix="1" applyFont="1" applyFill="1" applyBorder="1" applyAlignment="1">
      <alignment horizontal="center" vertical="center"/>
    </xf>
    <xf numFmtId="0" fontId="36" fillId="48" borderId="105" xfId="0" applyFont="1" applyFill="1" applyBorder="1" applyAlignment="1">
      <alignment horizontal="center" vertical="center"/>
    </xf>
    <xf numFmtId="0" fontId="36" fillId="92" borderId="102" xfId="0" quotePrefix="1" applyFont="1" applyFill="1" applyBorder="1" applyAlignment="1">
      <alignment horizontal="center" vertical="center"/>
    </xf>
    <xf numFmtId="0" fontId="36" fillId="92" borderId="103" xfId="0" quotePrefix="1" applyFont="1" applyFill="1" applyBorder="1" applyAlignment="1">
      <alignment horizontal="center" vertical="center"/>
    </xf>
    <xf numFmtId="0" fontId="36" fillId="92" borderId="104" xfId="0" quotePrefix="1" applyFont="1" applyFill="1" applyBorder="1" applyAlignment="1">
      <alignment horizontal="center" vertical="center"/>
    </xf>
    <xf numFmtId="0" fontId="36" fillId="101" borderId="102" xfId="0" quotePrefix="1" applyFont="1" applyFill="1" applyBorder="1" applyAlignment="1">
      <alignment horizontal="center" vertical="center"/>
    </xf>
    <xf numFmtId="0" fontId="36" fillId="101" borderId="103" xfId="0" applyFont="1" applyFill="1" applyBorder="1" applyAlignment="1">
      <alignment horizontal="center" vertical="center"/>
    </xf>
    <xf numFmtId="0" fontId="36" fillId="101" borderId="104" xfId="0" applyFont="1" applyFill="1" applyBorder="1" applyAlignment="1">
      <alignment horizontal="center" vertical="center"/>
    </xf>
    <xf numFmtId="0" fontId="36" fillId="101" borderId="102" xfId="0" applyFont="1" applyFill="1" applyBorder="1" applyAlignment="1">
      <alignment horizontal="center" vertical="center"/>
    </xf>
    <xf numFmtId="0" fontId="36" fillId="101" borderId="105" xfId="0" applyFont="1" applyFill="1" applyBorder="1" applyAlignment="1">
      <alignment horizontal="center" vertical="center"/>
    </xf>
    <xf numFmtId="0" fontId="36" fillId="76" borderId="102" xfId="0" quotePrefix="1" applyFont="1" applyFill="1" applyBorder="1" applyAlignment="1">
      <alignment horizontal="center" vertical="center"/>
    </xf>
    <xf numFmtId="0" fontId="36" fillId="76" borderId="103" xfId="0" quotePrefix="1" applyFont="1" applyFill="1" applyBorder="1" applyAlignment="1">
      <alignment horizontal="center" vertical="center"/>
    </xf>
    <xf numFmtId="0" fontId="36" fillId="76" borderId="104" xfId="0" quotePrefix="1" applyFont="1" applyFill="1" applyBorder="1" applyAlignment="1">
      <alignment horizontal="center" vertical="center"/>
    </xf>
    <xf numFmtId="0" fontId="36" fillId="45" borderId="102" xfId="0" quotePrefix="1" applyFont="1" applyFill="1" applyBorder="1" applyAlignment="1">
      <alignment horizontal="center" vertical="center"/>
    </xf>
    <xf numFmtId="0" fontId="36" fillId="45" borderId="105" xfId="0" applyFont="1" applyFill="1" applyBorder="1" applyAlignment="1">
      <alignment horizontal="center" vertical="center"/>
    </xf>
    <xf numFmtId="0" fontId="36" fillId="61" borderId="102" xfId="0" quotePrefix="1" applyFont="1" applyFill="1" applyBorder="1" applyAlignment="1">
      <alignment horizontal="center" vertical="center"/>
    </xf>
    <xf numFmtId="0" fontId="36" fillId="61" borderId="103" xfId="0" quotePrefix="1" applyFont="1" applyFill="1" applyBorder="1" applyAlignment="1">
      <alignment horizontal="center" vertical="center"/>
    </xf>
    <xf numFmtId="0" fontId="36" fillId="61" borderId="104" xfId="0" quotePrefix="1" applyFont="1" applyFill="1" applyBorder="1" applyAlignment="1">
      <alignment horizontal="center" vertical="center"/>
    </xf>
    <xf numFmtId="0" fontId="36" fillId="54" borderId="102" xfId="0" quotePrefix="1" applyFont="1" applyFill="1" applyBorder="1" applyAlignment="1">
      <alignment horizontal="center" vertical="center"/>
    </xf>
    <xf numFmtId="0" fontId="36" fillId="54" borderId="103" xfId="0" applyFont="1" applyFill="1" applyBorder="1" applyAlignment="1">
      <alignment horizontal="center" vertical="center"/>
    </xf>
    <xf numFmtId="0" fontId="36" fillId="54" borderId="105" xfId="0" applyFont="1" applyFill="1" applyBorder="1" applyAlignment="1">
      <alignment horizontal="center" vertical="center"/>
    </xf>
    <xf numFmtId="0" fontId="36" fillId="95" borderId="102" xfId="0" quotePrefix="1" applyFont="1" applyFill="1" applyBorder="1" applyAlignment="1">
      <alignment horizontal="center" vertical="center"/>
    </xf>
    <xf numFmtId="0" fontId="36" fillId="95" borderId="103" xfId="0" quotePrefix="1" applyFont="1" applyFill="1" applyBorder="1" applyAlignment="1">
      <alignment horizontal="center" vertical="center"/>
    </xf>
    <xf numFmtId="0" fontId="36" fillId="95" borderId="104" xfId="0" quotePrefix="1" applyFont="1" applyFill="1" applyBorder="1" applyAlignment="1">
      <alignment horizontal="center" vertical="center"/>
    </xf>
    <xf numFmtId="0" fontId="36" fillId="103" borderId="102" xfId="0" quotePrefix="1" applyFont="1" applyFill="1" applyBorder="1" applyAlignment="1">
      <alignment horizontal="center" vertical="center"/>
    </xf>
    <xf numFmtId="0" fontId="36" fillId="103" borderId="103" xfId="0" applyFont="1" applyFill="1" applyBorder="1" applyAlignment="1">
      <alignment horizontal="center" vertical="center"/>
    </xf>
    <xf numFmtId="0" fontId="36" fillId="103" borderId="104" xfId="0" applyFont="1" applyFill="1" applyBorder="1" applyAlignment="1">
      <alignment horizontal="center" vertical="center"/>
    </xf>
    <xf numFmtId="0" fontId="36" fillId="103" borderId="102" xfId="0" applyFont="1" applyFill="1" applyBorder="1" applyAlignment="1">
      <alignment horizontal="center" vertical="center"/>
    </xf>
    <xf numFmtId="0" fontId="36" fillId="60" borderId="172" xfId="0" applyFont="1" applyFill="1" applyBorder="1" applyAlignment="1">
      <alignment horizontal="center" vertical="center"/>
    </xf>
    <xf numFmtId="0" fontId="36" fillId="60" borderId="29" xfId="0" applyFont="1" applyFill="1" applyBorder="1" applyAlignment="1">
      <alignment horizontal="center" vertical="center"/>
    </xf>
    <xf numFmtId="0" fontId="36" fillId="60" borderId="68" xfId="0" applyFont="1" applyFill="1" applyBorder="1" applyAlignment="1">
      <alignment horizontal="center" vertical="center"/>
    </xf>
    <xf numFmtId="0" fontId="36" fillId="46" borderId="28" xfId="0" applyFont="1" applyFill="1" applyBorder="1" applyAlignment="1">
      <alignment horizontal="center" vertical="center"/>
    </xf>
    <xf numFmtId="0" fontId="129" fillId="56" borderId="68" xfId="0" applyFont="1" applyFill="1" applyBorder="1" applyAlignment="1">
      <alignment horizontal="center" vertical="center"/>
    </xf>
    <xf numFmtId="0" fontId="147" fillId="43" borderId="14" xfId="0" quotePrefix="1" applyFont="1" applyFill="1" applyBorder="1" applyAlignment="1">
      <alignment vertical="center"/>
    </xf>
    <xf numFmtId="0" fontId="146" fillId="43" borderId="26" xfId="0" quotePrefix="1" applyFont="1" applyFill="1" applyBorder="1" applyAlignment="1">
      <alignment vertical="center"/>
    </xf>
    <xf numFmtId="0" fontId="146" fillId="43" borderId="26" xfId="0" applyFont="1" applyFill="1" applyBorder="1" applyAlignment="1">
      <alignment vertical="center"/>
    </xf>
    <xf numFmtId="0" fontId="147" fillId="50" borderId="14" xfId="0" quotePrefix="1" applyFont="1" applyFill="1" applyBorder="1" applyAlignment="1">
      <alignment vertical="center"/>
    </xf>
    <xf numFmtId="0" fontId="146" fillId="50" borderId="26" xfId="0" quotePrefix="1" applyFont="1" applyFill="1" applyBorder="1" applyAlignment="1">
      <alignment vertical="center"/>
    </xf>
    <xf numFmtId="0" fontId="146" fillId="50" borderId="26" xfId="0" applyFont="1" applyFill="1" applyBorder="1" applyAlignment="1">
      <alignment vertical="center"/>
    </xf>
    <xf numFmtId="0" fontId="74" fillId="55" borderId="244" xfId="41" applyFont="1" applyFill="1" applyBorder="1" applyAlignment="1">
      <alignment horizontal="left" vertical="center" wrapText="1"/>
    </xf>
    <xf numFmtId="0" fontId="75" fillId="44" borderId="244" xfId="41" applyFont="1" applyFill="1" applyBorder="1" applyAlignment="1" applyProtection="1">
      <alignment horizontal="center" vertical="center"/>
      <protection locked="0"/>
    </xf>
    <xf numFmtId="2" fontId="5" fillId="0" borderId="103" xfId="39" applyNumberFormat="1" applyFont="1" applyBorder="1" applyAlignment="1" applyProtection="1">
      <alignment horizontal="center" vertical="center"/>
      <protection locked="0"/>
    </xf>
    <xf numFmtId="2" fontId="5" fillId="0" borderId="104" xfId="39" applyNumberFormat="1" applyFont="1" applyBorder="1" applyAlignment="1" applyProtection="1">
      <alignment horizontal="center" vertical="center"/>
      <protection locked="0"/>
    </xf>
    <xf numFmtId="2" fontId="5" fillId="43" borderId="102" xfId="39" applyNumberFormat="1" applyFont="1" applyFill="1" applyBorder="1" applyAlignment="1" applyProtection="1">
      <alignment horizontal="center" vertical="center"/>
      <protection locked="0"/>
    </xf>
    <xf numFmtId="2" fontId="5" fillId="43" borderId="103" xfId="39" applyNumberFormat="1" applyFont="1" applyFill="1" applyBorder="1" applyAlignment="1" applyProtection="1">
      <alignment horizontal="center" vertical="center"/>
      <protection locked="0"/>
    </xf>
    <xf numFmtId="2" fontId="5" fillId="43" borderId="104" xfId="39" applyNumberFormat="1" applyFont="1" applyFill="1" applyBorder="1" applyAlignment="1" applyProtection="1">
      <alignment horizontal="center" vertical="center"/>
      <protection locked="0"/>
    </xf>
    <xf numFmtId="0" fontId="74" fillId="55" borderId="12" xfId="41" applyFont="1" applyFill="1" applyBorder="1" applyAlignment="1">
      <alignment horizontal="center" vertical="center"/>
    </xf>
    <xf numFmtId="0" fontId="75" fillId="44" borderId="12" xfId="41" applyFont="1" applyFill="1" applyBorder="1" applyAlignment="1" applyProtection="1">
      <alignment horizontal="center" vertical="center"/>
      <protection locked="0"/>
    </xf>
    <xf numFmtId="0" fontId="90" fillId="49" borderId="245" xfId="0" applyFont="1" applyFill="1" applyBorder="1" applyAlignment="1">
      <alignment horizontal="center" vertical="center"/>
    </xf>
    <xf numFmtId="0" fontId="90" fillId="49" borderId="11" xfId="0" applyFont="1" applyFill="1" applyBorder="1" applyAlignment="1">
      <alignment horizontal="center" vertical="center"/>
    </xf>
    <xf numFmtId="0" fontId="72" fillId="49" borderId="26" xfId="0" applyFont="1" applyFill="1" applyBorder="1" applyAlignment="1">
      <alignment horizontal="center" vertical="center"/>
    </xf>
    <xf numFmtId="0" fontId="36" fillId="122" borderId="26" xfId="0" applyFont="1" applyFill="1" applyBorder="1" applyAlignment="1">
      <alignment horizontal="center" vertical="center" wrapText="1"/>
    </xf>
    <xf numFmtId="0" fontId="36" fillId="128" borderId="26" xfId="0" quotePrefix="1" applyFont="1" applyFill="1" applyBorder="1" applyAlignment="1">
      <alignment horizontal="center" vertical="center"/>
    </xf>
    <xf numFmtId="0" fontId="36" fillId="128" borderId="26" xfId="0" applyFont="1" applyFill="1" applyBorder="1" applyAlignment="1">
      <alignment horizontal="center" vertical="center"/>
    </xf>
    <xf numFmtId="0" fontId="129" fillId="128" borderId="26" xfId="0" applyFont="1" applyFill="1" applyBorder="1" applyAlignment="1">
      <alignment horizontal="center" vertical="center"/>
    </xf>
    <xf numFmtId="0" fontId="36" fillId="128" borderId="12" xfId="0" applyFont="1" applyFill="1" applyBorder="1" applyAlignment="1">
      <alignment horizontal="center" vertical="center"/>
    </xf>
    <xf numFmtId="2" fontId="36" fillId="128" borderId="10" xfId="0" applyNumberFormat="1" applyFont="1" applyFill="1" applyBorder="1" applyAlignment="1">
      <alignment horizontal="center" vertical="center"/>
    </xf>
    <xf numFmtId="2" fontId="36" fillId="128" borderId="245" xfId="0" quotePrefix="1" applyNumberFormat="1" applyFont="1" applyFill="1" applyBorder="1" applyAlignment="1">
      <alignment horizontal="center" vertical="center"/>
    </xf>
    <xf numFmtId="0" fontId="149" fillId="128" borderId="14" xfId="0" quotePrefix="1" applyFont="1" applyFill="1" applyBorder="1" applyAlignment="1">
      <alignment horizontal="center" vertical="center"/>
    </xf>
    <xf numFmtId="0" fontId="149" fillId="128" borderId="14" xfId="0" applyFont="1" applyFill="1" applyBorder="1" applyAlignment="1">
      <alignment horizontal="center" vertical="center"/>
    </xf>
    <xf numFmtId="0" fontId="149" fillId="128" borderId="26" xfId="0" quotePrefix="1" applyFont="1" applyFill="1" applyBorder="1" applyAlignment="1">
      <alignment horizontal="center" vertical="center"/>
    </xf>
    <xf numFmtId="0" fontId="149" fillId="128" borderId="26" xfId="0" applyFont="1" applyFill="1" applyBorder="1" applyAlignment="1">
      <alignment horizontal="center" vertical="center"/>
    </xf>
    <xf numFmtId="0" fontId="149" fillId="128" borderId="11" xfId="0" quotePrefix="1" applyFont="1" applyFill="1" applyBorder="1" applyAlignment="1">
      <alignment horizontal="center" vertical="center"/>
    </xf>
    <xf numFmtId="0" fontId="149" fillId="128" borderId="11" xfId="0" applyFont="1" applyFill="1" applyBorder="1" applyAlignment="1">
      <alignment horizontal="center" vertical="center"/>
    </xf>
    <xf numFmtId="0" fontId="36" fillId="129" borderId="12" xfId="0" applyFont="1" applyFill="1" applyBorder="1" applyAlignment="1">
      <alignment horizontal="center" vertical="center" wrapText="1"/>
    </xf>
    <xf numFmtId="0" fontId="36" fillId="129" borderId="12" xfId="0" applyFont="1" applyFill="1" applyBorder="1" applyAlignment="1">
      <alignment horizontal="center" vertical="center"/>
    </xf>
    <xf numFmtId="2" fontId="36" fillId="129" borderId="244" xfId="0" applyNumberFormat="1" applyFont="1" applyFill="1" applyBorder="1" applyAlignment="1">
      <alignment horizontal="center" vertical="center"/>
    </xf>
    <xf numFmtId="2" fontId="36" fillId="129" borderId="11" xfId="0" applyNumberFormat="1" applyFont="1" applyFill="1" applyBorder="1" applyAlignment="1">
      <alignment horizontal="center" vertical="center"/>
    </xf>
    <xf numFmtId="2" fontId="36" fillId="129" borderId="102" xfId="0" applyNumberFormat="1" applyFont="1" applyFill="1" applyBorder="1" applyAlignment="1">
      <alignment horizontal="center" vertical="center"/>
    </xf>
    <xf numFmtId="2" fontId="36" fillId="129" borderId="103" xfId="0" applyNumberFormat="1" applyFont="1" applyFill="1" applyBorder="1" applyAlignment="1">
      <alignment horizontal="center" vertical="center"/>
    </xf>
    <xf numFmtId="2" fontId="36" fillId="129" borderId="104" xfId="0" applyNumberFormat="1" applyFont="1" applyFill="1" applyBorder="1" applyAlignment="1">
      <alignment horizontal="center" vertical="center"/>
    </xf>
    <xf numFmtId="2" fontId="36" fillId="76" borderId="14" xfId="0" applyNumberFormat="1" applyFont="1" applyFill="1" applyBorder="1" applyAlignment="1">
      <alignment horizontal="center" vertical="center"/>
    </xf>
    <xf numFmtId="2" fontId="36" fillId="93" borderId="104" xfId="0" applyNumberFormat="1" applyFont="1" applyFill="1" applyBorder="1" applyAlignment="1">
      <alignment horizontal="center" vertical="center"/>
    </xf>
    <xf numFmtId="2" fontId="36" fillId="61" borderId="14" xfId="0" applyNumberFormat="1" applyFont="1" applyFill="1" applyBorder="1" applyAlignment="1">
      <alignment horizontal="center" vertical="center"/>
    </xf>
    <xf numFmtId="2" fontId="36" fillId="100" borderId="14" xfId="0" applyNumberFormat="1" applyFont="1" applyFill="1" applyBorder="1" applyAlignment="1">
      <alignment horizontal="center" vertical="center"/>
    </xf>
    <xf numFmtId="2" fontId="36" fillId="111" borderId="14" xfId="0" applyNumberFormat="1" applyFont="1" applyFill="1" applyBorder="1" applyAlignment="1">
      <alignment horizontal="center" vertical="center"/>
    </xf>
    <xf numFmtId="0" fontId="36" fillId="129" borderId="244" xfId="0" applyFont="1" applyFill="1" applyBorder="1" applyAlignment="1">
      <alignment horizontal="center" vertical="center" wrapText="1"/>
    </xf>
    <xf numFmtId="0" fontId="36" fillId="128" borderId="244" xfId="0" applyFont="1" applyFill="1" applyBorder="1" applyAlignment="1">
      <alignment horizontal="center" vertical="center"/>
    </xf>
    <xf numFmtId="0" fontId="36" fillId="130" borderId="245" xfId="0" applyFont="1" applyFill="1" applyBorder="1" applyAlignment="1">
      <alignment horizontal="center" vertical="center" wrapText="1"/>
    </xf>
    <xf numFmtId="0" fontId="36" fillId="130" borderId="244" xfId="0" applyFont="1" applyFill="1" applyBorder="1" applyAlignment="1">
      <alignment horizontal="center" vertical="center" wrapText="1"/>
    </xf>
    <xf numFmtId="0" fontId="149" fillId="128" borderId="245" xfId="0" quotePrefix="1" applyFont="1" applyFill="1" applyBorder="1" applyAlignment="1">
      <alignment horizontal="center" vertical="center"/>
    </xf>
    <xf numFmtId="0" fontId="149" fillId="128" borderId="245" xfId="0" applyFont="1" applyFill="1" applyBorder="1" applyAlignment="1">
      <alignment horizontal="center" vertical="center"/>
    </xf>
    <xf numFmtId="0" fontId="36" fillId="122" borderId="245" xfId="0" applyFont="1" applyFill="1" applyBorder="1" applyAlignment="1">
      <alignment horizontal="center" vertical="center" wrapText="1"/>
    </xf>
    <xf numFmtId="0" fontId="36" fillId="122" borderId="11" xfId="0" applyFont="1" applyFill="1" applyBorder="1" applyAlignment="1">
      <alignment horizontal="center" vertical="center" wrapText="1"/>
    </xf>
    <xf numFmtId="2" fontId="36" fillId="122" borderId="245" xfId="0" applyNumberFormat="1" applyFont="1" applyFill="1" applyBorder="1" applyAlignment="1">
      <alignment horizontal="center" vertical="center" wrapText="1"/>
    </xf>
    <xf numFmtId="2" fontId="36" fillId="122" borderId="26" xfId="0" applyNumberFormat="1" applyFont="1" applyFill="1" applyBorder="1" applyAlignment="1">
      <alignment horizontal="center" vertical="center" wrapText="1"/>
    </xf>
    <xf numFmtId="2" fontId="36" fillId="129" borderId="244" xfId="0" applyNumberFormat="1" applyFont="1" applyFill="1" applyBorder="1" applyAlignment="1">
      <alignment horizontal="center" vertical="center" wrapText="1"/>
    </xf>
    <xf numFmtId="2" fontId="36" fillId="130" borderId="245" xfId="0" applyNumberFormat="1" applyFont="1" applyFill="1" applyBorder="1" applyAlignment="1">
      <alignment horizontal="center" vertical="center" wrapText="1"/>
    </xf>
    <xf numFmtId="2" fontId="36" fillId="130" borderId="244" xfId="0" applyNumberFormat="1" applyFont="1" applyFill="1" applyBorder="1" applyAlignment="1">
      <alignment horizontal="center" vertical="center" wrapText="1"/>
    </xf>
    <xf numFmtId="0" fontId="34" fillId="24" borderId="244" xfId="0" applyFont="1" applyFill="1" applyBorder="1" applyAlignment="1">
      <alignment horizontal="center" vertical="center" wrapText="1"/>
    </xf>
    <xf numFmtId="0" fontId="108" fillId="55" borderId="14" xfId="0" applyFont="1" applyFill="1" applyBorder="1" applyAlignment="1" applyProtection="1">
      <alignment horizontal="center" vertical="center"/>
      <protection locked="0"/>
    </xf>
    <xf numFmtId="0" fontId="36" fillId="50" borderId="14" xfId="0" applyFont="1" applyFill="1" applyBorder="1" applyAlignment="1" applyProtection="1">
      <alignment horizontal="center" vertical="center"/>
      <protection locked="0"/>
    </xf>
    <xf numFmtId="0" fontId="108" fillId="50" borderId="14" xfId="0" applyFont="1" applyFill="1" applyBorder="1" applyAlignment="1" applyProtection="1">
      <alignment horizontal="center" vertical="center"/>
      <protection locked="0"/>
    </xf>
    <xf numFmtId="0" fontId="36" fillId="55" borderId="102" xfId="0" applyFont="1" applyFill="1" applyBorder="1" applyAlignment="1" applyProtection="1">
      <alignment horizontal="center" vertical="center"/>
      <protection locked="0"/>
    </xf>
    <xf numFmtId="164" fontId="36" fillId="50" borderId="71" xfId="0" applyNumberFormat="1" applyFont="1" applyFill="1" applyBorder="1" applyAlignment="1" applyProtection="1">
      <alignment horizontal="center" vertical="center"/>
      <protection locked="0"/>
    </xf>
    <xf numFmtId="2" fontId="36" fillId="118" borderId="102" xfId="0" applyNumberFormat="1" applyFont="1" applyFill="1" applyBorder="1" applyAlignment="1" applyProtection="1">
      <alignment horizontal="center" vertical="center"/>
      <protection locked="0"/>
    </xf>
    <xf numFmtId="0" fontId="108" fillId="55" borderId="26" xfId="0" applyFont="1" applyFill="1" applyBorder="1" applyAlignment="1" applyProtection="1">
      <alignment horizontal="center" vertical="center"/>
      <protection locked="0"/>
    </xf>
    <xf numFmtId="0" fontId="36" fillId="50" borderId="26" xfId="0" applyFont="1" applyFill="1" applyBorder="1" applyAlignment="1" applyProtection="1">
      <alignment horizontal="center" vertical="center"/>
      <protection locked="0"/>
    </xf>
    <xf numFmtId="0" fontId="108" fillId="50" borderId="26" xfId="0" applyFont="1" applyFill="1" applyBorder="1" applyAlignment="1" applyProtection="1">
      <alignment horizontal="center" vertical="center"/>
      <protection locked="0"/>
    </xf>
    <xf numFmtId="0" fontId="36" fillId="55" borderId="103" xfId="0" applyFont="1" applyFill="1" applyBorder="1" applyAlignment="1" applyProtection="1">
      <alignment horizontal="center" vertical="center"/>
      <protection locked="0"/>
    </xf>
    <xf numFmtId="0" fontId="36" fillId="92" borderId="83" xfId="0" applyFont="1" applyFill="1" applyBorder="1" applyAlignment="1" applyProtection="1">
      <alignment horizontal="center" vertical="center"/>
      <protection locked="0"/>
    </xf>
    <xf numFmtId="165" fontId="36" fillId="50" borderId="73" xfId="0" applyNumberFormat="1" applyFont="1" applyFill="1" applyBorder="1" applyAlignment="1" applyProtection="1">
      <alignment horizontal="center" vertical="center"/>
      <protection locked="0"/>
    </xf>
    <xf numFmtId="2" fontId="36" fillId="118" borderId="103" xfId="0" applyNumberFormat="1" applyFont="1" applyFill="1" applyBorder="1" applyAlignment="1" applyProtection="1">
      <alignment horizontal="center" vertical="center"/>
      <protection locked="0"/>
    </xf>
    <xf numFmtId="2" fontId="36" fillId="55" borderId="103" xfId="0" applyNumberFormat="1" applyFont="1" applyFill="1" applyBorder="1" applyAlignment="1" applyProtection="1">
      <alignment horizontal="center" vertical="center"/>
      <protection locked="0"/>
    </xf>
    <xf numFmtId="0" fontId="36" fillId="55" borderId="26" xfId="0" applyFont="1" applyFill="1" applyBorder="1" applyAlignment="1" applyProtection="1">
      <alignment horizontal="center" vertical="center"/>
      <protection locked="0"/>
    </xf>
    <xf numFmtId="0" fontId="36" fillId="92" borderId="160" xfId="0" applyFont="1" applyFill="1" applyBorder="1" applyAlignment="1" applyProtection="1">
      <alignment horizontal="center" vertical="center"/>
      <protection locked="0"/>
    </xf>
    <xf numFmtId="0" fontId="108" fillId="50" borderId="0" xfId="0" applyFont="1" applyFill="1" applyAlignment="1" applyProtection="1">
      <alignment horizontal="center" vertical="center"/>
      <protection locked="0"/>
    </xf>
    <xf numFmtId="0" fontId="36" fillId="92" borderId="85" xfId="0" applyFont="1" applyFill="1" applyBorder="1" applyAlignment="1" applyProtection="1">
      <alignment horizontal="center" vertical="center"/>
      <protection locked="0"/>
    </xf>
    <xf numFmtId="165" fontId="36" fillId="50" borderId="84" xfId="0" applyNumberFormat="1" applyFont="1" applyFill="1" applyBorder="1" applyAlignment="1" applyProtection="1">
      <alignment horizontal="center" vertical="center"/>
      <protection locked="0"/>
    </xf>
    <xf numFmtId="2" fontId="36" fillId="118" borderId="104" xfId="0" applyNumberFormat="1" applyFont="1" applyFill="1" applyBorder="1" applyAlignment="1" applyProtection="1">
      <alignment horizontal="center" vertical="center"/>
      <protection locked="0"/>
    </xf>
    <xf numFmtId="2" fontId="36" fillId="55" borderId="104" xfId="0" applyNumberFormat="1" applyFont="1" applyFill="1" applyBorder="1" applyAlignment="1" applyProtection="1">
      <alignment horizontal="center" vertical="center"/>
      <protection locked="0"/>
    </xf>
    <xf numFmtId="0" fontId="36" fillId="92" borderId="96" xfId="0" applyFont="1" applyFill="1" applyBorder="1" applyAlignment="1" applyProtection="1">
      <alignment horizontal="center" vertical="center"/>
      <protection locked="0"/>
    </xf>
    <xf numFmtId="165" fontId="36" fillId="50" borderId="71" xfId="0" applyNumberFormat="1" applyFont="1" applyFill="1" applyBorder="1" applyAlignment="1" applyProtection="1">
      <alignment horizontal="center" vertical="center"/>
      <protection locked="0"/>
    </xf>
    <xf numFmtId="0" fontId="108" fillId="55" borderId="11" xfId="0" applyFont="1" applyFill="1" applyBorder="1" applyAlignment="1" applyProtection="1">
      <alignment horizontal="center" vertical="center"/>
      <protection locked="0"/>
    </xf>
    <xf numFmtId="165" fontId="36" fillId="50" borderId="81" xfId="0" applyNumberFormat="1" applyFont="1" applyFill="1" applyBorder="1" applyAlignment="1" applyProtection="1">
      <alignment horizontal="center" vertical="center"/>
      <protection locked="0"/>
    </xf>
    <xf numFmtId="165" fontId="36" fillId="50" borderId="82" xfId="0" applyNumberFormat="1" applyFont="1" applyFill="1" applyBorder="1" applyAlignment="1" applyProtection="1">
      <alignment horizontal="center" vertical="center"/>
      <protection locked="0"/>
    </xf>
    <xf numFmtId="0" fontId="108" fillId="50" borderId="11" xfId="0" applyFont="1" applyFill="1" applyBorder="1" applyAlignment="1" applyProtection="1">
      <alignment horizontal="center" vertical="center"/>
      <protection locked="0"/>
    </xf>
    <xf numFmtId="0" fontId="108" fillId="50" borderId="17" xfId="0" applyFont="1" applyFill="1" applyBorder="1" applyAlignment="1" applyProtection="1">
      <alignment horizontal="center" vertical="center"/>
      <protection locked="0"/>
    </xf>
    <xf numFmtId="0" fontId="133" fillId="58" borderId="14" xfId="0" applyFont="1" applyFill="1" applyBorder="1" applyAlignment="1" applyProtection="1">
      <alignment horizontal="center" vertical="center"/>
      <protection locked="0"/>
    </xf>
    <xf numFmtId="0" fontId="36" fillId="58" borderId="102" xfId="0" applyFont="1" applyFill="1" applyBorder="1" applyAlignment="1" applyProtection="1">
      <alignment horizontal="center" vertical="center"/>
      <protection locked="0"/>
    </xf>
    <xf numFmtId="165" fontId="36" fillId="50" borderId="97" xfId="0" applyNumberFormat="1" applyFont="1" applyFill="1" applyBorder="1" applyAlignment="1" applyProtection="1">
      <alignment horizontal="center" vertical="center"/>
      <protection locked="0"/>
    </xf>
    <xf numFmtId="2" fontId="36" fillId="58" borderId="102" xfId="0" applyNumberFormat="1" applyFont="1" applyFill="1" applyBorder="1" applyAlignment="1" applyProtection="1">
      <alignment horizontal="center" vertical="center"/>
      <protection locked="0"/>
    </xf>
    <xf numFmtId="0" fontId="133" fillId="58" borderId="26" xfId="0" applyFont="1" applyFill="1" applyBorder="1" applyAlignment="1" applyProtection="1">
      <alignment horizontal="center" vertical="center"/>
      <protection locked="0"/>
    </xf>
    <xf numFmtId="0" fontId="36" fillId="58" borderId="103" xfId="0" applyFont="1" applyFill="1" applyBorder="1" applyAlignment="1" applyProtection="1">
      <alignment horizontal="center" vertical="center"/>
      <protection locked="0"/>
    </xf>
    <xf numFmtId="0" fontId="36" fillId="58" borderId="26" xfId="0" applyFont="1" applyFill="1" applyBorder="1" applyAlignment="1" applyProtection="1">
      <alignment horizontal="center" vertical="center"/>
      <protection locked="0"/>
    </xf>
    <xf numFmtId="2" fontId="36" fillId="58" borderId="104" xfId="0" applyNumberFormat="1" applyFont="1" applyFill="1" applyBorder="1" applyAlignment="1" applyProtection="1">
      <alignment horizontal="center" vertical="center"/>
      <protection locked="0"/>
    </xf>
    <xf numFmtId="0" fontId="133" fillId="58" borderId="11" xfId="0" applyFont="1" applyFill="1" applyBorder="1" applyAlignment="1" applyProtection="1">
      <alignment horizontal="center" vertical="center"/>
      <protection locked="0"/>
    </xf>
    <xf numFmtId="0" fontId="134" fillId="77" borderId="14" xfId="0" applyFont="1" applyFill="1" applyBorder="1" applyAlignment="1" applyProtection="1">
      <alignment horizontal="center" vertical="center"/>
      <protection locked="0"/>
    </xf>
    <xf numFmtId="0" fontId="36" fillId="77" borderId="102" xfId="0" applyFont="1" applyFill="1" applyBorder="1" applyAlignment="1" applyProtection="1">
      <alignment horizontal="center" vertical="center"/>
      <protection locked="0"/>
    </xf>
    <xf numFmtId="0" fontId="134" fillId="77" borderId="26" xfId="0" applyFont="1" applyFill="1" applyBorder="1" applyAlignment="1" applyProtection="1">
      <alignment horizontal="center" vertical="center"/>
      <protection locked="0"/>
    </xf>
    <xf numFmtId="0" fontId="36" fillId="77" borderId="103" xfId="0" applyFont="1" applyFill="1" applyBorder="1" applyAlignment="1" applyProtection="1">
      <alignment horizontal="center" vertical="center"/>
      <protection locked="0"/>
    </xf>
    <xf numFmtId="0" fontId="36" fillId="77" borderId="26" xfId="0" applyFont="1" applyFill="1" applyBorder="1" applyAlignment="1" applyProtection="1">
      <alignment horizontal="center" vertical="center"/>
      <protection locked="0"/>
    </xf>
    <xf numFmtId="0" fontId="136" fillId="87" borderId="14" xfId="0" applyFont="1" applyFill="1" applyBorder="1" applyAlignment="1" applyProtection="1">
      <alignment horizontal="center" vertical="center"/>
      <protection locked="0"/>
    </xf>
    <xf numFmtId="0" fontId="36" fillId="87" borderId="102" xfId="0" applyFont="1" applyFill="1" applyBorder="1" applyAlignment="1" applyProtection="1">
      <alignment horizontal="center" vertical="center"/>
      <protection locked="0"/>
    </xf>
    <xf numFmtId="0" fontId="136" fillId="87" borderId="26" xfId="0" applyFont="1" applyFill="1" applyBorder="1" applyAlignment="1" applyProtection="1">
      <alignment horizontal="center" vertical="center"/>
      <protection locked="0"/>
    </xf>
    <xf numFmtId="0" fontId="36" fillId="87" borderId="103" xfId="0" applyFont="1" applyFill="1" applyBorder="1" applyAlignment="1" applyProtection="1">
      <alignment horizontal="center" vertical="center"/>
      <protection locked="0"/>
    </xf>
    <xf numFmtId="0" fontId="36" fillId="87" borderId="26" xfId="0" applyFont="1" applyFill="1" applyBorder="1" applyAlignment="1" applyProtection="1">
      <alignment horizontal="center" vertical="center"/>
      <protection locked="0"/>
    </xf>
    <xf numFmtId="0" fontId="36" fillId="77" borderId="173" xfId="0" applyFont="1" applyFill="1" applyBorder="1" applyAlignment="1" applyProtection="1">
      <alignment horizontal="center" vertical="center"/>
      <protection locked="0"/>
    </xf>
    <xf numFmtId="0" fontId="128" fillId="56" borderId="14" xfId="0" applyFont="1" applyFill="1" applyBorder="1" applyAlignment="1" applyProtection="1">
      <alignment horizontal="center" vertical="center"/>
      <protection locked="0"/>
    </xf>
    <xf numFmtId="0" fontId="36" fillId="56" borderId="102" xfId="0" applyFont="1" applyFill="1" applyBorder="1" applyAlignment="1" applyProtection="1">
      <alignment horizontal="center" vertical="center"/>
      <protection locked="0"/>
    </xf>
    <xf numFmtId="2" fontId="36" fillId="56" borderId="102" xfId="0" applyNumberFormat="1" applyFont="1" applyFill="1" applyBorder="1" applyAlignment="1" applyProtection="1">
      <alignment horizontal="center" vertical="center"/>
      <protection locked="0"/>
    </xf>
    <xf numFmtId="0" fontId="128" fillId="56" borderId="26" xfId="0" applyFont="1" applyFill="1" applyBorder="1" applyAlignment="1" applyProtection="1">
      <alignment horizontal="center" vertical="center"/>
      <protection locked="0"/>
    </xf>
    <xf numFmtId="0" fontId="36" fillId="56" borderId="103" xfId="0" applyFont="1" applyFill="1" applyBorder="1" applyAlignment="1" applyProtection="1">
      <alignment horizontal="center" vertical="center"/>
      <protection locked="0"/>
    </xf>
    <xf numFmtId="0" fontId="36" fillId="56" borderId="26" xfId="0" applyFont="1" applyFill="1" applyBorder="1" applyAlignment="1" applyProtection="1">
      <alignment horizontal="center" vertical="center"/>
      <protection locked="0"/>
    </xf>
    <xf numFmtId="2" fontId="36" fillId="60" borderId="103" xfId="0" applyNumberFormat="1" applyFont="1" applyFill="1" applyBorder="1" applyAlignment="1" applyProtection="1">
      <alignment horizontal="center" vertical="center"/>
      <protection locked="0"/>
    </xf>
    <xf numFmtId="2" fontId="36" fillId="56" borderId="104" xfId="0" applyNumberFormat="1" applyFont="1" applyFill="1" applyBorder="1" applyAlignment="1" applyProtection="1">
      <alignment horizontal="center" vertical="center"/>
      <protection locked="0"/>
    </xf>
    <xf numFmtId="0" fontId="128" fillId="56" borderId="245" xfId="0" applyFont="1" applyFill="1" applyBorder="1" applyAlignment="1" applyProtection="1">
      <alignment horizontal="center" vertical="center"/>
      <protection locked="0"/>
    </xf>
    <xf numFmtId="0" fontId="128" fillId="56" borderId="11" xfId="0" applyFont="1" applyFill="1" applyBorder="1" applyAlignment="1" applyProtection="1">
      <alignment horizontal="center" vertical="center"/>
      <protection locked="0"/>
    </xf>
    <xf numFmtId="0" fontId="132" fillId="64" borderId="14" xfId="0" applyFont="1" applyFill="1" applyBorder="1" applyAlignment="1" applyProtection="1">
      <alignment horizontal="center" vertical="center"/>
      <protection locked="0"/>
    </xf>
    <xf numFmtId="0" fontId="36" fillId="64" borderId="102" xfId="0" applyFont="1" applyFill="1" applyBorder="1" applyAlignment="1" applyProtection="1">
      <alignment horizontal="center" vertical="center"/>
      <protection locked="0"/>
    </xf>
    <xf numFmtId="0" fontId="132" fillId="64" borderId="26" xfId="0" applyFont="1" applyFill="1" applyBorder="1" applyAlignment="1" applyProtection="1">
      <alignment horizontal="center" vertical="center"/>
      <protection locked="0"/>
    </xf>
    <xf numFmtId="0" fontId="36" fillId="64" borderId="103" xfId="0" applyFont="1" applyFill="1" applyBorder="1" applyAlignment="1" applyProtection="1">
      <alignment horizontal="center" vertical="center"/>
      <protection locked="0"/>
    </xf>
    <xf numFmtId="0" fontId="36" fillId="64" borderId="26" xfId="0" applyFont="1" applyFill="1" applyBorder="1" applyAlignment="1" applyProtection="1">
      <alignment horizontal="center" vertical="center"/>
      <protection locked="0"/>
    </xf>
    <xf numFmtId="2" fontId="36" fillId="64" borderId="104" xfId="0" applyNumberFormat="1" applyFont="1" applyFill="1" applyBorder="1" applyAlignment="1" applyProtection="1">
      <alignment horizontal="center" vertical="center"/>
      <protection locked="0"/>
    </xf>
    <xf numFmtId="0" fontId="132" fillId="64" borderId="245" xfId="0" applyFont="1" applyFill="1" applyBorder="1" applyAlignment="1" applyProtection="1">
      <alignment horizontal="center" vertical="center"/>
      <protection locked="0"/>
    </xf>
    <xf numFmtId="0" fontId="132" fillId="64" borderId="11" xfId="0" applyFont="1" applyFill="1" applyBorder="1" applyAlignment="1" applyProtection="1">
      <alignment horizontal="center" vertical="center"/>
      <protection locked="0"/>
    </xf>
    <xf numFmtId="0" fontId="131" fillId="98" borderId="14" xfId="0" applyFont="1" applyFill="1" applyBorder="1" applyAlignment="1" applyProtection="1">
      <alignment horizontal="center" vertical="center"/>
      <protection locked="0"/>
    </xf>
    <xf numFmtId="0" fontId="36" fillId="98" borderId="102" xfId="0" applyFont="1" applyFill="1" applyBorder="1" applyAlignment="1" applyProtection="1">
      <alignment horizontal="center" vertical="center"/>
      <protection locked="0"/>
    </xf>
    <xf numFmtId="0" fontId="131" fillId="98" borderId="26" xfId="0" applyFont="1" applyFill="1" applyBorder="1" applyAlignment="1" applyProtection="1">
      <alignment horizontal="center" vertical="center"/>
      <protection locked="0"/>
    </xf>
    <xf numFmtId="0" fontId="36" fillId="98" borderId="103" xfId="0" applyFont="1" applyFill="1" applyBorder="1" applyAlignment="1" applyProtection="1">
      <alignment horizontal="center" vertical="center"/>
      <protection locked="0"/>
    </xf>
    <xf numFmtId="0" fontId="36" fillId="98" borderId="26" xfId="0" applyFont="1" applyFill="1" applyBorder="1" applyAlignment="1" applyProtection="1">
      <alignment horizontal="center" vertical="center"/>
      <protection locked="0"/>
    </xf>
    <xf numFmtId="0" fontId="131" fillId="98" borderId="245" xfId="0" applyFont="1" applyFill="1" applyBorder="1" applyAlignment="1" applyProtection="1">
      <alignment horizontal="center" vertical="center"/>
      <protection locked="0"/>
    </xf>
    <xf numFmtId="0" fontId="131" fillId="98" borderId="11" xfId="0" applyFont="1" applyFill="1" applyBorder="1" applyAlignment="1" applyProtection="1">
      <alignment horizontal="center" vertical="center"/>
      <protection locked="0"/>
    </xf>
    <xf numFmtId="0" fontId="139" fillId="109" borderId="14" xfId="0" applyFont="1" applyFill="1" applyBorder="1" applyAlignment="1" applyProtection="1">
      <alignment horizontal="center" vertical="center"/>
      <protection locked="0"/>
    </xf>
    <xf numFmtId="0" fontId="36" fillId="109" borderId="102" xfId="0" applyFont="1" applyFill="1" applyBorder="1" applyAlignment="1" applyProtection="1">
      <alignment horizontal="center" vertical="center"/>
      <protection locked="0"/>
    </xf>
    <xf numFmtId="0" fontId="139" fillId="109" borderId="26" xfId="0" applyFont="1" applyFill="1" applyBorder="1" applyAlignment="1" applyProtection="1">
      <alignment horizontal="center" vertical="center"/>
      <protection locked="0"/>
    </xf>
    <xf numFmtId="0" fontId="36" fillId="109" borderId="103" xfId="0" applyFont="1" applyFill="1" applyBorder="1" applyAlignment="1" applyProtection="1">
      <alignment horizontal="center" vertical="center"/>
      <protection locked="0"/>
    </xf>
    <xf numFmtId="0" fontId="36" fillId="109" borderId="26" xfId="0" applyFont="1" applyFill="1" applyBorder="1" applyAlignment="1" applyProtection="1">
      <alignment horizontal="center" vertical="center"/>
      <protection locked="0"/>
    </xf>
    <xf numFmtId="2" fontId="36" fillId="109" borderId="104" xfId="0" applyNumberFormat="1" applyFont="1" applyFill="1" applyBorder="1" applyAlignment="1" applyProtection="1">
      <alignment horizontal="center" vertical="center"/>
      <protection locked="0"/>
    </xf>
    <xf numFmtId="0" fontId="139" fillId="109" borderId="245" xfId="0" applyFont="1" applyFill="1" applyBorder="1" applyAlignment="1" applyProtection="1">
      <alignment horizontal="center" vertical="center"/>
      <protection locked="0"/>
    </xf>
    <xf numFmtId="0" fontId="139" fillId="109" borderId="11" xfId="0" applyFont="1" applyFill="1" applyBorder="1" applyAlignment="1" applyProtection="1">
      <alignment horizontal="center" vertical="center"/>
      <protection locked="0"/>
    </xf>
    <xf numFmtId="0" fontId="134" fillId="77" borderId="245" xfId="0" applyFont="1" applyFill="1" applyBorder="1" applyAlignment="1" applyProtection="1">
      <alignment horizontal="center" vertical="center"/>
      <protection locked="0"/>
    </xf>
    <xf numFmtId="0" fontId="134" fillId="77" borderId="11" xfId="0" applyFont="1" applyFill="1" applyBorder="1" applyAlignment="1" applyProtection="1">
      <alignment horizontal="center" vertical="center"/>
      <protection locked="0"/>
    </xf>
    <xf numFmtId="0" fontId="128" fillId="56" borderId="245" xfId="0" quotePrefix="1" applyFont="1" applyFill="1" applyBorder="1" applyAlignment="1" applyProtection="1">
      <alignment horizontal="center" vertical="center"/>
      <protection locked="0"/>
    </xf>
    <xf numFmtId="0" fontId="116" fillId="50" borderId="245" xfId="0" applyFont="1" applyFill="1" applyBorder="1" applyAlignment="1" applyProtection="1">
      <alignment horizontal="center" vertical="center"/>
      <protection locked="0"/>
    </xf>
    <xf numFmtId="1" fontId="9" fillId="44" borderId="102" xfId="0" applyNumberFormat="1" applyFont="1" applyFill="1" applyBorder="1" applyAlignment="1" applyProtection="1">
      <alignment horizontal="center"/>
      <protection locked="0"/>
    </xf>
    <xf numFmtId="1" fontId="9" fillId="50" borderId="18" xfId="0" applyNumberFormat="1" applyFont="1" applyFill="1" applyBorder="1" applyAlignment="1" applyProtection="1">
      <alignment horizontal="center"/>
      <protection locked="0"/>
    </xf>
    <xf numFmtId="0" fontId="128" fillId="56" borderId="26" xfId="0" quotePrefix="1" applyFont="1" applyFill="1" applyBorder="1" applyAlignment="1" applyProtection="1">
      <alignment horizontal="center" vertical="center"/>
      <protection locked="0"/>
    </xf>
    <xf numFmtId="0" fontId="116" fillId="50" borderId="26" xfId="0" applyFont="1" applyFill="1" applyBorder="1" applyAlignment="1" applyProtection="1">
      <alignment horizontal="center" vertical="center"/>
      <protection locked="0"/>
    </xf>
    <xf numFmtId="1" fontId="9" fillId="44" borderId="103" xfId="0" applyNumberFormat="1" applyFont="1" applyFill="1" applyBorder="1" applyAlignment="1" applyProtection="1">
      <alignment horizontal="center"/>
      <protection locked="0"/>
    </xf>
    <xf numFmtId="0" fontId="36" fillId="56" borderId="26" xfId="0" quotePrefix="1" applyFont="1" applyFill="1" applyBorder="1" applyAlignment="1" applyProtection="1">
      <alignment horizontal="center" vertical="center"/>
      <protection locked="0"/>
    </xf>
    <xf numFmtId="0" fontId="36" fillId="60" borderId="26" xfId="0" applyFont="1" applyFill="1" applyBorder="1" applyAlignment="1" applyProtection="1">
      <alignment horizontal="center" vertical="center"/>
      <protection locked="0"/>
    </xf>
    <xf numFmtId="2" fontId="36" fillId="60" borderId="26" xfId="0" applyNumberFormat="1" applyFont="1" applyFill="1" applyBorder="1" applyAlignment="1" applyProtection="1">
      <alignment horizontal="center" vertical="center"/>
      <protection locked="0"/>
    </xf>
    <xf numFmtId="2" fontId="36" fillId="60" borderId="11" xfId="0" applyNumberFormat="1" applyFont="1" applyFill="1" applyBorder="1" applyAlignment="1" applyProtection="1">
      <alignment horizontal="center" vertical="center"/>
      <protection locked="0"/>
    </xf>
    <xf numFmtId="0" fontId="116" fillId="60" borderId="14" xfId="0" applyFont="1" applyFill="1" applyBorder="1" applyAlignment="1" applyProtection="1">
      <alignment horizontal="center" vertical="center"/>
      <protection locked="0"/>
    </xf>
    <xf numFmtId="0" fontId="116" fillId="60" borderId="11" xfId="0" applyFont="1" applyFill="1" applyBorder="1" applyAlignment="1" applyProtection="1">
      <alignment horizontal="center" vertical="center"/>
      <protection locked="0"/>
    </xf>
    <xf numFmtId="2" fontId="36" fillId="60" borderId="104" xfId="0" applyNumberFormat="1" applyFont="1" applyFill="1" applyBorder="1" applyAlignment="1" applyProtection="1">
      <alignment horizontal="center" vertical="center"/>
      <protection locked="0"/>
    </xf>
    <xf numFmtId="2" fontId="36" fillId="44" borderId="104" xfId="0" applyNumberFormat="1" applyFont="1" applyFill="1" applyBorder="1" applyAlignment="1" applyProtection="1">
      <alignment horizontal="center" vertical="center"/>
      <protection locked="0"/>
    </xf>
    <xf numFmtId="2" fontId="36" fillId="44" borderId="29" xfId="0" applyNumberFormat="1" applyFont="1" applyFill="1" applyBorder="1" applyAlignment="1" applyProtection="1">
      <alignment horizontal="center" vertical="center"/>
      <protection locked="0"/>
    </xf>
    <xf numFmtId="165" fontId="36" fillId="50" borderId="89" xfId="0" applyNumberFormat="1" applyFont="1" applyFill="1" applyBorder="1" applyAlignment="1" applyProtection="1">
      <alignment horizontal="center" vertical="center"/>
      <protection locked="0"/>
    </xf>
    <xf numFmtId="1" fontId="9" fillId="44" borderId="26" xfId="0" applyNumberFormat="1" applyFont="1" applyFill="1" applyBorder="1" applyAlignment="1" applyProtection="1">
      <alignment horizontal="center"/>
      <protection locked="0"/>
    </xf>
    <xf numFmtId="2" fontId="36" fillId="118" borderId="26" xfId="0" applyNumberFormat="1" applyFont="1" applyFill="1" applyBorder="1" applyAlignment="1" applyProtection="1">
      <alignment horizontal="center" vertical="center"/>
      <protection locked="0"/>
    </xf>
    <xf numFmtId="0" fontId="116" fillId="50" borderId="11" xfId="0" applyFont="1" applyFill="1" applyBorder="1" applyAlignment="1" applyProtection="1">
      <alignment horizontal="center" vertical="center"/>
      <protection locked="0"/>
    </xf>
    <xf numFmtId="1" fontId="9" fillId="44" borderId="11" xfId="0" applyNumberFormat="1" applyFont="1" applyFill="1" applyBorder="1" applyAlignment="1" applyProtection="1">
      <alignment horizontal="center"/>
      <protection locked="0"/>
    </xf>
    <xf numFmtId="0" fontId="133" fillId="58" borderId="245" xfId="0" quotePrefix="1" applyFont="1" applyFill="1" applyBorder="1" applyAlignment="1" applyProtection="1">
      <alignment horizontal="center" vertical="center"/>
      <protection locked="0"/>
    </xf>
    <xf numFmtId="0" fontId="133" fillId="58" borderId="245" xfId="0" applyFont="1" applyFill="1" applyBorder="1" applyAlignment="1" applyProtection="1">
      <alignment horizontal="center" vertical="center"/>
      <protection locked="0"/>
    </xf>
    <xf numFmtId="0" fontId="133" fillId="58" borderId="26" xfId="0" quotePrefix="1" applyFont="1" applyFill="1" applyBorder="1" applyAlignment="1" applyProtection="1">
      <alignment horizontal="center" vertical="center"/>
      <protection locked="0"/>
    </xf>
    <xf numFmtId="0" fontId="36" fillId="58" borderId="26" xfId="0" quotePrefix="1" applyFont="1" applyFill="1" applyBorder="1" applyAlignment="1" applyProtection="1">
      <alignment horizontal="center" vertical="center"/>
      <protection locked="0"/>
    </xf>
    <xf numFmtId="2" fontId="36" fillId="55" borderId="26" xfId="0" applyNumberFormat="1" applyFont="1" applyFill="1" applyBorder="1" applyAlignment="1" applyProtection="1">
      <alignment horizontal="center" vertical="center"/>
      <protection locked="0"/>
    </xf>
    <xf numFmtId="2" fontId="36" fillId="55" borderId="11" xfId="0" applyNumberFormat="1" applyFont="1" applyFill="1" applyBorder="1" applyAlignment="1" applyProtection="1">
      <alignment horizontal="center" vertical="center"/>
      <protection locked="0"/>
    </xf>
    <xf numFmtId="0" fontId="36" fillId="48" borderId="26" xfId="0" applyFont="1" applyFill="1" applyBorder="1" applyAlignment="1" applyProtection="1">
      <alignment horizontal="center" vertical="center"/>
      <protection locked="0"/>
    </xf>
    <xf numFmtId="0" fontId="134" fillId="77" borderId="245" xfId="0" quotePrefix="1" applyFont="1" applyFill="1" applyBorder="1" applyAlignment="1" applyProtection="1">
      <alignment horizontal="center" vertical="center"/>
      <protection locked="0"/>
    </xf>
    <xf numFmtId="0" fontId="134" fillId="77" borderId="26" xfId="0" quotePrefix="1" applyFont="1" applyFill="1" applyBorder="1" applyAlignment="1" applyProtection="1">
      <alignment horizontal="center" vertical="center"/>
      <protection locked="0"/>
    </xf>
    <xf numFmtId="0" fontId="36" fillId="77" borderId="26" xfId="0" quotePrefix="1" applyFont="1" applyFill="1" applyBorder="1" applyAlignment="1" applyProtection="1">
      <alignment horizontal="center" vertical="center"/>
      <protection locked="0"/>
    </xf>
    <xf numFmtId="0" fontId="36" fillId="76" borderId="26" xfId="0" applyFont="1" applyFill="1" applyBorder="1" applyAlignment="1" applyProtection="1">
      <alignment horizontal="center" vertical="center"/>
      <protection locked="0"/>
    </xf>
    <xf numFmtId="0" fontId="108" fillId="76" borderId="14" xfId="0" applyFont="1" applyFill="1" applyBorder="1" applyAlignment="1" applyProtection="1">
      <alignment horizontal="center" vertical="center"/>
      <protection locked="0"/>
    </xf>
    <xf numFmtId="0" fontId="108" fillId="76" borderId="11" xfId="0" applyFont="1" applyFill="1" applyBorder="1" applyAlignment="1" applyProtection="1">
      <alignment horizontal="center" vertical="center"/>
      <protection locked="0"/>
    </xf>
    <xf numFmtId="0" fontId="36" fillId="45" borderId="26" xfId="0" applyFont="1" applyFill="1" applyBorder="1" applyAlignment="1" applyProtection="1">
      <alignment horizontal="center" vertical="center"/>
      <protection locked="0"/>
    </xf>
    <xf numFmtId="0" fontId="137" fillId="93" borderId="245" xfId="0" quotePrefix="1" applyFont="1" applyFill="1" applyBorder="1" applyAlignment="1" applyProtection="1">
      <alignment horizontal="center" vertical="center"/>
      <protection locked="0"/>
    </xf>
    <xf numFmtId="0" fontId="137" fillId="93" borderId="245" xfId="0" applyFont="1" applyFill="1" applyBorder="1" applyAlignment="1" applyProtection="1">
      <alignment horizontal="center" vertical="center"/>
      <protection locked="0"/>
    </xf>
    <xf numFmtId="0" fontId="36" fillId="93" borderId="102" xfId="0" applyFont="1" applyFill="1" applyBorder="1" applyAlignment="1" applyProtection="1">
      <alignment horizontal="center" vertical="center"/>
      <protection locked="0"/>
    </xf>
    <xf numFmtId="0" fontId="137" fillId="93" borderId="26" xfId="0" quotePrefix="1" applyFont="1" applyFill="1" applyBorder="1" applyAlignment="1" applyProtection="1">
      <alignment horizontal="center" vertical="center"/>
      <protection locked="0"/>
    </xf>
    <xf numFmtId="0" fontId="137" fillId="93" borderId="26" xfId="0" applyFont="1" applyFill="1" applyBorder="1" applyAlignment="1" applyProtection="1">
      <alignment horizontal="center" vertical="center"/>
      <protection locked="0"/>
    </xf>
    <xf numFmtId="0" fontId="36" fillId="93" borderId="103" xfId="0" applyFont="1" applyFill="1" applyBorder="1" applyAlignment="1" applyProtection="1">
      <alignment horizontal="center" vertical="center"/>
      <protection locked="0"/>
    </xf>
    <xf numFmtId="0" fontId="36" fillId="93" borderId="26" xfId="0" quotePrefix="1" applyFont="1" applyFill="1" applyBorder="1" applyAlignment="1" applyProtection="1">
      <alignment horizontal="center" vertical="center"/>
      <protection locked="0"/>
    </xf>
    <xf numFmtId="0" fontId="36" fillId="93" borderId="26" xfId="0" applyFont="1" applyFill="1" applyBorder="1" applyAlignment="1" applyProtection="1">
      <alignment horizontal="center" vertical="center"/>
      <protection locked="0"/>
    </xf>
    <xf numFmtId="0" fontId="36" fillId="105" borderId="26" xfId="0" applyFont="1" applyFill="1" applyBorder="1" applyAlignment="1" applyProtection="1">
      <alignment horizontal="center" vertical="center"/>
      <protection locked="0"/>
    </xf>
    <xf numFmtId="0" fontId="138" fillId="105" borderId="14" xfId="0" applyFont="1" applyFill="1" applyBorder="1" applyAlignment="1" applyProtection="1">
      <alignment horizontal="center" vertical="center"/>
      <protection locked="0"/>
    </xf>
    <xf numFmtId="0" fontId="138" fillId="105" borderId="11" xfId="0" applyFont="1" applyFill="1" applyBorder="1" applyAlignment="1" applyProtection="1">
      <alignment horizontal="center" vertical="center"/>
      <protection locked="0"/>
    </xf>
    <xf numFmtId="0" fontId="36" fillId="92" borderId="26" xfId="0" applyFont="1" applyFill="1" applyBorder="1" applyAlignment="1" applyProtection="1">
      <alignment horizontal="center" vertical="center"/>
      <protection locked="0"/>
    </xf>
    <xf numFmtId="0" fontId="140" fillId="99" borderId="245" xfId="0" quotePrefix="1" applyFont="1" applyFill="1" applyBorder="1" applyAlignment="1" applyProtection="1">
      <alignment horizontal="center" vertical="center"/>
      <protection locked="0"/>
    </xf>
    <xf numFmtId="0" fontId="140" fillId="99" borderId="245" xfId="0" applyFont="1" applyFill="1" applyBorder="1" applyAlignment="1" applyProtection="1">
      <alignment horizontal="center" vertical="center"/>
      <protection locked="0"/>
    </xf>
    <xf numFmtId="0" fontId="36" fillId="99" borderId="102" xfId="0" applyFont="1" applyFill="1" applyBorder="1" applyAlignment="1" applyProtection="1">
      <alignment horizontal="center" vertical="center"/>
      <protection locked="0"/>
    </xf>
    <xf numFmtId="2" fontId="36" fillId="99" borderId="102" xfId="0" applyNumberFormat="1" applyFont="1" applyFill="1" applyBorder="1" applyAlignment="1" applyProtection="1">
      <alignment horizontal="center" vertical="center"/>
      <protection locked="0"/>
    </xf>
    <xf numFmtId="0" fontId="140" fillId="99" borderId="26" xfId="0" quotePrefix="1" applyFont="1" applyFill="1" applyBorder="1" applyAlignment="1" applyProtection="1">
      <alignment horizontal="center" vertical="center"/>
      <protection locked="0"/>
    </xf>
    <xf numFmtId="0" fontId="140" fillId="99" borderId="26" xfId="0" applyFont="1" applyFill="1" applyBorder="1" applyAlignment="1" applyProtection="1">
      <alignment horizontal="center" vertical="center"/>
      <protection locked="0"/>
    </xf>
    <xf numFmtId="0" fontId="36" fillId="99" borderId="103" xfId="0" applyFont="1" applyFill="1" applyBorder="1" applyAlignment="1" applyProtection="1">
      <alignment horizontal="center" vertical="center"/>
      <protection locked="0"/>
    </xf>
    <xf numFmtId="2" fontId="36" fillId="99" borderId="104" xfId="0" applyNumberFormat="1" applyFont="1" applyFill="1" applyBorder="1" applyAlignment="1" applyProtection="1">
      <alignment horizontal="center" vertical="center"/>
      <protection locked="0"/>
    </xf>
    <xf numFmtId="0" fontId="36" fillId="99" borderId="104" xfId="0" applyFont="1" applyFill="1" applyBorder="1" applyAlignment="1" applyProtection="1">
      <alignment horizontal="center" vertical="center"/>
      <protection locked="0"/>
    </xf>
    <xf numFmtId="0" fontId="36" fillId="99" borderId="26" xfId="0" quotePrefix="1" applyFont="1" applyFill="1" applyBorder="1" applyAlignment="1" applyProtection="1">
      <alignment horizontal="center" vertical="center"/>
      <protection locked="0"/>
    </xf>
    <xf numFmtId="0" fontId="36" fillId="99" borderId="26" xfId="0" applyFont="1" applyFill="1" applyBorder="1" applyAlignment="1" applyProtection="1">
      <alignment horizontal="center" vertical="center"/>
      <protection locked="0"/>
    </xf>
    <xf numFmtId="0" fontId="36" fillId="96" borderId="26" xfId="0" applyFont="1" applyFill="1" applyBorder="1" applyAlignment="1" applyProtection="1">
      <alignment horizontal="center" vertical="center"/>
      <protection locked="0"/>
    </xf>
    <xf numFmtId="2" fontId="36" fillId="96" borderId="26" xfId="0" applyNumberFormat="1" applyFont="1" applyFill="1" applyBorder="1" applyAlignment="1" applyProtection="1">
      <alignment horizontal="center" vertical="center"/>
      <protection locked="0"/>
    </xf>
    <xf numFmtId="2" fontId="36" fillId="96" borderId="11" xfId="0" applyNumberFormat="1" applyFont="1" applyFill="1" applyBorder="1" applyAlignment="1" applyProtection="1">
      <alignment horizontal="center" vertical="center"/>
      <protection locked="0"/>
    </xf>
    <xf numFmtId="0" fontId="120" fillId="96" borderId="14" xfId="0" applyFont="1" applyFill="1" applyBorder="1" applyAlignment="1" applyProtection="1">
      <alignment horizontal="center" vertical="center"/>
      <protection locked="0"/>
    </xf>
    <xf numFmtId="2" fontId="36" fillId="96" borderId="103" xfId="0" applyNumberFormat="1" applyFont="1" applyFill="1" applyBorder="1" applyAlignment="1" applyProtection="1">
      <alignment horizontal="center" vertical="center"/>
      <protection locked="0"/>
    </xf>
    <xf numFmtId="0" fontId="120" fillId="96" borderId="11" xfId="0" applyFont="1" applyFill="1" applyBorder="1" applyAlignment="1" applyProtection="1">
      <alignment horizontal="center" vertical="center"/>
      <protection locked="0"/>
    </xf>
    <xf numFmtId="2" fontId="36" fillId="96" borderId="104" xfId="0" applyNumberFormat="1" applyFont="1" applyFill="1" applyBorder="1" applyAlignment="1" applyProtection="1">
      <alignment horizontal="center" vertical="center"/>
      <protection locked="0"/>
    </xf>
    <xf numFmtId="0" fontId="36" fillId="59" borderId="26" xfId="0" applyFont="1" applyFill="1" applyBorder="1" applyAlignment="1" applyProtection="1">
      <alignment horizontal="center" vertical="center"/>
      <protection locked="0"/>
    </xf>
    <xf numFmtId="0" fontId="36" fillId="56" borderId="104" xfId="0" applyFont="1" applyFill="1" applyBorder="1" applyAlignment="1" applyProtection="1">
      <alignment horizontal="center" vertical="center"/>
      <protection locked="0"/>
    </xf>
    <xf numFmtId="0" fontId="132" fillId="64" borderId="245" xfId="0" quotePrefix="1" applyFont="1" applyFill="1" applyBorder="1" applyAlignment="1" applyProtection="1">
      <alignment horizontal="center" vertical="center"/>
      <protection locked="0"/>
    </xf>
    <xf numFmtId="2" fontId="36" fillId="64" borderId="102" xfId="0" applyNumberFormat="1" applyFont="1" applyFill="1" applyBorder="1" applyAlignment="1" applyProtection="1">
      <alignment horizontal="center" vertical="center"/>
      <protection locked="0"/>
    </xf>
    <xf numFmtId="0" fontId="132" fillId="64" borderId="26" xfId="0" quotePrefix="1" applyFont="1" applyFill="1" applyBorder="1" applyAlignment="1" applyProtection="1">
      <alignment horizontal="center" vertical="center"/>
      <protection locked="0"/>
    </xf>
    <xf numFmtId="0" fontId="36" fillId="64" borderId="104" xfId="0" applyFont="1" applyFill="1" applyBorder="1" applyAlignment="1" applyProtection="1">
      <alignment horizontal="center" vertical="center"/>
      <protection locked="0"/>
    </xf>
    <xf numFmtId="0" fontId="36" fillId="64" borderId="26" xfId="0" quotePrefix="1" applyFont="1" applyFill="1" applyBorder="1" applyAlignment="1" applyProtection="1">
      <alignment horizontal="center" vertical="center"/>
      <protection locked="0"/>
    </xf>
    <xf numFmtId="0" fontId="36" fillId="61" borderId="26" xfId="0" applyFont="1" applyFill="1" applyBorder="1" applyAlignment="1" applyProtection="1">
      <alignment horizontal="center" vertical="center"/>
      <protection locked="0"/>
    </xf>
    <xf numFmtId="2" fontId="36" fillId="61" borderId="103" xfId="0" applyNumberFormat="1" applyFont="1" applyFill="1" applyBorder="1" applyAlignment="1" applyProtection="1">
      <alignment horizontal="center" vertical="center"/>
      <protection locked="0"/>
    </xf>
    <xf numFmtId="2" fontId="36" fillId="61" borderId="104" xfId="0" applyNumberFormat="1" applyFont="1" applyFill="1" applyBorder="1" applyAlignment="1" applyProtection="1">
      <alignment horizontal="center" vertical="center"/>
      <protection locked="0"/>
    </xf>
    <xf numFmtId="0" fontId="117" fillId="61" borderId="14" xfId="0" applyFont="1" applyFill="1" applyBorder="1" applyAlignment="1" applyProtection="1">
      <alignment horizontal="center" vertical="center"/>
      <protection locked="0"/>
    </xf>
    <xf numFmtId="0" fontId="117" fillId="61" borderId="11" xfId="0" applyFont="1" applyFill="1" applyBorder="1" applyAlignment="1" applyProtection="1">
      <alignment horizontal="center" vertical="center"/>
      <protection locked="0"/>
    </xf>
    <xf numFmtId="0" fontId="139" fillId="109" borderId="245" xfId="0" quotePrefix="1" applyFont="1" applyFill="1" applyBorder="1" applyAlignment="1" applyProtection="1">
      <alignment horizontal="center" vertical="center"/>
      <protection locked="0"/>
    </xf>
    <xf numFmtId="2" fontId="36" fillId="109" borderId="102" xfId="0" applyNumberFormat="1" applyFont="1" applyFill="1" applyBorder="1" applyAlignment="1" applyProtection="1">
      <alignment horizontal="center" vertical="center"/>
      <protection locked="0"/>
    </xf>
    <xf numFmtId="0" fontId="139" fillId="109" borderId="26" xfId="0" quotePrefix="1" applyFont="1" applyFill="1" applyBorder="1" applyAlignment="1" applyProtection="1">
      <alignment horizontal="center" vertical="center"/>
      <protection locked="0"/>
    </xf>
    <xf numFmtId="0" fontId="36" fillId="109" borderId="104" xfId="0" applyFont="1" applyFill="1" applyBorder="1" applyAlignment="1" applyProtection="1">
      <alignment horizontal="center" vertical="center"/>
      <protection locked="0"/>
    </xf>
    <xf numFmtId="0" fontId="36" fillId="109" borderId="26" xfId="0" quotePrefix="1" applyFont="1" applyFill="1" applyBorder="1" applyAlignment="1" applyProtection="1">
      <alignment horizontal="center" vertical="center"/>
      <protection locked="0"/>
    </xf>
    <xf numFmtId="0" fontId="36" fillId="100" borderId="26" xfId="0" applyFont="1" applyFill="1" applyBorder="1" applyAlignment="1" applyProtection="1">
      <alignment horizontal="center" vertical="center"/>
      <protection locked="0"/>
    </xf>
    <xf numFmtId="2" fontId="36" fillId="100" borderId="103" xfId="0" applyNumberFormat="1" applyFont="1" applyFill="1" applyBorder="1" applyAlignment="1" applyProtection="1">
      <alignment horizontal="center" vertical="center"/>
      <protection locked="0"/>
    </xf>
    <xf numFmtId="2" fontId="36" fillId="100" borderId="104" xfId="0" applyNumberFormat="1" applyFont="1" applyFill="1" applyBorder="1" applyAlignment="1" applyProtection="1">
      <alignment horizontal="center" vertical="center"/>
      <protection locked="0"/>
    </xf>
    <xf numFmtId="0" fontId="121" fillId="100" borderId="14" xfId="0" applyFont="1" applyFill="1" applyBorder="1" applyAlignment="1" applyProtection="1">
      <alignment horizontal="center" vertical="center"/>
      <protection locked="0"/>
    </xf>
    <xf numFmtId="0" fontId="121" fillId="100" borderId="11" xfId="0" applyFont="1" applyFill="1" applyBorder="1" applyAlignment="1" applyProtection="1">
      <alignment horizontal="center" vertical="center"/>
      <protection locked="0"/>
    </xf>
    <xf numFmtId="0" fontId="141" fillId="110" borderId="245" xfId="0" quotePrefix="1" applyFont="1" applyFill="1" applyBorder="1" applyAlignment="1" applyProtection="1">
      <alignment horizontal="center" vertical="center"/>
      <protection locked="0"/>
    </xf>
    <xf numFmtId="0" fontId="141" fillId="110" borderId="245" xfId="0" applyFont="1" applyFill="1" applyBorder="1" applyAlignment="1" applyProtection="1">
      <alignment horizontal="center" vertical="center"/>
      <protection locked="0"/>
    </xf>
    <xf numFmtId="0" fontId="36" fillId="110" borderId="102" xfId="0" applyFont="1" applyFill="1" applyBorder="1" applyAlignment="1" applyProtection="1">
      <alignment horizontal="center" vertical="center"/>
      <protection locked="0"/>
    </xf>
    <xf numFmtId="0" fontId="141" fillId="110" borderId="26" xfId="0" quotePrefix="1" applyFont="1" applyFill="1" applyBorder="1" applyAlignment="1" applyProtection="1">
      <alignment horizontal="center" vertical="center"/>
      <protection locked="0"/>
    </xf>
    <xf numFmtId="0" fontId="141" fillId="110" borderId="26" xfId="0" applyFont="1" applyFill="1" applyBorder="1" applyAlignment="1" applyProtection="1">
      <alignment horizontal="center" vertical="center"/>
      <protection locked="0"/>
    </xf>
    <xf numFmtId="0" fontId="36" fillId="110" borderId="103" xfId="0" applyFont="1" applyFill="1" applyBorder="1" applyAlignment="1" applyProtection="1">
      <alignment horizontal="center" vertical="center"/>
      <protection locked="0"/>
    </xf>
    <xf numFmtId="0" fontId="36" fillId="110" borderId="26" xfId="0" quotePrefix="1" applyFont="1" applyFill="1" applyBorder="1" applyAlignment="1" applyProtection="1">
      <alignment horizontal="center" vertical="center"/>
      <protection locked="0"/>
    </xf>
    <xf numFmtId="0" fontId="36" fillId="110" borderId="26" xfId="0" applyFont="1" applyFill="1" applyBorder="1" applyAlignment="1" applyProtection="1">
      <alignment horizontal="center" vertical="center"/>
      <protection locked="0"/>
    </xf>
    <xf numFmtId="0" fontId="36" fillId="111" borderId="26" xfId="0" applyFont="1" applyFill="1" applyBorder="1" applyAlignment="1" applyProtection="1">
      <alignment horizontal="center" vertical="center"/>
      <protection locked="0"/>
    </xf>
    <xf numFmtId="0" fontId="142" fillId="111" borderId="14" xfId="0" applyFont="1" applyFill="1" applyBorder="1" applyAlignment="1" applyProtection="1">
      <alignment horizontal="center" vertical="center"/>
      <protection locked="0"/>
    </xf>
    <xf numFmtId="0" fontId="142" fillId="111" borderId="11" xfId="0" applyFont="1" applyFill="1" applyBorder="1" applyAlignment="1" applyProtection="1">
      <alignment horizontal="center" vertical="center"/>
      <protection locked="0"/>
    </xf>
    <xf numFmtId="0" fontId="36" fillId="58" borderId="104" xfId="0" applyFont="1" applyFill="1" applyBorder="1" applyAlignment="1" applyProtection="1">
      <alignment horizontal="center" vertical="center"/>
      <protection locked="0"/>
    </xf>
    <xf numFmtId="0" fontId="36" fillId="0" borderId="245" xfId="0" applyFont="1" applyBorder="1" applyAlignment="1" applyProtection="1">
      <alignment horizontal="center" vertical="center"/>
      <protection locked="0"/>
    </xf>
    <xf numFmtId="0" fontId="36" fillId="0" borderId="173" xfId="0" applyFont="1" applyBorder="1" applyAlignment="1" applyProtection="1">
      <alignment horizontal="center" vertical="center"/>
      <protection locked="0"/>
    </xf>
    <xf numFmtId="0" fontId="36" fillId="56" borderId="102" xfId="0" applyFont="1" applyFill="1" applyBorder="1" applyAlignment="1" applyProtection="1">
      <alignment horizontal="center" vertical="center" wrapText="1"/>
      <protection locked="0"/>
    </xf>
    <xf numFmtId="2" fontId="36" fillId="0" borderId="245" xfId="0" applyNumberFormat="1" applyFont="1" applyBorder="1" applyAlignment="1" applyProtection="1">
      <alignment horizontal="center" vertical="center"/>
      <protection locked="0"/>
    </xf>
    <xf numFmtId="10" fontId="36" fillId="0" borderId="245" xfId="0" applyNumberFormat="1" applyFont="1" applyBorder="1" applyAlignment="1" applyProtection="1">
      <alignment horizontal="center" vertical="center"/>
      <protection locked="0"/>
    </xf>
    <xf numFmtId="2" fontId="36" fillId="118" borderId="99" xfId="0" applyNumberFormat="1" applyFont="1" applyFill="1" applyBorder="1" applyAlignment="1" applyProtection="1">
      <alignment horizontal="center" vertical="center"/>
      <protection locked="0"/>
    </xf>
    <xf numFmtId="0" fontId="36" fillId="56" borderId="103" xfId="0" applyFont="1" applyFill="1" applyBorder="1" applyAlignment="1" applyProtection="1">
      <alignment horizontal="center" vertical="center" wrapText="1"/>
      <protection locked="0"/>
    </xf>
    <xf numFmtId="2" fontId="36" fillId="0" borderId="26" xfId="0" applyNumberFormat="1" applyFont="1" applyBorder="1" applyAlignment="1" applyProtection="1">
      <alignment horizontal="center" vertical="center"/>
      <protection locked="0"/>
    </xf>
    <xf numFmtId="10" fontId="36" fillId="0" borderId="26" xfId="0" applyNumberFormat="1" applyFont="1" applyBorder="1" applyAlignment="1" applyProtection="1">
      <alignment horizontal="center" vertical="center"/>
      <protection locked="0"/>
    </xf>
    <xf numFmtId="2" fontId="36" fillId="118" borderId="100" xfId="0" applyNumberFormat="1" applyFont="1" applyFill="1" applyBorder="1" applyAlignment="1" applyProtection="1">
      <alignment horizontal="center" vertical="center"/>
      <protection locked="0"/>
    </xf>
    <xf numFmtId="0" fontId="36" fillId="56" borderId="104" xfId="0" applyFont="1" applyFill="1" applyBorder="1" applyAlignment="1" applyProtection="1">
      <alignment horizontal="center" vertical="center" wrapText="1"/>
      <protection locked="0"/>
    </xf>
    <xf numFmtId="0" fontId="36" fillId="0" borderId="104" xfId="0" applyFont="1" applyBorder="1" applyAlignment="1" applyProtection="1">
      <alignment horizontal="center" vertical="center"/>
      <protection locked="0"/>
    </xf>
    <xf numFmtId="0" fontId="36" fillId="0" borderId="53" xfId="0" applyFont="1" applyBorder="1" applyAlignment="1" applyProtection="1">
      <alignment horizontal="center" vertical="center"/>
      <protection locked="0"/>
    </xf>
    <xf numFmtId="2" fontId="36" fillId="0" borderId="11" xfId="0" applyNumberFormat="1" applyFont="1" applyBorder="1" applyAlignment="1" applyProtection="1">
      <alignment horizontal="center" vertical="center"/>
      <protection locked="0"/>
    </xf>
    <xf numFmtId="10" fontId="36" fillId="0" borderId="11" xfId="0" applyNumberFormat="1" applyFont="1" applyBorder="1" applyAlignment="1" applyProtection="1">
      <alignment horizontal="center" vertical="center"/>
      <protection locked="0"/>
    </xf>
    <xf numFmtId="1" fontId="9" fillId="44" borderId="104" xfId="0" applyNumberFormat="1" applyFont="1" applyFill="1" applyBorder="1" applyAlignment="1" applyProtection="1">
      <alignment horizontal="center"/>
      <protection locked="0"/>
    </xf>
    <xf numFmtId="0" fontId="135" fillId="104" borderId="14" xfId="0" quotePrefix="1" applyFont="1" applyFill="1" applyBorder="1" applyAlignment="1" applyProtection="1">
      <alignment horizontal="center" vertical="center"/>
      <protection locked="0"/>
    </xf>
    <xf numFmtId="0" fontId="135" fillId="104" borderId="14" xfId="0" applyFont="1" applyFill="1" applyBorder="1" applyAlignment="1" applyProtection="1">
      <alignment horizontal="center" vertical="center"/>
      <protection locked="0"/>
    </xf>
    <xf numFmtId="0" fontId="36" fillId="104" borderId="14" xfId="0" quotePrefix="1" applyFont="1" applyFill="1" applyBorder="1" applyAlignment="1" applyProtection="1">
      <alignment horizontal="center" vertical="center"/>
      <protection locked="0"/>
    </xf>
    <xf numFmtId="0" fontId="135" fillId="104" borderId="26" xfId="0" quotePrefix="1" applyFont="1" applyFill="1" applyBorder="1" applyAlignment="1" applyProtection="1">
      <alignment horizontal="center" vertical="center"/>
      <protection locked="0"/>
    </xf>
    <xf numFmtId="0" fontId="135" fillId="104" borderId="26" xfId="0" applyFont="1" applyFill="1" applyBorder="1" applyAlignment="1" applyProtection="1">
      <alignment horizontal="center" vertical="center"/>
      <protection locked="0"/>
    </xf>
    <xf numFmtId="0" fontId="36" fillId="104" borderId="26" xfId="0" applyFont="1" applyFill="1" applyBorder="1" applyAlignment="1" applyProtection="1">
      <alignment horizontal="center" vertical="center"/>
      <protection locked="0"/>
    </xf>
    <xf numFmtId="0" fontId="135" fillId="104" borderId="11" xfId="0" applyFont="1" applyFill="1" applyBorder="1" applyAlignment="1" applyProtection="1">
      <alignment horizontal="center" vertical="center"/>
      <protection locked="0"/>
    </xf>
    <xf numFmtId="0" fontId="36" fillId="104" borderId="11" xfId="0" applyFont="1" applyFill="1" applyBorder="1" applyAlignment="1" applyProtection="1">
      <alignment horizontal="center" vertical="center"/>
      <protection locked="0"/>
    </xf>
    <xf numFmtId="0" fontId="36" fillId="0" borderId="12" xfId="0" applyFont="1" applyBorder="1" applyAlignment="1" applyProtection="1">
      <alignment horizontal="center" vertical="center"/>
      <protection locked="0"/>
    </xf>
    <xf numFmtId="0" fontId="36" fillId="104" borderId="26" xfId="0" quotePrefix="1" applyFont="1" applyFill="1" applyBorder="1" applyAlignment="1" applyProtection="1">
      <alignment horizontal="center" vertical="center"/>
      <protection locked="0"/>
    </xf>
    <xf numFmtId="0" fontId="135" fillId="104" borderId="11" xfId="0" quotePrefix="1" applyFont="1" applyFill="1" applyBorder="1" applyAlignment="1" applyProtection="1">
      <alignment horizontal="center" vertical="center"/>
      <protection locked="0"/>
    </xf>
    <xf numFmtId="0" fontId="131" fillId="98" borderId="14" xfId="0" quotePrefix="1" applyFont="1" applyFill="1" applyBorder="1" applyAlignment="1" applyProtection="1">
      <alignment horizontal="center" vertical="center"/>
      <protection locked="0"/>
    </xf>
    <xf numFmtId="0" fontId="36" fillId="98" borderId="14" xfId="0" quotePrefix="1" applyFont="1" applyFill="1" applyBorder="1" applyAlignment="1" applyProtection="1">
      <alignment horizontal="center" vertical="center"/>
      <protection locked="0"/>
    </xf>
    <xf numFmtId="0" fontId="131" fillId="98" borderId="26" xfId="0" quotePrefix="1" applyFont="1" applyFill="1" applyBorder="1" applyAlignment="1" applyProtection="1">
      <alignment horizontal="center" vertical="center"/>
      <protection locked="0"/>
    </xf>
    <xf numFmtId="0" fontId="36" fillId="98" borderId="11" xfId="0" applyFont="1" applyFill="1" applyBorder="1" applyAlignment="1" applyProtection="1">
      <alignment horizontal="center" vertical="center"/>
      <protection locked="0"/>
    </xf>
    <xf numFmtId="0" fontId="36" fillId="98" borderId="26" xfId="0" quotePrefix="1" applyFont="1" applyFill="1" applyBorder="1" applyAlignment="1" applyProtection="1">
      <alignment horizontal="center" vertical="center"/>
      <protection locked="0"/>
    </xf>
    <xf numFmtId="0" fontId="131" fillId="98" borderId="11" xfId="0" quotePrefix="1" applyFont="1" applyFill="1" applyBorder="1" applyAlignment="1" applyProtection="1">
      <alignment horizontal="center" vertical="center"/>
      <protection locked="0"/>
    </xf>
    <xf numFmtId="0" fontId="132" fillId="64" borderId="14" xfId="0" quotePrefix="1" applyFont="1" applyFill="1" applyBorder="1" applyAlignment="1" applyProtection="1">
      <alignment horizontal="center" vertical="center"/>
      <protection locked="0"/>
    </xf>
    <xf numFmtId="0" fontId="36" fillId="64" borderId="14" xfId="0" quotePrefix="1" applyFont="1" applyFill="1" applyBorder="1" applyAlignment="1" applyProtection="1">
      <alignment horizontal="center" vertical="center"/>
      <protection locked="0"/>
    </xf>
    <xf numFmtId="0" fontId="36" fillId="64" borderId="11" xfId="0" applyFont="1" applyFill="1" applyBorder="1" applyAlignment="1" applyProtection="1">
      <alignment horizontal="center" vertical="center"/>
      <protection locked="0"/>
    </xf>
    <xf numFmtId="0" fontId="132" fillId="64" borderId="11" xfId="0" quotePrefix="1" applyFont="1" applyFill="1" applyBorder="1" applyAlignment="1" applyProtection="1">
      <alignment horizontal="center" vertical="center"/>
      <protection locked="0"/>
    </xf>
    <xf numFmtId="0" fontId="36" fillId="0" borderId="102" xfId="0" applyFont="1" applyBorder="1" applyAlignment="1" applyProtection="1">
      <alignment horizontal="center" vertical="center" wrapText="1"/>
      <protection locked="0"/>
    </xf>
    <xf numFmtId="0" fontId="36" fillId="0" borderId="103" xfId="0" applyFont="1" applyBorder="1" applyAlignment="1" applyProtection="1">
      <alignment horizontal="center" vertical="center" wrapText="1"/>
      <protection locked="0"/>
    </xf>
    <xf numFmtId="0" fontId="133" fillId="58" borderId="14" xfId="0" quotePrefix="1" applyFont="1" applyFill="1" applyBorder="1" applyAlignment="1" applyProtection="1">
      <alignment horizontal="center" vertical="center"/>
      <protection locked="0"/>
    </xf>
    <xf numFmtId="0" fontId="36" fillId="58" borderId="14" xfId="0" quotePrefix="1" applyFont="1" applyFill="1" applyBorder="1" applyAlignment="1" applyProtection="1">
      <alignment horizontal="center" vertical="center"/>
      <protection locked="0"/>
    </xf>
    <xf numFmtId="0" fontId="36" fillId="58" borderId="11" xfId="0" applyFont="1" applyFill="1" applyBorder="1" applyAlignment="1" applyProtection="1">
      <alignment horizontal="center" vertical="center"/>
      <protection locked="0"/>
    </xf>
    <xf numFmtId="0" fontId="133" fillId="58" borderId="11" xfId="0" quotePrefix="1" applyFont="1" applyFill="1" applyBorder="1" applyAlignment="1" applyProtection="1">
      <alignment horizontal="center" vertical="center"/>
      <protection locked="0"/>
    </xf>
    <xf numFmtId="168" fontId="5" fillId="44" borderId="159" xfId="0" applyNumberFormat="1" applyFont="1" applyFill="1" applyBorder="1" applyAlignment="1" applyProtection="1">
      <alignment horizontal="center"/>
      <protection locked="0"/>
    </xf>
    <xf numFmtId="1" fontId="9" fillId="44" borderId="173" xfId="0" applyNumberFormat="1" applyFont="1" applyFill="1" applyBorder="1" applyAlignment="1" applyProtection="1">
      <alignment horizontal="center"/>
      <protection locked="0"/>
    </xf>
    <xf numFmtId="2" fontId="36" fillId="118" borderId="173" xfId="0" applyNumberFormat="1" applyFont="1" applyFill="1" applyBorder="1" applyAlignment="1" applyProtection="1">
      <alignment horizontal="center" vertical="center"/>
      <protection locked="0"/>
    </xf>
    <xf numFmtId="0" fontId="135" fillId="104" borderId="245" xfId="0" quotePrefix="1" applyFont="1" applyFill="1" applyBorder="1" applyAlignment="1" applyProtection="1">
      <alignment horizontal="center" vertical="center"/>
      <protection locked="0"/>
    </xf>
    <xf numFmtId="0" fontId="135" fillId="104" borderId="245" xfId="0" applyFont="1" applyFill="1" applyBorder="1" applyAlignment="1" applyProtection="1">
      <alignment horizontal="center" vertical="center"/>
      <protection locked="0"/>
    </xf>
    <xf numFmtId="0" fontId="36" fillId="43" borderId="245" xfId="0" applyFont="1" applyFill="1" applyBorder="1" applyAlignment="1" applyProtection="1">
      <alignment horizontal="center" vertical="center"/>
      <protection locked="0"/>
    </xf>
    <xf numFmtId="9" fontId="127" fillId="43" borderId="245" xfId="0" applyNumberFormat="1" applyFont="1" applyFill="1" applyBorder="1" applyAlignment="1" applyProtection="1">
      <alignment horizontal="center" vertical="center"/>
      <protection locked="0"/>
    </xf>
    <xf numFmtId="0" fontId="36" fillId="104" borderId="245" xfId="0" applyFont="1" applyFill="1" applyBorder="1" applyAlignment="1" applyProtection="1">
      <alignment horizontal="center" vertical="center" wrapText="1"/>
      <protection locked="0"/>
    </xf>
    <xf numFmtId="0" fontId="36" fillId="43" borderId="26" xfId="0" applyFont="1" applyFill="1" applyBorder="1" applyAlignment="1" applyProtection="1">
      <alignment horizontal="center" vertical="center"/>
      <protection locked="0"/>
    </xf>
    <xf numFmtId="9" fontId="127" fillId="43" borderId="26" xfId="0" applyNumberFormat="1" applyFont="1" applyFill="1" applyBorder="1" applyAlignment="1" applyProtection="1">
      <alignment horizontal="center" vertical="center"/>
      <protection locked="0"/>
    </xf>
    <xf numFmtId="0" fontId="36" fillId="104" borderId="26" xfId="0" applyFont="1" applyFill="1" applyBorder="1" applyAlignment="1" applyProtection="1">
      <alignment horizontal="center" vertical="center" wrapText="1"/>
      <protection locked="0"/>
    </xf>
    <xf numFmtId="2" fontId="36" fillId="0" borderId="29" xfId="0" applyNumberFormat="1" applyFont="1" applyBorder="1" applyAlignment="1" applyProtection="1">
      <alignment horizontal="center" vertical="center"/>
      <protection locked="0"/>
    </xf>
    <xf numFmtId="0" fontId="36" fillId="104" borderId="11" xfId="0" applyFont="1" applyFill="1" applyBorder="1" applyAlignment="1" applyProtection="1">
      <alignment horizontal="center" vertical="center" wrapText="1"/>
      <protection locked="0"/>
    </xf>
    <xf numFmtId="0" fontId="36" fillId="115" borderId="244" xfId="0" applyFont="1" applyFill="1" applyBorder="1" applyAlignment="1" applyProtection="1">
      <alignment horizontal="center" vertical="center" wrapText="1"/>
      <protection locked="0"/>
    </xf>
    <xf numFmtId="0" fontId="36" fillId="43" borderId="11" xfId="0" applyFont="1" applyFill="1" applyBorder="1" applyAlignment="1" applyProtection="1">
      <alignment horizontal="center" vertical="center"/>
      <protection locked="0"/>
    </xf>
    <xf numFmtId="9" fontId="127" fillId="43" borderId="11" xfId="0" applyNumberFormat="1" applyFont="1" applyFill="1" applyBorder="1" applyAlignment="1" applyProtection="1">
      <alignment horizontal="center" vertical="center"/>
      <protection locked="0"/>
    </xf>
    <xf numFmtId="2" fontId="36" fillId="0" borderId="68" xfId="0" applyNumberFormat="1" applyFont="1" applyBorder="1" applyAlignment="1" applyProtection="1">
      <alignment horizontal="center" vertical="center"/>
      <protection locked="0"/>
    </xf>
    <xf numFmtId="165" fontId="36" fillId="50" borderId="91" xfId="0" applyNumberFormat="1" applyFont="1" applyFill="1" applyBorder="1" applyAlignment="1" applyProtection="1">
      <alignment horizontal="center" vertical="center"/>
      <protection locked="0"/>
    </xf>
    <xf numFmtId="0" fontId="131" fillId="98" borderId="245" xfId="0" quotePrefix="1" applyFont="1" applyFill="1" applyBorder="1" applyAlignment="1" applyProtection="1">
      <alignment horizontal="center" vertical="center"/>
      <protection locked="0"/>
    </xf>
    <xf numFmtId="0" fontId="36" fillId="98" borderId="245" xfId="0" applyFont="1" applyFill="1" applyBorder="1" applyAlignment="1" applyProtection="1">
      <alignment horizontal="center" vertical="center" wrapText="1"/>
      <protection locked="0"/>
    </xf>
    <xf numFmtId="0" fontId="36" fillId="98" borderId="26" xfId="0" applyFont="1" applyFill="1" applyBorder="1" applyAlignment="1" applyProtection="1">
      <alignment horizontal="center" vertical="center" wrapText="1"/>
      <protection locked="0"/>
    </xf>
    <xf numFmtId="0" fontId="36" fillId="98" borderId="11" xfId="0" applyFont="1" applyFill="1" applyBorder="1" applyAlignment="1" applyProtection="1">
      <alignment horizontal="center" vertical="center" wrapText="1"/>
      <protection locked="0"/>
    </xf>
    <xf numFmtId="0" fontId="36" fillId="121" borderId="244" xfId="0" applyFont="1" applyFill="1" applyBorder="1" applyAlignment="1" applyProtection="1">
      <alignment horizontal="center" vertical="center" wrapText="1"/>
      <protection locked="0"/>
    </xf>
    <xf numFmtId="0" fontId="149" fillId="128" borderId="245" xfId="0" quotePrefix="1" applyFont="1" applyFill="1" applyBorder="1" applyAlignment="1" applyProtection="1">
      <alignment horizontal="center" vertical="center"/>
      <protection locked="0"/>
    </xf>
    <xf numFmtId="0" fontId="36" fillId="128" borderId="245" xfId="0" applyFont="1" applyFill="1" applyBorder="1" applyAlignment="1" applyProtection="1">
      <alignment horizontal="center" vertical="center" wrapText="1"/>
      <protection locked="0"/>
    </xf>
    <xf numFmtId="0" fontId="149" fillId="128" borderId="26" xfId="0" quotePrefix="1" applyFont="1" applyFill="1" applyBorder="1" applyAlignment="1" applyProtection="1">
      <alignment horizontal="center" vertical="center"/>
      <protection locked="0"/>
    </xf>
    <xf numFmtId="0" fontId="36" fillId="128" borderId="26" xfId="0" applyFont="1" applyFill="1" applyBorder="1" applyAlignment="1" applyProtection="1">
      <alignment horizontal="center" vertical="center" wrapText="1"/>
      <protection locked="0"/>
    </xf>
    <xf numFmtId="0" fontId="36" fillId="128" borderId="26" xfId="0" quotePrefix="1" applyFont="1" applyFill="1" applyBorder="1" applyAlignment="1" applyProtection="1">
      <alignment horizontal="center" vertical="center"/>
      <protection locked="0"/>
    </xf>
    <xf numFmtId="0" fontId="36" fillId="128" borderId="11" xfId="0" applyFont="1" applyFill="1" applyBorder="1" applyAlignment="1" applyProtection="1">
      <alignment horizontal="center" vertical="center" wrapText="1"/>
      <protection locked="0"/>
    </xf>
    <xf numFmtId="0" fontId="36" fillId="129" borderId="244" xfId="0" applyFont="1" applyFill="1" applyBorder="1" applyAlignment="1" applyProtection="1">
      <alignment horizontal="center" vertical="center" wrapText="1"/>
      <protection locked="0"/>
    </xf>
    <xf numFmtId="0" fontId="149" fillId="128" borderId="11" xfId="0" quotePrefix="1" applyFont="1" applyFill="1" applyBorder="1" applyAlignment="1" applyProtection="1">
      <alignment horizontal="center" vertical="center"/>
      <protection locked="0"/>
    </xf>
    <xf numFmtId="0" fontId="36" fillId="43" borderId="14" xfId="0" applyFont="1" applyFill="1" applyBorder="1" applyAlignment="1" applyProtection="1">
      <alignment horizontal="center" vertical="center"/>
      <protection locked="0"/>
    </xf>
    <xf numFmtId="0" fontId="108" fillId="43" borderId="14" xfId="0" applyFont="1" applyFill="1" applyBorder="1" applyAlignment="1" applyProtection="1">
      <alignment horizontal="center" vertical="center"/>
      <protection locked="0"/>
    </xf>
    <xf numFmtId="0" fontId="36" fillId="55" borderId="102" xfId="0" applyFont="1" applyFill="1" applyBorder="1" applyAlignment="1" applyProtection="1">
      <alignment horizontal="center" vertical="center" wrapText="1"/>
      <protection locked="0"/>
    </xf>
    <xf numFmtId="10" fontId="36" fillId="43" borderId="14" xfId="0" applyNumberFormat="1" applyFont="1" applyFill="1" applyBorder="1" applyAlignment="1" applyProtection="1">
      <alignment horizontal="center" vertical="center"/>
      <protection locked="0"/>
    </xf>
    <xf numFmtId="164" fontId="36" fillId="94" borderId="72" xfId="0" applyNumberFormat="1" applyFont="1" applyFill="1" applyBorder="1" applyAlignment="1" applyProtection="1">
      <alignment horizontal="center" vertical="center"/>
      <protection locked="0"/>
    </xf>
    <xf numFmtId="0" fontId="36" fillId="50" borderId="0" xfId="0" applyFont="1" applyFill="1" applyAlignment="1" applyProtection="1">
      <alignment horizontal="center" vertical="center"/>
      <protection locked="0"/>
    </xf>
    <xf numFmtId="2" fontId="36" fillId="123" borderId="102" xfId="0" applyNumberFormat="1" applyFont="1" applyFill="1" applyBorder="1" applyAlignment="1" applyProtection="1">
      <alignment horizontal="center" vertical="center"/>
      <protection locked="0"/>
    </xf>
    <xf numFmtId="0" fontId="108" fillId="43" borderId="26" xfId="0" applyFont="1" applyFill="1" applyBorder="1" applyAlignment="1" applyProtection="1">
      <alignment horizontal="center" vertical="center"/>
      <protection locked="0"/>
    </xf>
    <xf numFmtId="0" fontId="36" fillId="55" borderId="103" xfId="0" applyFont="1" applyFill="1" applyBorder="1" applyAlignment="1" applyProtection="1">
      <alignment horizontal="center" vertical="center" wrapText="1"/>
      <protection locked="0"/>
    </xf>
    <xf numFmtId="10" fontId="36" fillId="43" borderId="26" xfId="0" applyNumberFormat="1" applyFont="1" applyFill="1" applyBorder="1" applyAlignment="1" applyProtection="1">
      <alignment horizontal="center" vertical="center"/>
      <protection locked="0"/>
    </xf>
    <xf numFmtId="164" fontId="36" fillId="94" borderId="74" xfId="0" applyNumberFormat="1" applyFont="1" applyFill="1" applyBorder="1" applyAlignment="1" applyProtection="1">
      <alignment horizontal="center" vertical="center"/>
      <protection locked="0"/>
    </xf>
    <xf numFmtId="2" fontId="36" fillId="123" borderId="103" xfId="0" applyNumberFormat="1" applyFont="1" applyFill="1" applyBorder="1" applyAlignment="1" applyProtection="1">
      <alignment horizontal="center" vertical="center"/>
      <protection locked="0"/>
    </xf>
    <xf numFmtId="0" fontId="36" fillId="55" borderId="173" xfId="0" applyFont="1" applyFill="1" applyBorder="1" applyAlignment="1" applyProtection="1">
      <alignment horizontal="center" vertical="center" wrapText="1"/>
      <protection locked="0"/>
    </xf>
    <xf numFmtId="2" fontId="36" fillId="44" borderId="128" xfId="0" applyNumberFormat="1" applyFont="1" applyFill="1" applyBorder="1" applyAlignment="1" applyProtection="1">
      <alignment horizontal="center" vertical="center"/>
      <protection locked="0"/>
    </xf>
    <xf numFmtId="10" fontId="36" fillId="43" borderId="11" xfId="0" applyNumberFormat="1" applyFont="1" applyFill="1" applyBorder="1" applyAlignment="1" applyProtection="1">
      <alignment horizontal="center" vertical="center"/>
      <protection locked="0"/>
    </xf>
    <xf numFmtId="164" fontId="36" fillId="94" borderId="75" xfId="0" applyNumberFormat="1" applyFont="1" applyFill="1" applyBorder="1" applyAlignment="1" applyProtection="1">
      <alignment horizontal="center" vertical="center"/>
      <protection locked="0"/>
    </xf>
    <xf numFmtId="2" fontId="36" fillId="123" borderId="173" xfId="0" applyNumberFormat="1" applyFont="1" applyFill="1" applyBorder="1" applyAlignment="1" applyProtection="1">
      <alignment horizontal="center" vertical="center"/>
      <protection locked="0"/>
    </xf>
    <xf numFmtId="2" fontId="36" fillId="123" borderId="104" xfId="0" applyNumberFormat="1" applyFont="1" applyFill="1" applyBorder="1" applyAlignment="1" applyProtection="1">
      <alignment horizontal="center" vertical="center"/>
      <protection locked="0"/>
    </xf>
    <xf numFmtId="2" fontId="36" fillId="44" borderId="105" xfId="0" applyNumberFormat="1" applyFont="1" applyFill="1" applyBorder="1" applyAlignment="1" applyProtection="1">
      <alignment horizontal="center" vertical="center"/>
      <protection locked="0"/>
    </xf>
    <xf numFmtId="2" fontId="36" fillId="44" borderId="176" xfId="0" applyNumberFormat="1" applyFont="1" applyFill="1" applyBorder="1" applyAlignment="1" applyProtection="1">
      <alignment horizontal="center" vertical="center"/>
      <protection locked="0"/>
    </xf>
    <xf numFmtId="164" fontId="36" fillId="94" borderId="86" xfId="0" applyNumberFormat="1" applyFont="1" applyFill="1" applyBorder="1" applyAlignment="1" applyProtection="1">
      <alignment horizontal="center" vertical="center"/>
      <protection locked="0"/>
    </xf>
    <xf numFmtId="168" fontId="5" fillId="44" borderId="97" xfId="0" applyNumberFormat="1" applyFont="1" applyFill="1" applyBorder="1" applyAlignment="1" applyProtection="1">
      <alignment horizontal="center"/>
      <protection locked="0"/>
    </xf>
    <xf numFmtId="1" fontId="9" fillId="44" borderId="174" xfId="0" applyNumberFormat="1" applyFont="1" applyFill="1" applyBorder="1" applyAlignment="1" applyProtection="1">
      <alignment horizontal="center"/>
      <protection locked="0"/>
    </xf>
    <xf numFmtId="2" fontId="36" fillId="123" borderId="105" xfId="0" applyNumberFormat="1" applyFont="1" applyFill="1" applyBorder="1" applyAlignment="1" applyProtection="1">
      <alignment horizontal="center" vertical="center"/>
      <protection locked="0"/>
    </xf>
    <xf numFmtId="0" fontId="108" fillId="43" borderId="11" xfId="0" applyFont="1" applyFill="1" applyBorder="1" applyAlignment="1" applyProtection="1">
      <alignment horizontal="center" vertical="center"/>
      <protection locked="0"/>
    </xf>
    <xf numFmtId="0" fontId="107" fillId="48" borderId="14" xfId="0" applyFont="1" applyFill="1" applyBorder="1" applyAlignment="1" applyProtection="1">
      <alignment horizontal="center" vertical="center"/>
      <protection locked="0"/>
    </xf>
    <xf numFmtId="0" fontId="107" fillId="43" borderId="14" xfId="0" applyFont="1" applyFill="1" applyBorder="1" applyAlignment="1" applyProtection="1">
      <alignment horizontal="center" vertical="center"/>
      <protection locked="0"/>
    </xf>
    <xf numFmtId="0" fontId="36" fillId="48" borderId="102" xfId="0" applyFont="1" applyFill="1" applyBorder="1" applyAlignment="1" applyProtection="1">
      <alignment horizontal="center" vertical="center" wrapText="1"/>
      <protection locked="0"/>
    </xf>
    <xf numFmtId="0" fontId="107" fillId="48" borderId="26" xfId="0" applyFont="1" applyFill="1" applyBorder="1" applyAlignment="1" applyProtection="1">
      <alignment horizontal="center" vertical="center"/>
      <protection locked="0"/>
    </xf>
    <xf numFmtId="0" fontId="107" fillId="43" borderId="26" xfId="0" applyFont="1" applyFill="1" applyBorder="1" applyAlignment="1" applyProtection="1">
      <alignment horizontal="center" vertical="center"/>
      <protection locked="0"/>
    </xf>
    <xf numFmtId="0" fontId="36" fillId="48" borderId="103" xfId="0" applyFont="1" applyFill="1" applyBorder="1" applyAlignment="1" applyProtection="1">
      <alignment horizontal="center" vertical="center" wrapText="1"/>
      <protection locked="0"/>
    </xf>
    <xf numFmtId="0" fontId="36" fillId="48" borderId="173" xfId="0" applyFont="1" applyFill="1" applyBorder="1" applyAlignment="1" applyProtection="1">
      <alignment horizontal="center" vertical="center" wrapText="1"/>
      <protection locked="0"/>
    </xf>
    <xf numFmtId="0" fontId="107" fillId="48" borderId="11" xfId="0" applyFont="1" applyFill="1" applyBorder="1" applyAlignment="1" applyProtection="1">
      <alignment horizontal="center" vertical="center"/>
      <protection locked="0"/>
    </xf>
    <xf numFmtId="0" fontId="107" fillId="43" borderId="11" xfId="0" applyFont="1" applyFill="1" applyBorder="1" applyAlignment="1" applyProtection="1">
      <alignment horizontal="center" vertical="center"/>
      <protection locked="0"/>
    </xf>
    <xf numFmtId="0" fontId="110" fillId="76" borderId="245" xfId="0" applyFont="1" applyFill="1" applyBorder="1" applyAlignment="1" applyProtection="1">
      <alignment horizontal="center" vertical="center"/>
      <protection locked="0"/>
    </xf>
    <xf numFmtId="0" fontId="110" fillId="43" borderId="245" xfId="0" applyFont="1" applyFill="1" applyBorder="1" applyAlignment="1" applyProtection="1">
      <alignment horizontal="center" vertical="center"/>
      <protection locked="0"/>
    </xf>
    <xf numFmtId="0" fontId="36" fillId="76" borderId="102" xfId="0" applyFont="1" applyFill="1" applyBorder="1" applyAlignment="1" applyProtection="1">
      <alignment horizontal="center" vertical="center" wrapText="1"/>
      <protection locked="0"/>
    </xf>
    <xf numFmtId="10" fontId="36" fillId="43" borderId="245" xfId="0" applyNumberFormat="1" applyFont="1" applyFill="1" applyBorder="1" applyAlignment="1" applyProtection="1">
      <alignment horizontal="center" vertical="center"/>
      <protection locked="0"/>
    </xf>
    <xf numFmtId="0" fontId="110" fillId="76" borderId="26" xfId="0" applyFont="1" applyFill="1" applyBorder="1" applyAlignment="1" applyProtection="1">
      <alignment horizontal="center" vertical="center"/>
      <protection locked="0"/>
    </xf>
    <xf numFmtId="0" fontId="110" fillId="43" borderId="26" xfId="0" applyFont="1" applyFill="1" applyBorder="1" applyAlignment="1" applyProtection="1">
      <alignment horizontal="center" vertical="center"/>
      <protection locked="0"/>
    </xf>
    <xf numFmtId="0" fontId="36" fillId="76" borderId="103" xfId="0" applyFont="1" applyFill="1" applyBorder="1" applyAlignment="1" applyProtection="1">
      <alignment horizontal="center" vertical="center" wrapText="1"/>
      <protection locked="0"/>
    </xf>
    <xf numFmtId="0" fontId="36" fillId="76" borderId="173" xfId="0" applyFont="1" applyFill="1" applyBorder="1" applyAlignment="1" applyProtection="1">
      <alignment horizontal="center" vertical="center" wrapText="1"/>
      <protection locked="0"/>
    </xf>
    <xf numFmtId="0" fontId="110" fillId="76" borderId="11" xfId="0" applyFont="1" applyFill="1" applyBorder="1" applyAlignment="1" applyProtection="1">
      <alignment horizontal="center" vertical="center"/>
      <protection locked="0"/>
    </xf>
    <xf numFmtId="0" fontId="110" fillId="43" borderId="11" xfId="0" applyFont="1" applyFill="1" applyBorder="1" applyAlignment="1" applyProtection="1">
      <alignment horizontal="center" vertical="center"/>
      <protection locked="0"/>
    </xf>
    <xf numFmtId="0" fontId="112" fillId="45" borderId="245" xfId="0" applyFont="1" applyFill="1" applyBorder="1" applyAlignment="1" applyProtection="1">
      <alignment horizontal="center" vertical="center"/>
      <protection locked="0"/>
    </xf>
    <xf numFmtId="0" fontId="112" fillId="43" borderId="245" xfId="0" applyFont="1" applyFill="1" applyBorder="1" applyAlignment="1" applyProtection="1">
      <alignment horizontal="center" vertical="center"/>
      <protection locked="0"/>
    </xf>
    <xf numFmtId="0" fontId="36" fillId="45" borderId="102" xfId="0" applyFont="1" applyFill="1" applyBorder="1" applyAlignment="1" applyProtection="1">
      <alignment horizontal="center" vertical="center" wrapText="1"/>
      <protection locked="0"/>
    </xf>
    <xf numFmtId="0" fontId="112" fillId="45" borderId="26" xfId="0" applyFont="1" applyFill="1" applyBorder="1" applyAlignment="1" applyProtection="1">
      <alignment horizontal="center" vertical="center"/>
      <protection locked="0"/>
    </xf>
    <xf numFmtId="0" fontId="112" fillId="43" borderId="26" xfId="0" applyFont="1" applyFill="1" applyBorder="1" applyAlignment="1" applyProtection="1">
      <alignment horizontal="center" vertical="center"/>
      <protection locked="0"/>
    </xf>
    <xf numFmtId="0" fontId="36" fillId="45" borderId="103" xfId="0" applyFont="1" applyFill="1" applyBorder="1" applyAlignment="1" applyProtection="1">
      <alignment horizontal="center" vertical="center" wrapText="1"/>
      <protection locked="0"/>
    </xf>
    <xf numFmtId="0" fontId="36" fillId="45" borderId="173" xfId="0" applyFont="1" applyFill="1" applyBorder="1" applyAlignment="1" applyProtection="1">
      <alignment horizontal="center" vertical="center" wrapText="1"/>
      <protection locked="0"/>
    </xf>
    <xf numFmtId="0" fontId="112" fillId="45" borderId="11" xfId="0" applyFont="1" applyFill="1" applyBorder="1" applyAlignment="1" applyProtection="1">
      <alignment horizontal="center" vertical="center"/>
      <protection locked="0"/>
    </xf>
    <xf numFmtId="0" fontId="112" fillId="43" borderId="11" xfId="0" applyFont="1" applyFill="1" applyBorder="1" applyAlignment="1" applyProtection="1">
      <alignment horizontal="center" vertical="center"/>
      <protection locked="0"/>
    </xf>
    <xf numFmtId="0" fontId="36" fillId="50" borderId="17" xfId="0" applyFont="1" applyFill="1" applyBorder="1" applyAlignment="1" applyProtection="1">
      <alignment horizontal="center" vertical="center"/>
      <protection locked="0"/>
    </xf>
    <xf numFmtId="0" fontId="116" fillId="43" borderId="14" xfId="0" applyFont="1" applyFill="1" applyBorder="1" applyAlignment="1" applyProtection="1">
      <alignment horizontal="center" vertical="center"/>
      <protection locked="0"/>
    </xf>
    <xf numFmtId="0" fontId="36" fillId="60" borderId="102" xfId="0" applyFont="1" applyFill="1" applyBorder="1" applyAlignment="1" applyProtection="1">
      <alignment horizontal="center" vertical="center" wrapText="1"/>
      <protection locked="0"/>
    </xf>
    <xf numFmtId="0" fontId="116" fillId="60" borderId="26" xfId="0" applyFont="1" applyFill="1" applyBorder="1" applyAlignment="1" applyProtection="1">
      <alignment horizontal="center" vertical="center"/>
      <protection locked="0"/>
    </xf>
    <xf numFmtId="0" fontId="116" fillId="43" borderId="26" xfId="0" applyFont="1" applyFill="1" applyBorder="1" applyAlignment="1" applyProtection="1">
      <alignment horizontal="center" vertical="center"/>
      <protection locked="0"/>
    </xf>
    <xf numFmtId="0" fontId="36" fillId="60" borderId="103" xfId="0" applyFont="1" applyFill="1" applyBorder="1" applyAlignment="1" applyProtection="1">
      <alignment horizontal="center" vertical="center" wrapText="1"/>
      <protection locked="0"/>
    </xf>
    <xf numFmtId="0" fontId="36" fillId="60" borderId="173" xfId="0" applyFont="1" applyFill="1" applyBorder="1" applyAlignment="1" applyProtection="1">
      <alignment horizontal="center" vertical="center" wrapText="1"/>
      <protection locked="0"/>
    </xf>
    <xf numFmtId="0" fontId="116" fillId="43" borderId="11" xfId="0" applyFont="1" applyFill="1" applyBorder="1" applyAlignment="1" applyProtection="1">
      <alignment horizontal="center" vertical="center"/>
      <protection locked="0"/>
    </xf>
    <xf numFmtId="0" fontId="117" fillId="43" borderId="14" xfId="0" applyFont="1" applyFill="1" applyBorder="1" applyAlignment="1" applyProtection="1">
      <alignment horizontal="center" vertical="center"/>
      <protection locked="0"/>
    </xf>
    <xf numFmtId="0" fontId="36" fillId="61" borderId="102" xfId="0" applyFont="1" applyFill="1" applyBorder="1" applyAlignment="1" applyProtection="1">
      <alignment horizontal="center" vertical="center" wrapText="1"/>
      <protection locked="0"/>
    </xf>
    <xf numFmtId="0" fontId="117" fillId="61" borderId="26" xfId="0" applyFont="1" applyFill="1" applyBorder="1" applyAlignment="1" applyProtection="1">
      <alignment horizontal="center" vertical="center"/>
      <protection locked="0"/>
    </xf>
    <xf numFmtId="0" fontId="117" fillId="43" borderId="26" xfId="0" applyFont="1" applyFill="1" applyBorder="1" applyAlignment="1" applyProtection="1">
      <alignment horizontal="center" vertical="center"/>
      <protection locked="0"/>
    </xf>
    <xf numFmtId="0" fontId="36" fillId="61" borderId="103" xfId="0" applyFont="1" applyFill="1" applyBorder="1" applyAlignment="1" applyProtection="1">
      <alignment horizontal="center" vertical="center" wrapText="1"/>
      <protection locked="0"/>
    </xf>
    <xf numFmtId="0" fontId="36" fillId="61" borderId="173" xfId="0" applyFont="1" applyFill="1" applyBorder="1" applyAlignment="1" applyProtection="1">
      <alignment horizontal="center" vertical="center" wrapText="1"/>
      <protection locked="0"/>
    </xf>
    <xf numFmtId="0" fontId="117" fillId="43" borderId="11" xfId="0" applyFont="1" applyFill="1" applyBorder="1" applyAlignment="1" applyProtection="1">
      <alignment horizontal="center" vertical="center"/>
      <protection locked="0"/>
    </xf>
    <xf numFmtId="0" fontId="118" fillId="92" borderId="14" xfId="0" applyFont="1" applyFill="1" applyBorder="1" applyAlignment="1" applyProtection="1">
      <alignment horizontal="center" vertical="center"/>
      <protection locked="0"/>
    </xf>
    <xf numFmtId="0" fontId="118" fillId="43" borderId="14" xfId="0" applyFont="1" applyFill="1" applyBorder="1" applyAlignment="1" applyProtection="1">
      <alignment horizontal="center" vertical="center"/>
      <protection locked="0"/>
    </xf>
    <xf numFmtId="0" fontId="36" fillId="92" borderId="102" xfId="0" applyFont="1" applyFill="1" applyBorder="1" applyAlignment="1" applyProtection="1">
      <alignment horizontal="center" vertical="center" wrapText="1"/>
      <protection locked="0"/>
    </xf>
    <xf numFmtId="0" fontId="118" fillId="92" borderId="26" xfId="0" applyFont="1" applyFill="1" applyBorder="1" applyAlignment="1" applyProtection="1">
      <alignment horizontal="center" vertical="center"/>
      <protection locked="0"/>
    </xf>
    <xf numFmtId="0" fontId="118" fillId="43" borderId="26" xfId="0" applyFont="1" applyFill="1" applyBorder="1" applyAlignment="1" applyProtection="1">
      <alignment horizontal="center" vertical="center"/>
      <protection locked="0"/>
    </xf>
    <xf numFmtId="0" fontId="36" fillId="92" borderId="103" xfId="0" applyFont="1" applyFill="1" applyBorder="1" applyAlignment="1" applyProtection="1">
      <alignment horizontal="center" vertical="center" wrapText="1"/>
      <protection locked="0"/>
    </xf>
    <xf numFmtId="0" fontId="36" fillId="92" borderId="173" xfId="0" applyFont="1" applyFill="1" applyBorder="1" applyAlignment="1" applyProtection="1">
      <alignment horizontal="center" vertical="center" wrapText="1"/>
      <protection locked="0"/>
    </xf>
    <xf numFmtId="0" fontId="118" fillId="92" borderId="11" xfId="0" applyFont="1" applyFill="1" applyBorder="1" applyAlignment="1" applyProtection="1">
      <alignment horizontal="center" vertical="center"/>
      <protection locked="0"/>
    </xf>
    <xf numFmtId="0" fontId="118" fillId="43" borderId="11" xfId="0" applyFont="1" applyFill="1" applyBorder="1" applyAlignment="1" applyProtection="1">
      <alignment horizontal="center" vertical="center"/>
      <protection locked="0"/>
    </xf>
    <xf numFmtId="0" fontId="109" fillId="43" borderId="14" xfId="0" applyFont="1" applyFill="1" applyBorder="1" applyAlignment="1" applyProtection="1">
      <alignment horizontal="center" vertical="center"/>
      <protection locked="0"/>
    </xf>
    <xf numFmtId="0" fontId="36" fillId="100" borderId="102" xfId="0" applyFont="1" applyFill="1" applyBorder="1" applyAlignment="1" applyProtection="1">
      <alignment horizontal="center" vertical="center" wrapText="1"/>
      <protection locked="0"/>
    </xf>
    <xf numFmtId="0" fontId="121" fillId="100" borderId="26" xfId="0" applyFont="1" applyFill="1" applyBorder="1" applyAlignment="1" applyProtection="1">
      <alignment horizontal="center" vertical="center"/>
      <protection locked="0"/>
    </xf>
    <xf numFmtId="0" fontId="109" fillId="43" borderId="26" xfId="0" applyFont="1" applyFill="1" applyBorder="1" applyAlignment="1" applyProtection="1">
      <alignment horizontal="center" vertical="center"/>
      <protection locked="0"/>
    </xf>
    <xf numFmtId="0" fontId="36" fillId="100" borderId="103" xfId="0" applyFont="1" applyFill="1" applyBorder="1" applyAlignment="1" applyProtection="1">
      <alignment horizontal="center" vertical="center" wrapText="1"/>
      <protection locked="0"/>
    </xf>
    <xf numFmtId="0" fontId="36" fillId="100" borderId="173" xfId="0" applyFont="1" applyFill="1" applyBorder="1" applyAlignment="1" applyProtection="1">
      <alignment horizontal="center" vertical="center" wrapText="1"/>
      <protection locked="0"/>
    </xf>
    <xf numFmtId="0" fontId="109" fillId="43" borderId="11" xfId="0" applyFont="1" applyFill="1" applyBorder="1" applyAlignment="1" applyProtection="1">
      <alignment horizontal="center" vertical="center"/>
      <protection locked="0"/>
    </xf>
    <xf numFmtId="0" fontId="119" fillId="59" borderId="245" xfId="0" applyFont="1" applyFill="1" applyBorder="1" applyAlignment="1" applyProtection="1">
      <alignment horizontal="center" vertical="center"/>
      <protection locked="0"/>
    </xf>
    <xf numFmtId="0" fontId="119" fillId="43" borderId="245" xfId="0" applyFont="1" applyFill="1" applyBorder="1" applyAlignment="1" applyProtection="1">
      <alignment horizontal="center" vertical="center"/>
      <protection locked="0"/>
    </xf>
    <xf numFmtId="0" fontId="36" fillId="59" borderId="102" xfId="0" applyFont="1" applyFill="1" applyBorder="1" applyAlignment="1" applyProtection="1">
      <alignment horizontal="center" vertical="center" wrapText="1"/>
      <protection locked="0"/>
    </xf>
    <xf numFmtId="0" fontId="119" fillId="59" borderId="26" xfId="0" applyFont="1" applyFill="1" applyBorder="1" applyAlignment="1" applyProtection="1">
      <alignment horizontal="center" vertical="center"/>
      <protection locked="0"/>
    </xf>
    <xf numFmtId="0" fontId="119" fillId="43" borderId="26" xfId="0" applyFont="1" applyFill="1" applyBorder="1" applyAlignment="1" applyProtection="1">
      <alignment horizontal="center" vertical="center"/>
      <protection locked="0"/>
    </xf>
    <xf numFmtId="0" fontId="36" fillId="59" borderId="103" xfId="0" applyFont="1" applyFill="1" applyBorder="1" applyAlignment="1" applyProtection="1">
      <alignment horizontal="center" vertical="center" wrapText="1"/>
      <protection locked="0"/>
    </xf>
    <xf numFmtId="0" fontId="36" fillId="59" borderId="173" xfId="0" applyFont="1" applyFill="1" applyBorder="1" applyAlignment="1" applyProtection="1">
      <alignment horizontal="center" vertical="center" wrapText="1"/>
      <protection locked="0"/>
    </xf>
    <xf numFmtId="0" fontId="119" fillId="59" borderId="11" xfId="0" applyFont="1" applyFill="1" applyBorder="1" applyAlignment="1" applyProtection="1">
      <alignment horizontal="center" vertical="center"/>
      <protection locked="0"/>
    </xf>
    <xf numFmtId="0" fontId="119" fillId="43" borderId="11" xfId="0" applyFont="1" applyFill="1" applyBorder="1" applyAlignment="1" applyProtection="1">
      <alignment horizontal="center" vertical="center"/>
      <protection locked="0"/>
    </xf>
    <xf numFmtId="0" fontId="116" fillId="60" borderId="14" xfId="0" quotePrefix="1" applyFont="1" applyFill="1" applyBorder="1" applyAlignment="1" applyProtection="1">
      <alignment horizontal="center" vertical="center"/>
      <protection locked="0"/>
    </xf>
    <xf numFmtId="0" fontId="116" fillId="60" borderId="26" xfId="0" quotePrefix="1" applyFont="1" applyFill="1" applyBorder="1" applyAlignment="1" applyProtection="1">
      <alignment horizontal="center" vertical="center"/>
      <protection locked="0"/>
    </xf>
    <xf numFmtId="0" fontId="36" fillId="60" borderId="26" xfId="0" quotePrefix="1" applyFont="1" applyFill="1" applyBorder="1" applyAlignment="1" applyProtection="1">
      <alignment horizontal="center" vertical="center"/>
      <protection locked="0"/>
    </xf>
    <xf numFmtId="0" fontId="36" fillId="46" borderId="26" xfId="0" applyFont="1" applyFill="1" applyBorder="1" applyAlignment="1" applyProtection="1">
      <alignment horizontal="center" vertical="center"/>
      <protection locked="0"/>
    </xf>
    <xf numFmtId="0" fontId="115" fillId="46" borderId="14" xfId="0" applyFont="1" applyFill="1" applyBorder="1" applyAlignment="1" applyProtection="1">
      <alignment horizontal="center" vertical="center"/>
      <protection locked="0"/>
    </xf>
    <xf numFmtId="9" fontId="146" fillId="43" borderId="26" xfId="0" applyNumberFormat="1" applyFont="1" applyFill="1" applyBorder="1" applyAlignment="1" applyProtection="1">
      <alignment vertical="center"/>
      <protection locked="0"/>
    </xf>
    <xf numFmtId="0" fontId="115" fillId="46" borderId="11" xfId="0" applyFont="1" applyFill="1" applyBorder="1" applyAlignment="1" applyProtection="1">
      <alignment horizontal="center" vertical="center"/>
      <protection locked="0"/>
    </xf>
    <xf numFmtId="0" fontId="115" fillId="46" borderId="26" xfId="0" applyFont="1" applyFill="1" applyBorder="1" applyAlignment="1" applyProtection="1">
      <alignment horizontal="center" vertical="center"/>
      <protection locked="0"/>
    </xf>
    <xf numFmtId="0" fontId="116" fillId="60" borderId="11" xfId="0" quotePrefix="1" applyFont="1" applyFill="1" applyBorder="1" applyAlignment="1" applyProtection="1">
      <alignment horizontal="center" vertical="center"/>
      <protection locked="0"/>
    </xf>
    <xf numFmtId="9" fontId="146" fillId="43" borderId="11" xfId="0" applyNumberFormat="1" applyFont="1" applyFill="1" applyBorder="1" applyAlignment="1" applyProtection="1">
      <alignment vertical="center"/>
      <protection locked="0"/>
    </xf>
    <xf numFmtId="0" fontId="108" fillId="55" borderId="14" xfId="0" quotePrefix="1" applyFont="1" applyFill="1" applyBorder="1" applyAlignment="1" applyProtection="1">
      <alignment horizontal="center" vertical="center"/>
      <protection locked="0"/>
    </xf>
    <xf numFmtId="0" fontId="108" fillId="55" borderId="26" xfId="0" quotePrefix="1" applyFont="1" applyFill="1" applyBorder="1" applyAlignment="1" applyProtection="1">
      <alignment horizontal="center" vertical="center"/>
      <protection locked="0"/>
    </xf>
    <xf numFmtId="0" fontId="36" fillId="55" borderId="26" xfId="0" quotePrefix="1" applyFont="1" applyFill="1" applyBorder="1" applyAlignment="1" applyProtection="1">
      <alignment horizontal="center" vertical="center"/>
      <protection locked="0"/>
    </xf>
    <xf numFmtId="0" fontId="108" fillId="55" borderId="11" xfId="0" quotePrefix="1" applyFont="1" applyFill="1" applyBorder="1" applyAlignment="1" applyProtection="1">
      <alignment horizontal="center" vertical="center"/>
      <protection locked="0"/>
    </xf>
    <xf numFmtId="0" fontId="118" fillId="92" borderId="14" xfId="0" quotePrefix="1" applyFont="1" applyFill="1" applyBorder="1" applyAlignment="1" applyProtection="1">
      <alignment horizontal="center" vertical="center"/>
      <protection locked="0"/>
    </xf>
    <xf numFmtId="0" fontId="118" fillId="92" borderId="26" xfId="0" quotePrefix="1" applyFont="1" applyFill="1" applyBorder="1" applyAlignment="1" applyProtection="1">
      <alignment horizontal="center" vertical="center"/>
      <protection locked="0"/>
    </xf>
    <xf numFmtId="0" fontId="36" fillId="92" borderId="26" xfId="0" quotePrefix="1" applyFont="1" applyFill="1" applyBorder="1" applyAlignment="1" applyProtection="1">
      <alignment horizontal="center" vertical="center"/>
      <protection locked="0"/>
    </xf>
    <xf numFmtId="0" fontId="36" fillId="101" borderId="26" xfId="0" applyFont="1" applyFill="1" applyBorder="1" applyAlignment="1" applyProtection="1">
      <alignment horizontal="center" vertical="center"/>
      <protection locked="0"/>
    </xf>
    <xf numFmtId="0" fontId="122" fillId="101" borderId="14" xfId="0" applyFont="1" applyFill="1" applyBorder="1" applyAlignment="1" applyProtection="1">
      <alignment horizontal="center" vertical="center"/>
      <protection locked="0"/>
    </xf>
    <xf numFmtId="0" fontId="122" fillId="101" borderId="11" xfId="0" applyFont="1" applyFill="1" applyBorder="1" applyAlignment="1" applyProtection="1">
      <alignment horizontal="center" vertical="center"/>
      <protection locked="0"/>
    </xf>
    <xf numFmtId="0" fontId="122" fillId="101" borderId="26" xfId="0" applyFont="1" applyFill="1" applyBorder="1" applyAlignment="1" applyProtection="1">
      <alignment horizontal="center" vertical="center"/>
      <protection locked="0"/>
    </xf>
    <xf numFmtId="0" fontId="118" fillId="92" borderId="11" xfId="0" quotePrefix="1" applyFont="1" applyFill="1" applyBorder="1" applyAlignment="1" applyProtection="1">
      <alignment horizontal="center" vertical="center"/>
      <protection locked="0"/>
    </xf>
    <xf numFmtId="0" fontId="110" fillId="76" borderId="14" xfId="0" quotePrefix="1" applyFont="1" applyFill="1" applyBorder="1" applyAlignment="1" applyProtection="1">
      <alignment horizontal="center" vertical="center"/>
      <protection locked="0"/>
    </xf>
    <xf numFmtId="0" fontId="110" fillId="76" borderId="14" xfId="0" applyFont="1" applyFill="1" applyBorder="1" applyAlignment="1" applyProtection="1">
      <alignment horizontal="center" vertical="center"/>
      <protection locked="0"/>
    </xf>
    <xf numFmtId="0" fontId="110" fillId="76" borderId="26" xfId="0" quotePrefix="1" applyFont="1" applyFill="1" applyBorder="1" applyAlignment="1" applyProtection="1">
      <alignment horizontal="center" vertical="center"/>
      <protection locked="0"/>
    </xf>
    <xf numFmtId="0" fontId="36" fillId="76" borderId="26" xfId="0" quotePrefix="1" applyFont="1" applyFill="1" applyBorder="1" applyAlignment="1" applyProtection="1">
      <alignment horizontal="center" vertical="center"/>
      <protection locked="0"/>
    </xf>
    <xf numFmtId="0" fontId="112" fillId="45" borderId="14" xfId="0" applyFont="1" applyFill="1" applyBorder="1" applyAlignment="1" applyProtection="1">
      <alignment horizontal="center" vertical="center"/>
      <protection locked="0"/>
    </xf>
    <xf numFmtId="0" fontId="110" fillId="76" borderId="11" xfId="0" quotePrefix="1" applyFont="1" applyFill="1" applyBorder="1" applyAlignment="1" applyProtection="1">
      <alignment horizontal="center" vertical="center"/>
      <protection locked="0"/>
    </xf>
    <xf numFmtId="0" fontId="117" fillId="61" borderId="14" xfId="0" quotePrefix="1" applyFont="1" applyFill="1" applyBorder="1" applyAlignment="1" applyProtection="1">
      <alignment horizontal="center" vertical="center"/>
      <protection locked="0"/>
    </xf>
    <xf numFmtId="0" fontId="117" fillId="61" borderId="26" xfId="0" quotePrefix="1" applyFont="1" applyFill="1" applyBorder="1" applyAlignment="1" applyProtection="1">
      <alignment horizontal="center" vertical="center"/>
      <protection locked="0"/>
    </xf>
    <xf numFmtId="0" fontId="36" fillId="61" borderId="26" xfId="0" quotePrefix="1" applyFont="1" applyFill="1" applyBorder="1" applyAlignment="1" applyProtection="1">
      <alignment horizontal="center" vertical="center"/>
      <protection locked="0"/>
    </xf>
    <xf numFmtId="0" fontId="36" fillId="54" borderId="26" xfId="0" applyFont="1" applyFill="1" applyBorder="1" applyAlignment="1" applyProtection="1">
      <alignment horizontal="center" vertical="center"/>
      <protection locked="0"/>
    </xf>
    <xf numFmtId="0" fontId="111" fillId="54" borderId="14" xfId="0" applyFont="1" applyFill="1" applyBorder="1" applyAlignment="1" applyProtection="1">
      <alignment horizontal="center" vertical="center"/>
      <protection locked="0"/>
    </xf>
    <xf numFmtId="0" fontId="111" fillId="54" borderId="11" xfId="0" applyFont="1" applyFill="1" applyBorder="1" applyAlignment="1" applyProtection="1">
      <alignment horizontal="center" vertical="center"/>
      <protection locked="0"/>
    </xf>
    <xf numFmtId="0" fontId="111" fillId="54" borderId="26" xfId="0" applyFont="1" applyFill="1" applyBorder="1" applyAlignment="1" applyProtection="1">
      <alignment horizontal="center" vertical="center"/>
      <protection locked="0"/>
    </xf>
    <xf numFmtId="0" fontId="117" fillId="61" borderId="11" xfId="0" quotePrefix="1" applyFont="1" applyFill="1" applyBorder="1" applyAlignment="1" applyProtection="1">
      <alignment horizontal="center" vertical="center"/>
      <protection locked="0"/>
    </xf>
    <xf numFmtId="0" fontId="120" fillId="96" borderId="14" xfId="0" quotePrefix="1" applyFont="1" applyFill="1" applyBorder="1" applyAlignment="1" applyProtection="1">
      <alignment horizontal="center" vertical="center"/>
      <protection locked="0"/>
    </xf>
    <xf numFmtId="0" fontId="36" fillId="96" borderId="102" xfId="0" applyFont="1" applyFill="1" applyBorder="1" applyAlignment="1" applyProtection="1">
      <alignment horizontal="center" vertical="center" wrapText="1"/>
      <protection locked="0"/>
    </xf>
    <xf numFmtId="0" fontId="120" fillId="96" borderId="26" xfId="0" quotePrefix="1" applyFont="1" applyFill="1" applyBorder="1" applyAlignment="1" applyProtection="1">
      <alignment horizontal="center" vertical="center"/>
      <protection locked="0"/>
    </xf>
    <xf numFmtId="0" fontId="120" fillId="96" borderId="26" xfId="0" applyFont="1" applyFill="1" applyBorder="1" applyAlignment="1" applyProtection="1">
      <alignment horizontal="center" vertical="center"/>
      <protection locked="0"/>
    </xf>
    <xf numFmtId="0" fontId="36" fillId="96" borderId="103" xfId="0" applyFont="1" applyFill="1" applyBorder="1" applyAlignment="1" applyProtection="1">
      <alignment horizontal="center" vertical="center" wrapText="1"/>
      <protection locked="0"/>
    </xf>
    <xf numFmtId="0" fontId="36" fillId="96" borderId="26" xfId="0" quotePrefix="1" applyFont="1" applyFill="1" applyBorder="1" applyAlignment="1" applyProtection="1">
      <alignment horizontal="center" vertical="center"/>
      <protection locked="0"/>
    </xf>
    <xf numFmtId="0" fontId="119" fillId="59" borderId="14" xfId="0" applyFont="1" applyFill="1" applyBorder="1" applyAlignment="1" applyProtection="1">
      <alignment horizontal="center" vertical="center"/>
      <protection locked="0"/>
    </xf>
    <xf numFmtId="0" fontId="121" fillId="100" borderId="14" xfId="0" quotePrefix="1" applyFont="1" applyFill="1" applyBorder="1" applyAlignment="1" applyProtection="1">
      <alignment horizontal="center" vertical="center"/>
      <protection locked="0"/>
    </xf>
    <xf numFmtId="0" fontId="121" fillId="100" borderId="26" xfId="0" quotePrefix="1" applyFont="1" applyFill="1" applyBorder="1" applyAlignment="1" applyProtection="1">
      <alignment horizontal="center" vertical="center"/>
      <protection locked="0"/>
    </xf>
    <xf numFmtId="0" fontId="36" fillId="100" borderId="26" xfId="0" quotePrefix="1" applyFont="1" applyFill="1" applyBorder="1" applyAlignment="1" applyProtection="1">
      <alignment horizontal="center" vertical="center"/>
      <protection locked="0"/>
    </xf>
    <xf numFmtId="0" fontId="123" fillId="102" borderId="14" xfId="0" applyFont="1" applyFill="1" applyBorder="1" applyAlignment="1" applyProtection="1">
      <alignment horizontal="center" vertical="center"/>
      <protection locked="0"/>
    </xf>
    <xf numFmtId="0" fontId="36" fillId="102" borderId="26" xfId="0" applyFont="1" applyFill="1" applyBorder="1" applyAlignment="1" applyProtection="1">
      <alignment horizontal="center" vertical="center"/>
      <protection locked="0"/>
    </xf>
    <xf numFmtId="0" fontId="123" fillId="102" borderId="11" xfId="0" applyFont="1" applyFill="1" applyBorder="1" applyAlignment="1" applyProtection="1">
      <alignment horizontal="center" vertical="center"/>
      <protection locked="0"/>
    </xf>
    <xf numFmtId="0" fontId="123" fillId="102" borderId="26" xfId="0" applyFont="1" applyFill="1" applyBorder="1" applyAlignment="1" applyProtection="1">
      <alignment horizontal="center" vertical="center"/>
      <protection locked="0"/>
    </xf>
    <xf numFmtId="0" fontId="121" fillId="100" borderId="11" xfId="0" quotePrefix="1" applyFont="1" applyFill="1" applyBorder="1" applyAlignment="1" applyProtection="1">
      <alignment horizontal="center" vertical="center"/>
      <protection locked="0"/>
    </xf>
    <xf numFmtId="0" fontId="126" fillId="95" borderId="14" xfId="0" quotePrefix="1" applyFont="1" applyFill="1" applyBorder="1" applyAlignment="1" applyProtection="1">
      <alignment horizontal="center" vertical="center"/>
      <protection locked="0"/>
    </xf>
    <xf numFmtId="0" fontId="126" fillId="95" borderId="14" xfId="0" applyFont="1" applyFill="1" applyBorder="1" applyAlignment="1" applyProtection="1">
      <alignment horizontal="center" vertical="center"/>
      <protection locked="0"/>
    </xf>
    <xf numFmtId="0" fontId="36" fillId="95" borderId="102" xfId="0" applyFont="1" applyFill="1" applyBorder="1" applyAlignment="1" applyProtection="1">
      <alignment horizontal="center" vertical="center" wrapText="1"/>
      <protection locked="0"/>
    </xf>
    <xf numFmtId="0" fontId="126" fillId="95" borderId="26" xfId="0" quotePrefix="1" applyFont="1" applyFill="1" applyBorder="1" applyAlignment="1" applyProtection="1">
      <alignment horizontal="center" vertical="center"/>
      <protection locked="0"/>
    </xf>
    <xf numFmtId="0" fontId="126" fillId="95" borderId="26" xfId="0" applyFont="1" applyFill="1" applyBorder="1" applyAlignment="1" applyProtection="1">
      <alignment horizontal="center" vertical="center"/>
      <protection locked="0"/>
    </xf>
    <xf numFmtId="0" fontId="36" fillId="95" borderId="103" xfId="0" applyFont="1" applyFill="1" applyBorder="1" applyAlignment="1" applyProtection="1">
      <alignment horizontal="center" vertical="center" wrapText="1"/>
      <protection locked="0"/>
    </xf>
    <xf numFmtId="0" fontId="36" fillId="95" borderId="26" xfId="0" quotePrefix="1" applyFont="1" applyFill="1" applyBorder="1" applyAlignment="1" applyProtection="1">
      <alignment horizontal="center" vertical="center"/>
      <protection locked="0"/>
    </xf>
    <xf numFmtId="0" fontId="36" fillId="95" borderId="26" xfId="0" applyFont="1" applyFill="1" applyBorder="1" applyAlignment="1" applyProtection="1">
      <alignment horizontal="center" vertical="center"/>
      <protection locked="0"/>
    </xf>
    <xf numFmtId="0" fontId="36" fillId="103" borderId="26" xfId="0" applyFont="1" applyFill="1" applyBorder="1" applyAlignment="1" applyProtection="1">
      <alignment horizontal="center" vertical="center"/>
      <protection locked="0"/>
    </xf>
    <xf numFmtId="0" fontId="127" fillId="103" borderId="14" xfId="0" applyFont="1" applyFill="1" applyBorder="1" applyAlignment="1" applyProtection="1">
      <alignment horizontal="center" vertical="center"/>
      <protection locked="0"/>
    </xf>
    <xf numFmtId="0" fontId="126" fillId="95" borderId="11" xfId="0" applyFont="1" applyFill="1" applyBorder="1" applyAlignment="1" applyProtection="1">
      <alignment horizontal="center" vertical="center"/>
      <protection locked="0"/>
    </xf>
    <xf numFmtId="0" fontId="127" fillId="103" borderId="11" xfId="0" applyFont="1" applyFill="1" applyBorder="1" applyAlignment="1" applyProtection="1">
      <alignment horizontal="center" vertical="center"/>
      <protection locked="0"/>
    </xf>
    <xf numFmtId="0" fontId="126" fillId="95" borderId="11" xfId="0" quotePrefix="1" applyFont="1" applyFill="1" applyBorder="1" applyAlignment="1" applyProtection="1">
      <alignment horizontal="center" vertical="center"/>
      <protection locked="0"/>
    </xf>
    <xf numFmtId="0" fontId="36" fillId="60" borderId="14" xfId="0" applyFont="1" applyFill="1" applyBorder="1" applyAlignment="1" applyProtection="1">
      <alignment horizontal="center" vertical="center" wrapText="1"/>
      <protection locked="0"/>
    </xf>
    <xf numFmtId="2" fontId="36" fillId="0" borderId="172" xfId="0" applyNumberFormat="1" applyFont="1" applyBorder="1" applyAlignment="1" applyProtection="1">
      <alignment horizontal="center" vertical="center"/>
      <protection locked="0"/>
    </xf>
    <xf numFmtId="2" fontId="36" fillId="0" borderId="14" xfId="0" applyNumberFormat="1" applyFont="1" applyBorder="1" applyAlignment="1" applyProtection="1">
      <alignment horizontal="center" vertical="center"/>
      <protection locked="0"/>
    </xf>
    <xf numFmtId="2" fontId="36" fillId="0" borderId="27" xfId="0" applyNumberFormat="1" applyFont="1" applyBorder="1" applyAlignment="1" applyProtection="1">
      <alignment horizontal="center" vertical="center"/>
      <protection locked="0"/>
    </xf>
    <xf numFmtId="0" fontId="36" fillId="60" borderId="26" xfId="0" applyFont="1" applyFill="1" applyBorder="1" applyAlignment="1" applyProtection="1">
      <alignment horizontal="center" vertical="center" wrapText="1"/>
      <protection locked="0"/>
    </xf>
    <xf numFmtId="2" fontId="36" fillId="0" borderId="18" xfId="0" applyNumberFormat="1" applyFont="1" applyBorder="1" applyAlignment="1" applyProtection="1">
      <alignment horizontal="center" vertical="center"/>
      <protection locked="0"/>
    </xf>
    <xf numFmtId="0" fontId="36" fillId="60" borderId="11" xfId="0" applyFont="1" applyFill="1" applyBorder="1" applyAlignment="1" applyProtection="1">
      <alignment horizontal="center" vertical="center" wrapText="1"/>
      <protection locked="0"/>
    </xf>
    <xf numFmtId="2" fontId="36" fillId="0" borderId="24" xfId="0" applyNumberFormat="1" applyFont="1" applyBorder="1" applyAlignment="1" applyProtection="1">
      <alignment horizontal="center" vertical="center"/>
      <protection locked="0"/>
    </xf>
    <xf numFmtId="2" fontId="36" fillId="0" borderId="17" xfId="0" applyNumberFormat="1" applyFont="1" applyBorder="1" applyAlignment="1" applyProtection="1">
      <alignment horizontal="center" vertical="center"/>
      <protection locked="0"/>
    </xf>
    <xf numFmtId="0" fontId="36" fillId="95" borderId="14" xfId="0" quotePrefix="1" applyFont="1" applyFill="1" applyBorder="1" applyAlignment="1" applyProtection="1">
      <alignment horizontal="center" vertical="center"/>
      <protection locked="0"/>
    </xf>
    <xf numFmtId="0" fontId="36" fillId="95" borderId="11" xfId="0" applyFont="1" applyFill="1" applyBorder="1" applyAlignment="1" applyProtection="1">
      <alignment horizontal="center" vertical="center"/>
      <protection locked="0"/>
    </xf>
    <xf numFmtId="0" fontId="134" fillId="77" borderId="14" xfId="0" quotePrefix="1" applyFont="1" applyFill="1" applyBorder="1" applyAlignment="1" applyProtection="1">
      <alignment horizontal="center" vertical="center"/>
      <protection locked="0"/>
    </xf>
    <xf numFmtId="0" fontId="36" fillId="77" borderId="14" xfId="0" quotePrefix="1" applyFont="1" applyFill="1" applyBorder="1" applyAlignment="1" applyProtection="1">
      <alignment horizontal="center" vertical="center"/>
      <protection locked="0"/>
    </xf>
    <xf numFmtId="0" fontId="36" fillId="77" borderId="14" xfId="0" applyFont="1" applyFill="1" applyBorder="1" applyAlignment="1" applyProtection="1">
      <alignment horizontal="center" vertical="center"/>
      <protection locked="0"/>
    </xf>
    <xf numFmtId="0" fontId="36" fillId="77" borderId="11" xfId="0" applyFont="1" applyFill="1" applyBorder="1" applyAlignment="1" applyProtection="1">
      <alignment horizontal="center" vertical="center"/>
      <protection locked="0"/>
    </xf>
    <xf numFmtId="0" fontId="36" fillId="45" borderId="14" xfId="0" applyFont="1" applyFill="1" applyBorder="1" applyAlignment="1" applyProtection="1">
      <alignment horizontal="center" vertical="center"/>
      <protection locked="0"/>
    </xf>
    <xf numFmtId="0" fontId="134" fillId="77" borderId="11" xfId="0" quotePrefix="1" applyFont="1" applyFill="1" applyBorder="1" applyAlignment="1" applyProtection="1">
      <alignment horizontal="center" vertical="center"/>
      <protection locked="0"/>
    </xf>
    <xf numFmtId="0" fontId="36" fillId="45" borderId="11" xfId="0" applyFont="1" applyFill="1" applyBorder="1" applyAlignment="1" applyProtection="1">
      <alignment horizontal="center" vertical="center"/>
      <protection locked="0"/>
    </xf>
    <xf numFmtId="0" fontId="36" fillId="64" borderId="23" xfId="0" applyFont="1" applyFill="1" applyBorder="1" applyAlignment="1" applyProtection="1">
      <alignment horizontal="center" vertical="center" wrapText="1"/>
      <protection locked="0"/>
    </xf>
    <xf numFmtId="0" fontId="36" fillId="64" borderId="0" xfId="0" applyFont="1" applyFill="1" applyAlignment="1" applyProtection="1">
      <alignment horizontal="center" vertical="center" wrapText="1"/>
      <protection locked="0"/>
    </xf>
    <xf numFmtId="9" fontId="127" fillId="43" borderId="14" xfId="0" applyNumberFormat="1" applyFont="1" applyFill="1" applyBorder="1" applyAlignment="1" applyProtection="1">
      <alignment horizontal="center" vertical="center"/>
      <protection locked="0"/>
    </xf>
    <xf numFmtId="164" fontId="36" fillId="94" borderId="158" xfId="0" applyNumberFormat="1" applyFont="1" applyFill="1" applyBorder="1" applyAlignment="1" applyProtection="1">
      <alignment horizontal="center" vertical="center"/>
      <protection locked="0"/>
    </xf>
    <xf numFmtId="2" fontId="36" fillId="0" borderId="23" xfId="0" applyNumberFormat="1" applyFont="1" applyBorder="1" applyAlignment="1" applyProtection="1">
      <alignment horizontal="center" vertical="center"/>
      <protection locked="0"/>
    </xf>
    <xf numFmtId="10" fontId="36" fillId="0" borderId="14" xfId="0" applyNumberFormat="1" applyFont="1" applyBorder="1" applyAlignment="1" applyProtection="1">
      <alignment horizontal="center" vertical="center"/>
      <protection locked="0"/>
    </xf>
    <xf numFmtId="0" fontId="36" fillId="92" borderId="154" xfId="0" applyFont="1" applyFill="1" applyBorder="1" applyAlignment="1" applyProtection="1">
      <alignment horizontal="center" vertical="center"/>
      <protection locked="0"/>
    </xf>
    <xf numFmtId="164" fontId="36" fillId="94" borderId="88" xfId="0" applyNumberFormat="1" applyFont="1" applyFill="1" applyBorder="1" applyAlignment="1" applyProtection="1">
      <alignment horizontal="center" vertical="center"/>
      <protection locked="0"/>
    </xf>
    <xf numFmtId="168" fontId="5" fillId="44" borderId="87" xfId="0" applyNumberFormat="1" applyFont="1" applyFill="1" applyBorder="1" applyAlignment="1" applyProtection="1">
      <alignment horizontal="center"/>
      <protection locked="0"/>
    </xf>
    <xf numFmtId="1" fontId="9" fillId="44" borderId="131" xfId="0" applyNumberFormat="1" applyFont="1" applyFill="1" applyBorder="1" applyAlignment="1" applyProtection="1">
      <alignment horizontal="center"/>
      <protection locked="0"/>
    </xf>
    <xf numFmtId="2" fontId="36" fillId="123" borderId="14" xfId="0" applyNumberFormat="1" applyFont="1" applyFill="1" applyBorder="1" applyAlignment="1" applyProtection="1">
      <alignment horizontal="center" vertical="center"/>
      <protection locked="0"/>
    </xf>
    <xf numFmtId="0" fontId="36" fillId="98" borderId="14" xfId="0" applyFont="1" applyFill="1" applyBorder="1" applyAlignment="1" applyProtection="1">
      <alignment horizontal="center" vertical="center" wrapText="1"/>
      <protection locked="0"/>
    </xf>
    <xf numFmtId="0" fontId="149" fillId="128" borderId="14" xfId="0" quotePrefix="1" applyFont="1" applyFill="1" applyBorder="1" applyAlignment="1" applyProtection="1">
      <alignment horizontal="center" vertical="center"/>
      <protection locked="0"/>
    </xf>
    <xf numFmtId="0" fontId="36" fillId="128" borderId="14" xfId="0" applyFont="1" applyFill="1" applyBorder="1" applyAlignment="1" applyProtection="1">
      <alignment horizontal="center" vertical="center" wrapText="1"/>
      <protection locked="0"/>
    </xf>
    <xf numFmtId="0" fontId="90" fillId="49" borderId="87" xfId="0" applyFont="1" applyFill="1" applyBorder="1" applyAlignment="1" applyProtection="1">
      <alignment horizontal="center" vertical="center"/>
      <protection locked="0"/>
    </xf>
    <xf numFmtId="0" fontId="91" fillId="55" borderId="26" xfId="0" applyFont="1" applyFill="1" applyBorder="1" applyAlignment="1" applyProtection="1">
      <alignment horizontal="center" vertical="center"/>
      <protection locked="0"/>
    </xf>
    <xf numFmtId="0" fontId="90" fillId="49" borderId="142" xfId="0" applyFont="1" applyFill="1" applyBorder="1" applyAlignment="1" applyProtection="1">
      <alignment horizontal="center" vertical="center"/>
      <protection locked="0"/>
    </xf>
    <xf numFmtId="0" fontId="72" fillId="49" borderId="86" xfId="0" applyFont="1" applyFill="1" applyBorder="1" applyAlignment="1" applyProtection="1">
      <alignment horizontal="center" vertical="center"/>
      <protection locked="0"/>
    </xf>
    <xf numFmtId="0" fontId="90" fillId="49" borderId="147" xfId="0" applyFont="1" applyFill="1" applyBorder="1" applyAlignment="1" applyProtection="1">
      <alignment horizontal="center" vertical="center"/>
      <protection locked="0"/>
    </xf>
    <xf numFmtId="2" fontId="0" fillId="0" borderId="27" xfId="0" applyNumberFormat="1" applyBorder="1" applyAlignment="1" applyProtection="1">
      <alignment horizontal="center" vertical="center"/>
      <protection locked="0"/>
    </xf>
    <xf numFmtId="2" fontId="0" fillId="0" borderId="23" xfId="0" applyNumberFormat="1" applyBorder="1" applyAlignment="1" applyProtection="1">
      <alignment horizontal="center" vertical="center"/>
      <protection locked="0"/>
    </xf>
    <xf numFmtId="169" fontId="0" fillId="0" borderId="23" xfId="0" applyNumberFormat="1" applyBorder="1" applyAlignment="1" applyProtection="1">
      <alignment horizontal="center" vertical="center"/>
      <protection locked="0"/>
    </xf>
    <xf numFmtId="0" fontId="90" fillId="49" borderId="89" xfId="0" applyFont="1" applyFill="1" applyBorder="1" applyAlignment="1" applyProtection="1">
      <alignment horizontal="center" vertical="center"/>
      <protection locked="0"/>
    </xf>
    <xf numFmtId="0" fontId="72" fillId="49" borderId="142" xfId="0" applyFont="1" applyFill="1" applyBorder="1" applyAlignment="1" applyProtection="1">
      <alignment horizontal="center" vertical="center"/>
      <protection locked="0"/>
    </xf>
    <xf numFmtId="0" fontId="72" fillId="49" borderId="74" xfId="0" applyFont="1" applyFill="1" applyBorder="1" applyAlignment="1" applyProtection="1">
      <alignment horizontal="center" vertical="center"/>
      <protection locked="0"/>
    </xf>
    <xf numFmtId="0" fontId="72" fillId="49" borderId="147" xfId="0" applyFont="1" applyFill="1" applyBorder="1" applyAlignment="1" applyProtection="1">
      <alignment horizontal="center" vertical="center"/>
      <protection locked="0"/>
    </xf>
    <xf numFmtId="2" fontId="0" fillId="0" borderId="18"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69" fontId="0" fillId="0" borderId="0" xfId="0" applyNumberFormat="1" applyAlignment="1" applyProtection="1">
      <alignment horizontal="center" vertical="center"/>
      <protection locked="0"/>
    </xf>
    <xf numFmtId="0" fontId="90" fillId="49" borderId="143" xfId="0" applyFont="1" applyFill="1" applyBorder="1" applyAlignment="1" applyProtection="1">
      <alignment horizontal="center" vertical="center"/>
      <protection locked="0"/>
    </xf>
    <xf numFmtId="0" fontId="72" fillId="49" borderId="75" xfId="0" applyFont="1" applyFill="1" applyBorder="1" applyAlignment="1" applyProtection="1">
      <alignment horizontal="center" vertical="center"/>
      <protection locked="0"/>
    </xf>
    <xf numFmtId="0" fontId="90" fillId="49" borderId="148" xfId="0" applyFont="1" applyFill="1" applyBorder="1" applyAlignment="1" applyProtection="1">
      <alignment horizontal="center" vertical="center"/>
      <protection locked="0"/>
    </xf>
    <xf numFmtId="2" fontId="0" fillId="0" borderId="24" xfId="0" applyNumberFormat="1" applyBorder="1" applyAlignment="1" applyProtection="1">
      <alignment horizontal="center" vertical="center"/>
      <protection locked="0"/>
    </xf>
    <xf numFmtId="2" fontId="0" fillId="0" borderId="17" xfId="0" applyNumberFormat="1" applyBorder="1" applyAlignment="1" applyProtection="1">
      <alignment horizontal="center" vertical="center"/>
      <protection locked="0"/>
    </xf>
    <xf numFmtId="169" fontId="0" fillId="0" borderId="17" xfId="0" applyNumberFormat="1" applyBorder="1" applyAlignment="1" applyProtection="1">
      <alignment horizontal="center" vertical="center"/>
      <protection locked="0"/>
    </xf>
    <xf numFmtId="0" fontId="90" fillId="49" borderId="141" xfId="0" applyFont="1" applyFill="1" applyBorder="1" applyAlignment="1" applyProtection="1">
      <alignment horizontal="center" vertical="center"/>
      <protection locked="0"/>
    </xf>
    <xf numFmtId="0" fontId="72" fillId="49" borderId="72" xfId="0" applyFont="1" applyFill="1" applyBorder="1" applyAlignment="1" applyProtection="1">
      <alignment horizontal="center" vertical="center"/>
      <protection locked="0"/>
    </xf>
    <xf numFmtId="0" fontId="90" fillId="49" borderId="146" xfId="0" applyFont="1" applyFill="1" applyBorder="1" applyAlignment="1" applyProtection="1">
      <alignment horizontal="center" vertical="center"/>
      <protection locked="0"/>
    </xf>
    <xf numFmtId="0" fontId="72" fillId="49" borderId="89" xfId="0" applyFont="1" applyFill="1" applyBorder="1" applyAlignment="1" applyProtection="1">
      <alignment horizontal="center" vertical="center"/>
      <protection locked="0"/>
    </xf>
    <xf numFmtId="0" fontId="92" fillId="55" borderId="26" xfId="0" applyFont="1" applyFill="1" applyBorder="1" applyAlignment="1" applyProtection="1">
      <alignment horizontal="center" vertical="center"/>
      <protection locked="0"/>
    </xf>
    <xf numFmtId="0" fontId="90" fillId="49" borderId="245" xfId="0" applyFont="1" applyFill="1" applyBorder="1" applyAlignment="1" applyProtection="1">
      <alignment horizontal="center" vertical="center"/>
      <protection locked="0"/>
    </xf>
    <xf numFmtId="0" fontId="72" fillId="45" borderId="81" xfId="0" applyFont="1" applyFill="1" applyBorder="1" applyAlignment="1" applyProtection="1">
      <alignment horizontal="center" vertical="center"/>
      <protection locked="0"/>
    </xf>
    <xf numFmtId="0" fontId="72" fillId="44" borderId="72" xfId="0" applyFont="1" applyFill="1" applyBorder="1" applyAlignment="1" applyProtection="1">
      <alignment horizontal="center" vertical="center"/>
      <protection locked="0"/>
    </xf>
    <xf numFmtId="0" fontId="72" fillId="49" borderId="26" xfId="0" applyFont="1" applyFill="1" applyBorder="1" applyAlignment="1" applyProtection="1">
      <alignment horizontal="center" vertical="center"/>
      <protection locked="0"/>
    </xf>
    <xf numFmtId="0" fontId="72" fillId="45" borderId="82" xfId="0" applyFont="1" applyFill="1" applyBorder="1" applyAlignment="1" applyProtection="1">
      <alignment horizontal="center" vertical="center"/>
      <protection locked="0"/>
    </xf>
    <xf numFmtId="0" fontId="72" fillId="44" borderId="74" xfId="0" applyFont="1" applyFill="1" applyBorder="1" applyAlignment="1" applyProtection="1">
      <alignment horizontal="center" vertical="center"/>
      <protection locked="0"/>
    </xf>
    <xf numFmtId="0" fontId="90" fillId="49" borderId="11" xfId="0" applyFont="1" applyFill="1" applyBorder="1" applyAlignment="1" applyProtection="1">
      <alignment horizontal="center" vertical="center"/>
      <protection locked="0"/>
    </xf>
    <xf numFmtId="0" fontId="72" fillId="45" borderId="80" xfId="0" applyFont="1" applyFill="1" applyBorder="1" applyAlignment="1" applyProtection="1">
      <alignment horizontal="center" vertical="center"/>
      <protection locked="0"/>
    </xf>
    <xf numFmtId="0" fontId="72" fillId="44" borderId="75" xfId="0" applyFont="1" applyFill="1" applyBorder="1" applyAlignment="1" applyProtection="1">
      <alignment horizontal="center" vertical="center"/>
      <protection locked="0"/>
    </xf>
    <xf numFmtId="0" fontId="72" fillId="46" borderId="81" xfId="0" applyFont="1" applyFill="1" applyBorder="1" applyAlignment="1" applyProtection="1">
      <alignment horizontal="center" vertical="center"/>
      <protection locked="0"/>
    </xf>
    <xf numFmtId="0" fontId="72" fillId="46" borderId="82" xfId="0" applyFont="1" applyFill="1" applyBorder="1" applyAlignment="1" applyProtection="1">
      <alignment horizontal="center" vertical="center"/>
      <protection locked="0"/>
    </xf>
    <xf numFmtId="0" fontId="72" fillId="46" borderId="80" xfId="0" applyFont="1" applyFill="1" applyBorder="1" applyAlignment="1" applyProtection="1">
      <alignment horizontal="center" vertical="center"/>
      <protection locked="0"/>
    </xf>
    <xf numFmtId="1" fontId="7" fillId="55" borderId="14" xfId="0" applyNumberFormat="1" applyFont="1" applyFill="1" applyBorder="1" applyAlignment="1">
      <alignment horizontal="center" vertical="center" wrapText="1"/>
    </xf>
    <xf numFmtId="1" fontId="7" fillId="48" borderId="14" xfId="0" applyNumberFormat="1" applyFont="1" applyFill="1" applyBorder="1" applyAlignment="1">
      <alignment horizontal="center" vertical="center" wrapText="1"/>
    </xf>
    <xf numFmtId="1" fontId="7" fillId="64" borderId="14" xfId="0" applyNumberFormat="1" applyFont="1" applyFill="1" applyBorder="1" applyAlignment="1">
      <alignment horizontal="center" vertical="center" wrapText="1"/>
    </xf>
    <xf numFmtId="1" fontId="7" fillId="60" borderId="27" xfId="0" applyNumberFormat="1" applyFont="1" applyFill="1" applyBorder="1" applyAlignment="1">
      <alignment horizontal="center" vertical="center" wrapText="1"/>
    </xf>
    <xf numFmtId="1" fontId="7" fillId="58" borderId="27" xfId="0" applyNumberFormat="1" applyFont="1" applyFill="1" applyBorder="1" applyAlignment="1">
      <alignment horizontal="center" vertical="center" wrapText="1"/>
    </xf>
    <xf numFmtId="1" fontId="7" fillId="55" borderId="27" xfId="0" applyNumberFormat="1" applyFont="1" applyFill="1" applyBorder="1" applyAlignment="1">
      <alignment horizontal="center" vertical="center" wrapText="1"/>
    </xf>
    <xf numFmtId="1" fontId="7" fillId="61" borderId="27" xfId="0" applyNumberFormat="1" applyFont="1" applyFill="1" applyBorder="1" applyAlignment="1">
      <alignment horizontal="center" vertical="center" wrapText="1"/>
    </xf>
    <xf numFmtId="0" fontId="0" fillId="0" borderId="39" xfId="0" applyBorder="1"/>
    <xf numFmtId="0" fontId="0" fillId="0" borderId="19" xfId="0" applyBorder="1"/>
    <xf numFmtId="0" fontId="0" fillId="0" borderId="66" xfId="0" applyBorder="1"/>
    <xf numFmtId="0" fontId="0" fillId="0" borderId="67" xfId="0" applyBorder="1"/>
    <xf numFmtId="0" fontId="0" fillId="0" borderId="30" xfId="0" applyBorder="1"/>
    <xf numFmtId="0" fontId="0" fillId="0" borderId="18" xfId="0" applyBorder="1"/>
    <xf numFmtId="0" fontId="0" fillId="0" borderId="29" xfId="0" applyBorder="1"/>
    <xf numFmtId="0" fontId="0" fillId="0" borderId="42" xfId="0" applyBorder="1"/>
    <xf numFmtId="0" fontId="0" fillId="0" borderId="17" xfId="0" applyBorder="1"/>
    <xf numFmtId="0" fontId="0" fillId="0" borderId="24" xfId="0" applyBorder="1"/>
    <xf numFmtId="0" fontId="0" fillId="0" borderId="68" xfId="0" applyBorder="1"/>
    <xf numFmtId="0" fontId="0" fillId="0" borderId="43" xfId="0" applyBorder="1"/>
    <xf numFmtId="0" fontId="0" fillId="0" borderId="23" xfId="0" applyBorder="1"/>
    <xf numFmtId="0" fontId="0" fillId="0" borderId="27" xfId="0" applyBorder="1"/>
    <xf numFmtId="0" fontId="0" fillId="0" borderId="172" xfId="0" applyBorder="1"/>
    <xf numFmtId="0" fontId="0" fillId="0" borderId="34" xfId="0" applyBorder="1"/>
    <xf numFmtId="0" fontId="0" fillId="0" borderId="13" xfId="0" applyBorder="1"/>
    <xf numFmtId="0" fontId="0" fillId="0" borderId="25" xfId="0" applyBorder="1"/>
    <xf numFmtId="0" fontId="0" fillId="0" borderId="70" xfId="0" applyBorder="1"/>
    <xf numFmtId="0" fontId="0" fillId="46" borderId="67" xfId="0" applyFill="1" applyBorder="1"/>
    <xf numFmtId="0" fontId="0" fillId="46" borderId="30" xfId="0" applyFill="1" applyBorder="1"/>
    <xf numFmtId="0" fontId="0" fillId="46" borderId="68" xfId="0" applyFill="1" applyBorder="1"/>
    <xf numFmtId="0" fontId="0" fillId="46" borderId="172" xfId="0" applyFill="1" applyBorder="1"/>
    <xf numFmtId="0" fontId="0" fillId="46" borderId="29" xfId="0" applyFill="1" applyBorder="1"/>
    <xf numFmtId="0" fontId="0" fillId="0" borderId="36" xfId="0" applyBorder="1"/>
    <xf numFmtId="0" fontId="0" fillId="0" borderId="53" xfId="0" applyBorder="1"/>
    <xf numFmtId="0" fontId="0" fillId="0" borderId="28" xfId="0" applyBorder="1"/>
    <xf numFmtId="0" fontId="0" fillId="0" borderId="10" xfId="0" applyBorder="1"/>
    <xf numFmtId="0" fontId="0" fillId="0" borderId="37" xfId="0" applyBorder="1"/>
    <xf numFmtId="0" fontId="0" fillId="0" borderId="54" xfId="0" applyBorder="1"/>
    <xf numFmtId="0" fontId="0" fillId="0" borderId="58" xfId="0" applyBorder="1"/>
    <xf numFmtId="0" fontId="0" fillId="0" borderId="16" xfId="0" applyBorder="1"/>
    <xf numFmtId="0" fontId="0" fillId="54" borderId="67" xfId="0" applyFill="1" applyBorder="1"/>
    <xf numFmtId="0" fontId="0" fillId="54" borderId="30" xfId="0" applyFill="1" applyBorder="1"/>
    <xf numFmtId="0" fontId="0" fillId="54" borderId="68" xfId="0" applyFill="1" applyBorder="1"/>
    <xf numFmtId="0" fontId="0" fillId="54" borderId="172" xfId="0" applyFill="1" applyBorder="1"/>
    <xf numFmtId="0" fontId="0" fillId="54" borderId="29" xfId="0" applyFill="1" applyBorder="1"/>
    <xf numFmtId="0" fontId="130" fillId="87" borderId="245" xfId="0" applyFont="1" applyFill="1" applyBorder="1" applyAlignment="1" applyProtection="1">
      <alignment horizontal="center" vertical="center"/>
      <protection locked="0"/>
    </xf>
    <xf numFmtId="0" fontId="91" fillId="55" borderId="245" xfId="0" applyFont="1" applyFill="1" applyBorder="1" applyAlignment="1" applyProtection="1">
      <alignment horizontal="center" vertical="center"/>
      <protection locked="0"/>
    </xf>
    <xf numFmtId="0" fontId="90" fillId="49" borderId="88" xfId="0" applyFont="1" applyFill="1" applyBorder="1" applyAlignment="1" applyProtection="1">
      <alignment horizontal="center" vertical="center"/>
      <protection locked="0"/>
    </xf>
    <xf numFmtId="0" fontId="72" fillId="87" borderId="26" xfId="0" applyFont="1" applyFill="1" applyBorder="1" applyAlignment="1" applyProtection="1">
      <alignment horizontal="center" vertical="center"/>
      <protection locked="0"/>
    </xf>
    <xf numFmtId="0" fontId="72" fillId="49" borderId="90" xfId="0" applyFont="1" applyFill="1" applyBorder="1" applyAlignment="1" applyProtection="1">
      <alignment horizontal="center" vertical="center"/>
      <protection locked="0"/>
    </xf>
    <xf numFmtId="0" fontId="130" fillId="87" borderId="26" xfId="0" applyFont="1" applyFill="1" applyBorder="1" applyAlignment="1" applyProtection="1">
      <alignment horizontal="center" vertical="center"/>
      <protection locked="0"/>
    </xf>
    <xf numFmtId="0" fontId="90" fillId="49" borderId="92" xfId="0" applyFont="1" applyFill="1" applyBorder="1" applyAlignment="1" applyProtection="1">
      <alignment horizontal="center" vertical="center"/>
      <protection locked="0"/>
    </xf>
    <xf numFmtId="0" fontId="72" fillId="49" borderId="146" xfId="0" applyFont="1" applyFill="1" applyBorder="1" applyAlignment="1" applyProtection="1">
      <alignment horizontal="center" vertical="center"/>
      <protection locked="0"/>
    </xf>
    <xf numFmtId="0" fontId="72" fillId="49" borderId="148" xfId="0" applyFont="1" applyFill="1" applyBorder="1" applyAlignment="1" applyProtection="1">
      <alignment horizontal="center" vertical="center"/>
      <protection locked="0"/>
    </xf>
    <xf numFmtId="0" fontId="130" fillId="87" borderId="11" xfId="0" applyFont="1" applyFill="1" applyBorder="1" applyAlignment="1" applyProtection="1">
      <alignment horizontal="center" vertical="center"/>
      <protection locked="0"/>
    </xf>
    <xf numFmtId="0" fontId="91" fillId="55" borderId="11" xfId="0" applyFont="1" applyFill="1" applyBorder="1" applyAlignment="1" applyProtection="1">
      <alignment horizontal="center" vertical="center"/>
      <protection locked="0"/>
    </xf>
    <xf numFmtId="0" fontId="98" fillId="45" borderId="26" xfId="0" applyFont="1" applyFill="1" applyBorder="1" applyAlignment="1" applyProtection="1">
      <alignment horizontal="center" vertical="center"/>
      <protection locked="0"/>
    </xf>
    <xf numFmtId="0" fontId="94" fillId="76" borderId="245" xfId="0" applyFont="1" applyFill="1" applyBorder="1" applyAlignment="1" applyProtection="1">
      <alignment horizontal="center" vertical="center"/>
      <protection locked="0"/>
    </xf>
    <xf numFmtId="0" fontId="72" fillId="45" borderId="26" xfId="0" applyFont="1" applyFill="1" applyBorder="1" applyAlignment="1" applyProtection="1">
      <alignment horizontal="center" vertical="center"/>
      <protection locked="0"/>
    </xf>
    <xf numFmtId="0" fontId="92" fillId="76" borderId="26" xfId="0" applyFont="1" applyFill="1" applyBorder="1" applyAlignment="1" applyProtection="1">
      <alignment horizontal="center" vertical="center"/>
      <protection locked="0"/>
    </xf>
    <xf numFmtId="0" fontId="94" fillId="76" borderId="26" xfId="0" applyFont="1" applyFill="1" applyBorder="1" applyAlignment="1" applyProtection="1">
      <alignment horizontal="center" vertical="center"/>
      <protection locked="0"/>
    </xf>
    <xf numFmtId="0" fontId="90" fillId="49" borderId="90" xfId="0" applyFont="1" applyFill="1" applyBorder="1" applyAlignment="1" applyProtection="1">
      <alignment horizontal="center" vertical="center"/>
      <protection locked="0"/>
    </xf>
    <xf numFmtId="0" fontId="72" fillId="49" borderId="141" xfId="0" applyFont="1" applyFill="1" applyBorder="1" applyAlignment="1" applyProtection="1">
      <alignment horizontal="center" vertical="center"/>
      <protection locked="0"/>
    </xf>
    <xf numFmtId="0" fontId="72" fillId="49" borderId="88" xfId="0" applyFont="1" applyFill="1" applyBorder="1" applyAlignment="1" applyProtection="1">
      <alignment horizontal="center" vertical="center"/>
      <protection locked="0"/>
    </xf>
    <xf numFmtId="0" fontId="72" fillId="49" borderId="154" xfId="0" applyFont="1" applyFill="1" applyBorder="1" applyAlignment="1" applyProtection="1">
      <alignment horizontal="center" vertical="center"/>
      <protection locked="0"/>
    </xf>
    <xf numFmtId="0" fontId="90" fillId="49" borderId="153" xfId="0" applyFont="1" applyFill="1" applyBorder="1" applyAlignment="1" applyProtection="1">
      <alignment horizontal="center" vertical="center"/>
      <protection locked="0"/>
    </xf>
    <xf numFmtId="0" fontId="72" fillId="49" borderId="153" xfId="0" applyFont="1" applyFill="1" applyBorder="1" applyAlignment="1" applyProtection="1">
      <alignment horizontal="center" vertical="center"/>
      <protection locked="0"/>
    </xf>
    <xf numFmtId="0" fontId="72" fillId="49" borderId="155" xfId="0" applyFont="1" applyFill="1" applyBorder="1" applyAlignment="1" applyProtection="1">
      <alignment horizontal="center" vertical="center"/>
      <protection locked="0"/>
    </xf>
    <xf numFmtId="0" fontId="72" fillId="49" borderId="144" xfId="0" applyFont="1" applyFill="1" applyBorder="1" applyAlignment="1" applyProtection="1">
      <alignment horizontal="center" vertical="center"/>
      <protection locked="0"/>
    </xf>
    <xf numFmtId="0" fontId="72" fillId="49" borderId="150" xfId="0" applyFont="1" applyFill="1" applyBorder="1" applyAlignment="1" applyProtection="1">
      <alignment horizontal="center" vertical="center"/>
      <protection locked="0"/>
    </xf>
    <xf numFmtId="0" fontId="72" fillId="49" borderId="157" xfId="0" applyFont="1" applyFill="1" applyBorder="1" applyAlignment="1" applyProtection="1">
      <alignment horizontal="center" vertical="center"/>
      <protection locked="0"/>
    </xf>
    <xf numFmtId="0" fontId="72" fillId="49" borderId="145" xfId="0" applyFont="1" applyFill="1" applyBorder="1" applyAlignment="1" applyProtection="1">
      <alignment horizontal="center" vertical="center"/>
      <protection locked="0"/>
    </xf>
    <xf numFmtId="0" fontId="92" fillId="76" borderId="11" xfId="0" applyFont="1" applyFill="1" applyBorder="1" applyAlignment="1" applyProtection="1">
      <alignment horizontal="center" vertical="center"/>
      <protection locked="0"/>
    </xf>
    <xf numFmtId="0" fontId="72" fillId="49" borderId="143" xfId="0" applyFont="1" applyFill="1" applyBorder="1" applyAlignment="1" applyProtection="1">
      <alignment horizontal="center" vertical="center"/>
      <protection locked="0"/>
    </xf>
    <xf numFmtId="0" fontId="72" fillId="49" borderId="92" xfId="0" applyFont="1" applyFill="1" applyBorder="1" applyAlignment="1" applyProtection="1">
      <alignment horizontal="center" vertical="center"/>
      <protection locked="0"/>
    </xf>
    <xf numFmtId="0" fontId="83" fillId="45" borderId="26" xfId="0" applyFont="1" applyFill="1" applyBorder="1" applyAlignment="1" applyProtection="1">
      <alignment horizontal="center" vertical="center"/>
      <protection locked="0"/>
    </xf>
    <xf numFmtId="0" fontId="93" fillId="49" borderId="147" xfId="0" applyFont="1" applyFill="1" applyBorder="1" applyAlignment="1" applyProtection="1">
      <alignment horizontal="center" vertical="center"/>
      <protection locked="0"/>
    </xf>
    <xf numFmtId="0" fontId="96" fillId="56" borderId="26" xfId="0" applyFont="1" applyFill="1" applyBorder="1" applyAlignment="1" applyProtection="1">
      <alignment horizontal="center" vertical="center"/>
      <protection locked="0"/>
    </xf>
    <xf numFmtId="0" fontId="9" fillId="45" borderId="26" xfId="0" applyFont="1" applyFill="1" applyBorder="1" applyAlignment="1" applyProtection="1">
      <alignment horizontal="center" vertical="center"/>
      <protection locked="0"/>
    </xf>
    <xf numFmtId="0" fontId="9" fillId="49" borderId="147" xfId="0" applyFont="1" applyFill="1" applyBorder="1" applyAlignment="1" applyProtection="1">
      <alignment horizontal="center" vertical="center"/>
      <protection locked="0"/>
    </xf>
    <xf numFmtId="0" fontId="7" fillId="56" borderId="26" xfId="0" applyFont="1" applyFill="1" applyBorder="1" applyAlignment="1" applyProtection="1">
      <alignment horizontal="center" vertical="center"/>
      <protection locked="0"/>
    </xf>
    <xf numFmtId="0" fontId="72" fillId="49" borderId="156" xfId="0" applyFont="1" applyFill="1" applyBorder="1" applyAlignment="1" applyProtection="1">
      <alignment horizontal="center" vertical="center"/>
      <protection locked="0"/>
    </xf>
    <xf numFmtId="0" fontId="97" fillId="84" borderId="245" xfId="0" applyFont="1" applyFill="1" applyBorder="1" applyAlignment="1" applyProtection="1">
      <alignment horizontal="center" vertical="center"/>
      <protection locked="0"/>
    </xf>
    <xf numFmtId="0" fontId="7" fillId="84" borderId="26" xfId="0" applyFont="1" applyFill="1" applyBorder="1" applyAlignment="1" applyProtection="1">
      <alignment horizontal="center" vertical="center"/>
      <protection locked="0"/>
    </xf>
    <xf numFmtId="0" fontId="97" fillId="84" borderId="26" xfId="0" applyFont="1" applyFill="1" applyBorder="1" applyAlignment="1" applyProtection="1">
      <alignment horizontal="center" vertical="center"/>
      <protection locked="0"/>
    </xf>
    <xf numFmtId="0" fontId="7" fillId="84" borderId="11" xfId="0" applyFont="1" applyFill="1" applyBorder="1" applyAlignment="1" applyProtection="1">
      <alignment horizontal="center" vertical="center"/>
      <protection locked="0"/>
    </xf>
    <xf numFmtId="0" fontId="95" fillId="64" borderId="26" xfId="0" applyFont="1" applyFill="1" applyBorder="1" applyAlignment="1" applyProtection="1">
      <alignment horizontal="center" vertical="center"/>
      <protection locked="0"/>
    </xf>
    <xf numFmtId="0" fontId="7" fillId="64" borderId="26" xfId="0" applyFont="1" applyFill="1" applyBorder="1" applyAlignment="1" applyProtection="1">
      <alignment horizontal="center" vertical="center"/>
      <protection locked="0"/>
    </xf>
    <xf numFmtId="0" fontId="83" fillId="45" borderId="11" xfId="0" applyFont="1" applyFill="1" applyBorder="1" applyAlignment="1" applyProtection="1">
      <alignment horizontal="center" vertical="center"/>
      <protection locked="0"/>
    </xf>
    <xf numFmtId="0" fontId="95" fillId="64" borderId="162" xfId="0" applyFont="1" applyFill="1" applyBorder="1" applyAlignment="1" applyProtection="1">
      <alignment horizontal="center" vertical="center"/>
      <protection locked="0"/>
    </xf>
    <xf numFmtId="0" fontId="60" fillId="46" borderId="245" xfId="0" applyFont="1" applyFill="1" applyBorder="1" applyAlignment="1" applyProtection="1">
      <alignment horizontal="center" vertical="center"/>
      <protection locked="0"/>
    </xf>
    <xf numFmtId="0" fontId="93" fillId="49" borderId="154" xfId="0" applyFont="1" applyFill="1" applyBorder="1" applyAlignment="1" applyProtection="1">
      <alignment horizontal="center" vertical="center"/>
      <protection locked="0"/>
    </xf>
    <xf numFmtId="0" fontId="9" fillId="46" borderId="26" xfId="0" applyFont="1" applyFill="1" applyBorder="1" applyAlignment="1" applyProtection="1">
      <alignment horizontal="center" vertical="center"/>
      <protection locked="0"/>
    </xf>
    <xf numFmtId="0" fontId="9" fillId="49" borderId="209" xfId="0" applyFont="1" applyFill="1" applyBorder="1" applyAlignment="1" applyProtection="1">
      <alignment horizontal="center" vertical="center"/>
      <protection locked="0"/>
    </xf>
    <xf numFmtId="0" fontId="60" fillId="46" borderId="26" xfId="0" applyFont="1" applyFill="1" applyBorder="1" applyAlignment="1" applyProtection="1">
      <alignment horizontal="center" vertical="center"/>
      <protection locked="0"/>
    </xf>
    <xf numFmtId="0" fontId="93" fillId="49" borderId="209" xfId="0" applyFont="1" applyFill="1" applyBorder="1" applyAlignment="1" applyProtection="1">
      <alignment horizontal="center" vertical="center"/>
      <protection locked="0"/>
    </xf>
    <xf numFmtId="0" fontId="96" fillId="56" borderId="245" xfId="0" applyFont="1" applyFill="1" applyBorder="1" applyAlignment="1" applyProtection="1">
      <alignment horizontal="center" vertical="center"/>
      <protection locked="0"/>
    </xf>
    <xf numFmtId="0" fontId="7" fillId="56" borderId="11" xfId="0" applyFont="1" applyFill="1" applyBorder="1" applyAlignment="1" applyProtection="1">
      <alignment horizontal="center" vertical="center"/>
      <protection locked="0"/>
    </xf>
    <xf numFmtId="0" fontId="9" fillId="46" borderId="11" xfId="0" applyFont="1" applyFill="1" applyBorder="1" applyAlignment="1" applyProtection="1">
      <alignment horizontal="center" vertical="center"/>
      <protection locked="0"/>
    </xf>
    <xf numFmtId="0" fontId="9" fillId="49" borderId="153" xfId="0" applyFont="1" applyFill="1" applyBorder="1" applyAlignment="1" applyProtection="1">
      <alignment horizontal="center" vertical="center"/>
      <protection locked="0"/>
    </xf>
    <xf numFmtId="0" fontId="52" fillId="48" borderId="89" xfId="0" applyFont="1" applyFill="1" applyBorder="1" applyAlignment="1" applyProtection="1">
      <alignment horizontal="center" vertical="center"/>
      <protection locked="0"/>
    </xf>
    <xf numFmtId="0" fontId="91" fillId="55" borderId="14" xfId="0" applyFont="1" applyFill="1" applyBorder="1" applyAlignment="1" applyProtection="1">
      <alignment horizontal="center" vertical="center"/>
      <protection locked="0"/>
    </xf>
    <xf numFmtId="0" fontId="9" fillId="48" borderId="89" xfId="0" applyFont="1" applyFill="1" applyBorder="1" applyAlignment="1" applyProtection="1">
      <alignment horizontal="center" vertical="center"/>
      <protection locked="0"/>
    </xf>
    <xf numFmtId="0" fontId="99" fillId="48" borderId="89" xfId="0" applyFont="1" applyFill="1" applyBorder="1" applyAlignment="1" applyProtection="1">
      <alignment horizontal="center" vertical="center"/>
      <protection locked="0"/>
    </xf>
    <xf numFmtId="0" fontId="94" fillId="76" borderId="14" xfId="0" applyFont="1" applyFill="1" applyBorder="1" applyAlignment="1" applyProtection="1">
      <alignment horizontal="center" vertical="center"/>
      <protection locked="0"/>
    </xf>
    <xf numFmtId="0" fontId="72" fillId="48" borderId="89" xfId="0" applyFont="1" applyFill="1" applyBorder="1" applyAlignment="1" applyProtection="1">
      <alignment horizontal="center" vertical="center"/>
      <protection locked="0"/>
    </xf>
    <xf numFmtId="0" fontId="95" fillId="64" borderId="14" xfId="0" applyFont="1" applyFill="1" applyBorder="1" applyAlignment="1" applyProtection="1">
      <alignment horizontal="center" vertical="center"/>
      <protection locked="0"/>
    </xf>
    <xf numFmtId="0" fontId="95" fillId="64" borderId="11" xfId="0" applyFont="1" applyFill="1" applyBorder="1" applyAlignment="1" applyProtection="1">
      <alignment horizontal="center" vertical="center"/>
      <protection locked="0"/>
    </xf>
    <xf numFmtId="0" fontId="44" fillId="42" borderId="0" xfId="35" applyProtection="1"/>
    <xf numFmtId="0" fontId="39" fillId="44" borderId="0" xfId="0" applyFont="1" applyFill="1" applyAlignment="1">
      <alignment vertical="center"/>
    </xf>
    <xf numFmtId="0" fontId="7" fillId="49" borderId="14" xfId="0" applyFont="1" applyFill="1" applyBorder="1" applyAlignment="1">
      <alignment horizontal="center" vertical="center" wrapText="1"/>
    </xf>
    <xf numFmtId="0" fontId="7" fillId="49" borderId="27" xfId="0" applyFont="1" applyFill="1" applyBorder="1" applyAlignment="1">
      <alignment horizontal="center" vertical="center" wrapText="1"/>
    </xf>
    <xf numFmtId="1" fontId="7" fillId="49" borderId="12" xfId="0" applyNumberFormat="1" applyFont="1" applyFill="1" applyBorder="1" applyAlignment="1">
      <alignment horizontal="center" vertical="center" wrapText="1"/>
    </xf>
    <xf numFmtId="1" fontId="7" fillId="54" borderId="14" xfId="0" applyNumberFormat="1" applyFont="1" applyFill="1" applyBorder="1" applyAlignment="1">
      <alignment horizontal="center" vertical="center" wrapText="1"/>
    </xf>
    <xf numFmtId="0" fontId="0" fillId="44" borderId="27" xfId="0" applyFill="1" applyBorder="1"/>
    <xf numFmtId="0" fontId="0" fillId="44" borderId="23" xfId="0" applyFill="1" applyBorder="1"/>
    <xf numFmtId="0" fontId="0" fillId="44" borderId="172" xfId="0" applyFill="1" applyBorder="1"/>
    <xf numFmtId="0" fontId="0" fillId="44" borderId="12" xfId="0" applyFill="1" applyBorder="1"/>
    <xf numFmtId="2" fontId="0" fillId="44" borderId="28" xfId="0" applyNumberFormat="1" applyFill="1" applyBorder="1"/>
    <xf numFmtId="2" fontId="0" fillId="44" borderId="12" xfId="0" applyNumberFormat="1" applyFill="1" applyBorder="1"/>
    <xf numFmtId="0" fontId="0" fillId="44" borderId="18" xfId="0" applyFill="1" applyBorder="1"/>
    <xf numFmtId="0" fontId="0" fillId="44" borderId="29" xfId="0" applyFill="1" applyBorder="1"/>
    <xf numFmtId="0" fontId="0" fillId="44" borderId="24" xfId="0" applyFill="1" applyBorder="1"/>
    <xf numFmtId="0" fontId="0" fillId="44" borderId="17" xfId="0" applyFill="1" applyBorder="1"/>
    <xf numFmtId="0" fontId="0" fillId="44" borderId="68" xfId="0" applyFill="1" applyBorder="1"/>
    <xf numFmtId="0" fontId="5" fillId="48" borderId="74" xfId="0" applyFont="1" applyFill="1" applyBorder="1" applyAlignment="1" applyProtection="1">
      <alignment horizontal="center"/>
      <protection locked="0"/>
    </xf>
    <xf numFmtId="0" fontId="52" fillId="48" borderId="87" xfId="0" applyFont="1" applyFill="1" applyBorder="1" applyAlignment="1" applyProtection="1">
      <alignment horizontal="center"/>
      <protection locked="0"/>
    </xf>
    <xf numFmtId="0" fontId="52" fillId="48" borderId="89" xfId="0" applyFont="1" applyFill="1" applyBorder="1" applyAlignment="1" applyProtection="1">
      <alignment horizontal="center"/>
      <protection locked="0"/>
    </xf>
    <xf numFmtId="0" fontId="52" fillId="48" borderId="91" xfId="0" applyFont="1" applyFill="1" applyBorder="1" applyAlignment="1" applyProtection="1">
      <alignment horizontal="center"/>
      <protection locked="0"/>
    </xf>
    <xf numFmtId="0" fontId="50" fillId="55" borderId="87" xfId="0" applyFont="1" applyFill="1" applyBorder="1" applyAlignment="1" applyProtection="1">
      <alignment horizontal="center"/>
      <protection locked="0"/>
    </xf>
    <xf numFmtId="0" fontId="50" fillId="55" borderId="89" xfId="0" applyFont="1" applyFill="1" applyBorder="1" applyAlignment="1" applyProtection="1">
      <alignment horizontal="center"/>
      <protection locked="0"/>
    </xf>
    <xf numFmtId="0" fontId="50" fillId="55" borderId="91" xfId="0" applyFont="1" applyFill="1" applyBorder="1" applyAlignment="1" applyProtection="1">
      <alignment horizontal="center"/>
      <protection locked="0"/>
    </xf>
    <xf numFmtId="1" fontId="5" fillId="0" borderId="83" xfId="0" applyNumberFormat="1" applyFont="1" applyBorder="1" applyAlignment="1" applyProtection="1">
      <alignment horizontal="center"/>
      <protection locked="0"/>
    </xf>
    <xf numFmtId="0" fontId="5" fillId="50" borderId="0" xfId="0" applyFont="1" applyFill="1"/>
    <xf numFmtId="0" fontId="148" fillId="50" borderId="7" xfId="47" applyFont="1" applyFill="1" applyBorder="1" applyProtection="1"/>
    <xf numFmtId="2" fontId="5" fillId="50" borderId="0" xfId="0" applyNumberFormat="1" applyFont="1" applyFill="1"/>
    <xf numFmtId="2" fontId="7" fillId="49" borderId="14" xfId="0" applyNumberFormat="1" applyFont="1" applyFill="1" applyBorder="1" applyAlignment="1">
      <alignment horizontal="center" vertical="center" wrapText="1"/>
    </xf>
    <xf numFmtId="0" fontId="52" fillId="48" borderId="88" xfId="0" applyFont="1" applyFill="1" applyBorder="1" applyAlignment="1">
      <alignment horizontal="center"/>
    </xf>
    <xf numFmtId="0" fontId="52" fillId="48" borderId="90" xfId="0" applyFont="1" applyFill="1" applyBorder="1" applyAlignment="1">
      <alignment horizontal="center"/>
    </xf>
    <xf numFmtId="0" fontId="9" fillId="48" borderId="90" xfId="0" applyFont="1" applyFill="1" applyBorder="1" applyAlignment="1">
      <alignment horizontal="center"/>
    </xf>
    <xf numFmtId="0" fontId="52" fillId="48" borderId="92" xfId="0" applyFont="1" applyFill="1" applyBorder="1" applyAlignment="1">
      <alignment horizontal="center"/>
    </xf>
    <xf numFmtId="0" fontId="50" fillId="55" borderId="88" xfId="0" applyFont="1" applyFill="1" applyBorder="1" applyAlignment="1">
      <alignment horizontal="center"/>
    </xf>
    <xf numFmtId="0" fontId="50" fillId="55" borderId="90" xfId="0" applyFont="1" applyFill="1" applyBorder="1" applyAlignment="1">
      <alignment horizontal="center"/>
    </xf>
    <xf numFmtId="0" fontId="9" fillId="55" borderId="90" xfId="0" applyFont="1" applyFill="1" applyBorder="1" applyAlignment="1">
      <alignment horizontal="center"/>
    </xf>
    <xf numFmtId="0" fontId="50" fillId="55" borderId="92" xfId="0" applyFont="1" applyFill="1" applyBorder="1" applyAlignment="1">
      <alignment horizontal="center"/>
    </xf>
    <xf numFmtId="0" fontId="51" fillId="57" borderId="90" xfId="0" applyFont="1" applyFill="1" applyBorder="1" applyAlignment="1">
      <alignment horizontal="center"/>
    </xf>
    <xf numFmtId="0" fontId="9" fillId="57" borderId="90" xfId="0" applyFont="1" applyFill="1" applyBorder="1" applyAlignment="1">
      <alignment horizontal="center"/>
    </xf>
    <xf numFmtId="0" fontId="51" fillId="57" borderId="92" xfId="0" applyFont="1" applyFill="1" applyBorder="1" applyAlignment="1">
      <alignment horizontal="center"/>
    </xf>
    <xf numFmtId="0" fontId="53" fillId="59" borderId="88" xfId="0" applyFont="1" applyFill="1" applyBorder="1" applyAlignment="1">
      <alignment horizontal="center"/>
    </xf>
    <xf numFmtId="0" fontId="53" fillId="59" borderId="90" xfId="0" applyFont="1" applyFill="1" applyBorder="1" applyAlignment="1">
      <alignment horizontal="center"/>
    </xf>
    <xf numFmtId="0" fontId="9" fillId="59" borderId="90" xfId="0" applyFont="1" applyFill="1" applyBorder="1" applyAlignment="1">
      <alignment horizontal="center"/>
    </xf>
    <xf numFmtId="0" fontId="53" fillId="59" borderId="92" xfId="0" applyFont="1" applyFill="1" applyBorder="1" applyAlignment="1">
      <alignment horizontal="center"/>
    </xf>
    <xf numFmtId="0" fontId="54" fillId="62" borderId="88" xfId="0" applyFont="1" applyFill="1" applyBorder="1" applyAlignment="1">
      <alignment horizontal="center"/>
    </xf>
    <xf numFmtId="0" fontId="54" fillId="62" borderId="90" xfId="0" applyFont="1" applyFill="1" applyBorder="1" applyAlignment="1">
      <alignment horizontal="center"/>
    </xf>
    <xf numFmtId="0" fontId="9" fillId="62" borderId="90" xfId="0" applyFont="1" applyFill="1" applyBorder="1" applyAlignment="1">
      <alignment horizontal="center"/>
    </xf>
    <xf numFmtId="0" fontId="54" fillId="62" borderId="92" xfId="0" applyFont="1" applyFill="1" applyBorder="1" applyAlignment="1">
      <alignment horizontal="center"/>
    </xf>
    <xf numFmtId="0" fontId="55" fillId="63" borderId="90" xfId="0" applyFont="1" applyFill="1" applyBorder="1" applyAlignment="1">
      <alignment horizontal="center"/>
    </xf>
    <xf numFmtId="0" fontId="9" fillId="63" borderId="90" xfId="0" applyFont="1" applyFill="1" applyBorder="1" applyAlignment="1">
      <alignment horizontal="center"/>
    </xf>
    <xf numFmtId="0" fontId="55" fillId="63" borderId="92" xfId="0" applyFont="1" applyFill="1" applyBorder="1" applyAlignment="1">
      <alignment horizontal="center"/>
    </xf>
    <xf numFmtId="0" fontId="56" fillId="54" borderId="88" xfId="0" applyFont="1" applyFill="1" applyBorder="1" applyAlignment="1">
      <alignment horizontal="center"/>
    </xf>
    <xf numFmtId="0" fontId="56" fillId="54" borderId="90" xfId="0" applyFont="1" applyFill="1" applyBorder="1" applyAlignment="1">
      <alignment horizontal="center"/>
    </xf>
    <xf numFmtId="0" fontId="9" fillId="54" borderId="90" xfId="0" applyFont="1" applyFill="1" applyBorder="1" applyAlignment="1">
      <alignment horizontal="center"/>
    </xf>
    <xf numFmtId="0" fontId="56" fillId="54" borderId="92" xfId="0" applyFont="1" applyFill="1" applyBorder="1" applyAlignment="1">
      <alignment horizontal="center"/>
    </xf>
    <xf numFmtId="0" fontId="57" fillId="61" borderId="88" xfId="0" applyFont="1" applyFill="1" applyBorder="1" applyAlignment="1">
      <alignment horizontal="center"/>
    </xf>
    <xf numFmtId="0" fontId="57" fillId="61" borderId="90" xfId="0" applyFont="1" applyFill="1" applyBorder="1" applyAlignment="1">
      <alignment horizontal="center"/>
    </xf>
    <xf numFmtId="0" fontId="9" fillId="61" borderId="90" xfId="0" applyFont="1" applyFill="1" applyBorder="1" applyAlignment="1">
      <alignment horizontal="center"/>
    </xf>
    <xf numFmtId="0" fontId="57" fillId="61" borderId="92" xfId="0" applyFont="1" applyFill="1" applyBorder="1" applyAlignment="1">
      <alignment horizontal="center"/>
    </xf>
    <xf numFmtId="0" fontId="59" fillId="64" borderId="90" xfId="0" applyFont="1" applyFill="1" applyBorder="1" applyAlignment="1">
      <alignment horizontal="center"/>
    </xf>
    <xf numFmtId="0" fontId="9" fillId="64" borderId="90" xfId="0" applyFont="1" applyFill="1" applyBorder="1" applyAlignment="1">
      <alignment horizontal="center"/>
    </xf>
    <xf numFmtId="0" fontId="59" fillId="64" borderId="92" xfId="0" applyFont="1" applyFill="1" applyBorder="1" applyAlignment="1">
      <alignment horizontal="center"/>
    </xf>
    <xf numFmtId="0" fontId="60" fillId="46" borderId="88" xfId="0" applyFont="1" applyFill="1" applyBorder="1" applyAlignment="1">
      <alignment horizontal="center"/>
    </xf>
    <xf numFmtId="0" fontId="60" fillId="46" borderId="90" xfId="0" applyFont="1" applyFill="1" applyBorder="1" applyAlignment="1">
      <alignment horizontal="center"/>
    </xf>
    <xf numFmtId="0" fontId="9" fillId="46" borderId="90" xfId="0" applyFont="1" applyFill="1" applyBorder="1" applyAlignment="1">
      <alignment horizontal="center"/>
    </xf>
    <xf numFmtId="0" fontId="60" fillId="46" borderId="92" xfId="0" applyFont="1" applyFill="1" applyBorder="1" applyAlignment="1">
      <alignment horizontal="center"/>
    </xf>
    <xf numFmtId="0" fontId="61" fillId="60" borderId="88" xfId="0" applyFont="1" applyFill="1" applyBorder="1" applyAlignment="1">
      <alignment horizontal="center"/>
    </xf>
    <xf numFmtId="0" fontId="61" fillId="60" borderId="90" xfId="0" applyFont="1" applyFill="1" applyBorder="1" applyAlignment="1">
      <alignment horizontal="center"/>
    </xf>
    <xf numFmtId="0" fontId="9" fillId="60" borderId="90" xfId="0" applyFont="1" applyFill="1" applyBorder="1" applyAlignment="1">
      <alignment horizontal="center"/>
    </xf>
    <xf numFmtId="0" fontId="61" fillId="60" borderId="92" xfId="0" applyFont="1" applyFill="1" applyBorder="1" applyAlignment="1">
      <alignment horizontal="center"/>
    </xf>
    <xf numFmtId="0" fontId="62" fillId="56" borderId="90" xfId="0" applyFont="1" applyFill="1" applyBorder="1" applyAlignment="1">
      <alignment horizontal="center"/>
    </xf>
    <xf numFmtId="0" fontId="9" fillId="56" borderId="90" xfId="0" applyFont="1" applyFill="1" applyBorder="1" applyAlignment="1">
      <alignment horizontal="center"/>
    </xf>
    <xf numFmtId="0" fontId="62" fillId="56" borderId="92" xfId="0" applyFont="1" applyFill="1" applyBorder="1" applyAlignment="1">
      <alignment horizontal="center"/>
    </xf>
    <xf numFmtId="0" fontId="50" fillId="62" borderId="88" xfId="0" applyFont="1" applyFill="1" applyBorder="1" applyAlignment="1">
      <alignment horizontal="center"/>
    </xf>
    <xf numFmtId="0" fontId="50" fillId="62" borderId="90" xfId="0" applyFont="1" applyFill="1" applyBorder="1" applyAlignment="1">
      <alignment horizontal="center"/>
    </xf>
    <xf numFmtId="0" fontId="50" fillId="62" borderId="92" xfId="0" applyFont="1" applyFill="1" applyBorder="1" applyAlignment="1">
      <alignment horizontal="center"/>
    </xf>
    <xf numFmtId="0" fontId="63" fillId="69" borderId="88" xfId="0" applyFont="1" applyFill="1" applyBorder="1" applyAlignment="1">
      <alignment horizontal="center"/>
    </xf>
    <xf numFmtId="0" fontId="63" fillId="69" borderId="90" xfId="0" applyFont="1" applyFill="1" applyBorder="1" applyAlignment="1">
      <alignment horizontal="center"/>
    </xf>
    <xf numFmtId="0" fontId="9" fillId="69" borderId="90" xfId="0" applyFont="1" applyFill="1" applyBorder="1" applyAlignment="1">
      <alignment horizontal="center"/>
    </xf>
    <xf numFmtId="0" fontId="63" fillId="69" borderId="92" xfId="0" applyFont="1" applyFill="1" applyBorder="1" applyAlignment="1">
      <alignment horizontal="center"/>
    </xf>
    <xf numFmtId="0" fontId="64" fillId="70" borderId="88" xfId="0" applyFont="1" applyFill="1" applyBorder="1" applyAlignment="1">
      <alignment horizontal="center"/>
    </xf>
    <xf numFmtId="0" fontId="64" fillId="70" borderId="90" xfId="0" applyFont="1" applyFill="1" applyBorder="1" applyAlignment="1">
      <alignment horizontal="center"/>
    </xf>
    <xf numFmtId="0" fontId="9" fillId="70" borderId="90" xfId="0" applyFont="1" applyFill="1" applyBorder="1" applyAlignment="1">
      <alignment horizontal="center"/>
    </xf>
    <xf numFmtId="0" fontId="64" fillId="70" borderId="92" xfId="0" applyFont="1" applyFill="1" applyBorder="1" applyAlignment="1">
      <alignment horizontal="center"/>
    </xf>
    <xf numFmtId="0" fontId="65" fillId="71" borderId="90" xfId="0" applyFont="1" applyFill="1" applyBorder="1" applyAlignment="1">
      <alignment horizontal="center"/>
    </xf>
    <xf numFmtId="0" fontId="9" fillId="71" borderId="90" xfId="0" applyFont="1" applyFill="1" applyBorder="1" applyAlignment="1">
      <alignment horizontal="center"/>
    </xf>
    <xf numFmtId="0" fontId="65" fillId="71" borderId="92" xfId="0" applyFont="1" applyFill="1" applyBorder="1" applyAlignment="1">
      <alignment horizontal="center"/>
    </xf>
    <xf numFmtId="0" fontId="67" fillId="72" borderId="88" xfId="0" applyFont="1" applyFill="1" applyBorder="1" applyAlignment="1">
      <alignment horizontal="center"/>
    </xf>
    <xf numFmtId="0" fontId="67" fillId="72" borderId="90" xfId="0" applyFont="1" applyFill="1" applyBorder="1" applyAlignment="1">
      <alignment horizontal="center"/>
    </xf>
    <xf numFmtId="0" fontId="9" fillId="72" borderId="90" xfId="0" applyFont="1" applyFill="1" applyBorder="1" applyAlignment="1">
      <alignment horizontal="center"/>
    </xf>
    <xf numFmtId="0" fontId="67" fillId="72" borderId="92" xfId="0" applyFont="1" applyFill="1" applyBorder="1" applyAlignment="1">
      <alignment horizontal="center"/>
    </xf>
    <xf numFmtId="0" fontId="66" fillId="73" borderId="88" xfId="0" applyFont="1" applyFill="1" applyBorder="1" applyAlignment="1">
      <alignment horizontal="center"/>
    </xf>
    <xf numFmtId="0" fontId="66" fillId="73" borderId="90" xfId="0" applyFont="1" applyFill="1" applyBorder="1" applyAlignment="1">
      <alignment horizontal="center"/>
    </xf>
    <xf numFmtId="0" fontId="9" fillId="73" borderId="90" xfId="0" applyFont="1" applyFill="1" applyBorder="1" applyAlignment="1">
      <alignment horizontal="center"/>
    </xf>
    <xf numFmtId="0" fontId="66" fillId="73" borderId="92" xfId="0" applyFont="1" applyFill="1" applyBorder="1" applyAlignment="1">
      <alignment horizontal="center"/>
    </xf>
    <xf numFmtId="0" fontId="68" fillId="74" borderId="90" xfId="0" applyFont="1" applyFill="1" applyBorder="1" applyAlignment="1">
      <alignment horizontal="center"/>
    </xf>
    <xf numFmtId="0" fontId="9" fillId="74" borderId="90" xfId="0" applyFont="1" applyFill="1" applyBorder="1" applyAlignment="1">
      <alignment horizontal="center"/>
    </xf>
    <xf numFmtId="0" fontId="68" fillId="74" borderId="92" xfId="0" applyFont="1" applyFill="1" applyBorder="1" applyAlignment="1">
      <alignment horizontal="center"/>
    </xf>
    <xf numFmtId="2" fontId="5" fillId="44" borderId="0" xfId="0" applyNumberFormat="1" applyFont="1" applyFill="1"/>
    <xf numFmtId="0" fontId="52" fillId="48" borderId="88" xfId="0" applyFont="1" applyFill="1" applyBorder="1" applyAlignment="1" applyProtection="1">
      <alignment horizontal="center"/>
      <protection locked="0"/>
    </xf>
    <xf numFmtId="0" fontId="52" fillId="48" borderId="88" xfId="0" applyFont="1" applyFill="1" applyBorder="1" applyAlignment="1" applyProtection="1">
      <alignment horizontal="center" vertical="center"/>
      <protection locked="0"/>
    </xf>
    <xf numFmtId="0" fontId="5" fillId="48" borderId="72" xfId="0" applyFont="1" applyFill="1" applyBorder="1" applyAlignment="1" applyProtection="1">
      <alignment horizontal="center" vertical="center"/>
      <protection locked="0"/>
    </xf>
    <xf numFmtId="0" fontId="5" fillId="48" borderId="94" xfId="0" applyFont="1" applyFill="1" applyBorder="1" applyAlignment="1" applyProtection="1">
      <alignment horizontal="center" vertical="center"/>
      <protection locked="0"/>
    </xf>
    <xf numFmtId="0" fontId="5" fillId="44" borderId="99" xfId="0" applyFont="1" applyFill="1" applyBorder="1" applyAlignment="1" applyProtection="1">
      <alignment horizontal="center"/>
      <protection locked="0"/>
    </xf>
    <xf numFmtId="1" fontId="5" fillId="0" borderId="96" xfId="0" applyNumberFormat="1" applyFont="1" applyBorder="1" applyAlignment="1" applyProtection="1">
      <alignment horizontal="center"/>
      <protection locked="0"/>
    </xf>
    <xf numFmtId="0" fontId="52" fillId="48" borderId="90" xfId="0" applyFont="1" applyFill="1" applyBorder="1" applyAlignment="1" applyProtection="1">
      <alignment horizontal="center"/>
      <protection locked="0"/>
    </xf>
    <xf numFmtId="0" fontId="52" fillId="48" borderId="90" xfId="0" applyFont="1" applyFill="1" applyBorder="1" applyAlignment="1" applyProtection="1">
      <alignment horizontal="center" vertical="center"/>
      <protection locked="0"/>
    </xf>
    <xf numFmtId="0" fontId="5" fillId="48" borderId="93" xfId="0" applyFont="1" applyFill="1" applyBorder="1" applyAlignment="1" applyProtection="1">
      <alignment horizontal="center"/>
      <protection locked="0"/>
    </xf>
    <xf numFmtId="0" fontId="5" fillId="44" borderId="100" xfId="0" applyFont="1" applyFill="1" applyBorder="1" applyAlignment="1" applyProtection="1">
      <alignment horizontal="center"/>
      <protection locked="0"/>
    </xf>
    <xf numFmtId="0" fontId="0" fillId="48" borderId="90" xfId="0" applyFill="1" applyBorder="1" applyAlignment="1" applyProtection="1">
      <alignment horizontal="center" vertical="center"/>
      <protection locked="0"/>
    </xf>
    <xf numFmtId="0" fontId="9" fillId="48" borderId="89" xfId="0" applyFont="1" applyFill="1" applyBorder="1" applyAlignment="1" applyProtection="1">
      <alignment horizontal="center"/>
      <protection locked="0"/>
    </xf>
    <xf numFmtId="0" fontId="9" fillId="48" borderId="90" xfId="0" applyFont="1" applyFill="1" applyBorder="1" applyAlignment="1" applyProtection="1">
      <alignment horizontal="center"/>
      <protection locked="0"/>
    </xf>
    <xf numFmtId="0" fontId="52" fillId="48" borderId="86" xfId="0" applyFont="1" applyFill="1" applyBorder="1" applyAlignment="1" applyProtection="1">
      <alignment horizontal="center" vertical="center"/>
      <protection locked="0"/>
    </xf>
    <xf numFmtId="0" fontId="0" fillId="48" borderId="90" xfId="0" applyFill="1" applyBorder="1" applyAlignment="1" applyProtection="1">
      <alignment horizontal="center"/>
      <protection locked="0"/>
    </xf>
    <xf numFmtId="0" fontId="52" fillId="48" borderId="92" xfId="0" applyFont="1" applyFill="1" applyBorder="1" applyAlignment="1" applyProtection="1">
      <alignment horizontal="center"/>
      <protection locked="0"/>
    </xf>
    <xf numFmtId="0" fontId="5" fillId="48" borderId="75" xfId="0" applyFont="1" applyFill="1" applyBorder="1" applyAlignment="1" applyProtection="1">
      <alignment horizontal="center"/>
      <protection locked="0"/>
    </xf>
    <xf numFmtId="0" fontId="5" fillId="48" borderId="76" xfId="0" applyFont="1" applyFill="1" applyBorder="1" applyAlignment="1" applyProtection="1">
      <alignment horizontal="center"/>
      <protection locked="0"/>
    </xf>
    <xf numFmtId="0" fontId="5" fillId="44" borderId="101" xfId="0" applyFont="1" applyFill="1" applyBorder="1" applyAlignment="1" applyProtection="1">
      <alignment horizontal="center"/>
      <protection locked="0"/>
    </xf>
    <xf numFmtId="1" fontId="5" fillId="0" borderId="85" xfId="0" applyNumberFormat="1" applyFont="1" applyBorder="1" applyAlignment="1" applyProtection="1">
      <alignment horizontal="center"/>
      <protection locked="0"/>
    </xf>
    <xf numFmtId="0" fontId="50" fillId="55" borderId="88" xfId="0" applyFont="1" applyFill="1" applyBorder="1" applyAlignment="1" applyProtection="1">
      <alignment horizontal="center"/>
      <protection locked="0"/>
    </xf>
    <xf numFmtId="0" fontId="5" fillId="55" borderId="72" xfId="0" applyFont="1" applyFill="1" applyBorder="1" applyAlignment="1" applyProtection="1">
      <alignment horizontal="center"/>
      <protection locked="0"/>
    </xf>
    <xf numFmtId="0" fontId="5" fillId="55" borderId="94" xfId="0" applyFont="1" applyFill="1" applyBorder="1" applyAlignment="1" applyProtection="1">
      <alignment horizontal="center"/>
      <protection locked="0"/>
    </xf>
    <xf numFmtId="0" fontId="5" fillId="55" borderId="77" xfId="0" applyFont="1" applyFill="1" applyBorder="1" applyAlignment="1" applyProtection="1">
      <alignment horizontal="center"/>
      <protection locked="0"/>
    </xf>
    <xf numFmtId="0" fontId="50" fillId="55" borderId="90" xfId="0" applyFont="1" applyFill="1" applyBorder="1" applyAlignment="1" applyProtection="1">
      <alignment horizontal="center"/>
      <protection locked="0"/>
    </xf>
    <xf numFmtId="0" fontId="5" fillId="55" borderId="74" xfId="0" applyFont="1" applyFill="1" applyBorder="1" applyAlignment="1" applyProtection="1">
      <alignment horizontal="center"/>
      <protection locked="0"/>
    </xf>
    <xf numFmtId="0" fontId="5" fillId="55" borderId="93" xfId="0" applyFont="1" applyFill="1" applyBorder="1" applyAlignment="1" applyProtection="1">
      <alignment horizontal="center"/>
      <protection locked="0"/>
    </xf>
    <xf numFmtId="0" fontId="5" fillId="55" borderId="78" xfId="0" applyFont="1" applyFill="1" applyBorder="1" applyAlignment="1" applyProtection="1">
      <alignment horizontal="center"/>
      <protection locked="0"/>
    </xf>
    <xf numFmtId="0" fontId="0" fillId="55" borderId="90" xfId="0" applyFill="1" applyBorder="1" applyAlignment="1" applyProtection="1">
      <alignment horizontal="center"/>
      <protection locked="0"/>
    </xf>
    <xf numFmtId="0" fontId="9" fillId="55" borderId="89" xfId="0" applyFont="1" applyFill="1" applyBorder="1" applyAlignment="1" applyProtection="1">
      <alignment horizontal="center"/>
      <protection locked="0"/>
    </xf>
    <xf numFmtId="0" fontId="9" fillId="55" borderId="90" xfId="0" applyFont="1" applyFill="1" applyBorder="1" applyAlignment="1" applyProtection="1">
      <alignment horizontal="center"/>
      <protection locked="0"/>
    </xf>
    <xf numFmtId="0" fontId="50" fillId="55" borderId="86" xfId="0" applyFont="1" applyFill="1" applyBorder="1" applyAlignment="1" applyProtection="1">
      <alignment horizontal="center"/>
      <protection locked="0"/>
    </xf>
    <xf numFmtId="0" fontId="50" fillId="55" borderId="92" xfId="0" applyFont="1" applyFill="1" applyBorder="1" applyAlignment="1" applyProtection="1">
      <alignment horizontal="center"/>
      <protection locked="0"/>
    </xf>
    <xf numFmtId="0" fontId="5" fillId="55" borderId="75" xfId="0" applyFont="1" applyFill="1" applyBorder="1" applyAlignment="1" applyProtection="1">
      <alignment horizontal="center"/>
      <protection locked="0"/>
    </xf>
    <xf numFmtId="0" fontId="5" fillId="55" borderId="76" xfId="0" applyFont="1" applyFill="1" applyBorder="1" applyAlignment="1" applyProtection="1">
      <alignment horizontal="center"/>
      <protection locked="0"/>
    </xf>
    <xf numFmtId="0" fontId="5" fillId="55" borderId="79" xfId="0" applyFont="1" applyFill="1" applyBorder="1" applyAlignment="1" applyProtection="1">
      <alignment horizontal="center"/>
      <protection locked="0"/>
    </xf>
    <xf numFmtId="0" fontId="51" fillId="57" borderId="89" xfId="0" applyFont="1" applyFill="1" applyBorder="1" applyAlignment="1" applyProtection="1">
      <alignment horizontal="center"/>
      <protection locked="0"/>
    </xf>
    <xf numFmtId="0" fontId="51" fillId="57" borderId="90" xfId="0" applyFont="1" applyFill="1" applyBorder="1" applyAlignment="1" applyProtection="1">
      <alignment horizontal="center"/>
      <protection locked="0"/>
    </xf>
    <xf numFmtId="0" fontId="51" fillId="57" borderId="88" xfId="0" applyFont="1" applyFill="1" applyBorder="1" applyAlignment="1" applyProtection="1">
      <alignment horizontal="center"/>
      <protection locked="0"/>
    </xf>
    <xf numFmtId="0" fontId="5" fillId="57" borderId="86" xfId="0" applyFont="1" applyFill="1" applyBorder="1" applyAlignment="1" applyProtection="1">
      <alignment horizontal="center"/>
      <protection locked="0"/>
    </xf>
    <xf numFmtId="0" fontId="5" fillId="57" borderId="95" xfId="0" applyFont="1" applyFill="1" applyBorder="1" applyAlignment="1" applyProtection="1">
      <alignment horizontal="center"/>
      <protection locked="0"/>
    </xf>
    <xf numFmtId="0" fontId="5" fillId="57" borderId="106" xfId="0" applyFont="1" applyFill="1" applyBorder="1" applyAlignment="1" applyProtection="1">
      <alignment horizontal="center"/>
      <protection locked="0"/>
    </xf>
    <xf numFmtId="0" fontId="5" fillId="57" borderId="74" xfId="0" applyFont="1" applyFill="1" applyBorder="1" applyAlignment="1" applyProtection="1">
      <alignment horizontal="center"/>
      <protection locked="0"/>
    </xf>
    <xf numFmtId="0" fontId="5" fillId="57" borderId="93" xfId="0" applyFont="1" applyFill="1" applyBorder="1" applyAlignment="1" applyProtection="1">
      <alignment horizontal="center"/>
      <protection locked="0"/>
    </xf>
    <xf numFmtId="0" fontId="5" fillId="57" borderId="78" xfId="0" applyFont="1" applyFill="1" applyBorder="1" applyAlignment="1" applyProtection="1">
      <alignment horizontal="center"/>
      <protection locked="0"/>
    </xf>
    <xf numFmtId="0" fontId="9" fillId="57" borderId="90" xfId="0" applyFont="1" applyFill="1" applyBorder="1" applyAlignment="1" applyProtection="1">
      <alignment horizontal="center"/>
      <protection locked="0"/>
    </xf>
    <xf numFmtId="0" fontId="9" fillId="57" borderId="89" xfId="0" applyFont="1" applyFill="1" applyBorder="1" applyAlignment="1" applyProtection="1">
      <alignment horizontal="center"/>
      <protection locked="0"/>
    </xf>
    <xf numFmtId="0" fontId="51" fillId="57" borderId="86" xfId="0" applyFont="1" applyFill="1" applyBorder="1" applyAlignment="1" applyProtection="1">
      <alignment horizontal="center"/>
      <protection locked="0"/>
    </xf>
    <xf numFmtId="0" fontId="51" fillId="57" borderId="91" xfId="0" applyFont="1" applyFill="1" applyBorder="1" applyAlignment="1" applyProtection="1">
      <alignment horizontal="center"/>
      <protection locked="0"/>
    </xf>
    <xf numFmtId="0" fontId="51" fillId="57" borderId="92" xfId="0" applyFont="1" applyFill="1" applyBorder="1" applyAlignment="1" applyProtection="1">
      <alignment horizontal="center"/>
      <protection locked="0"/>
    </xf>
    <xf numFmtId="0" fontId="5" fillId="57" borderId="75" xfId="0" applyFont="1" applyFill="1" applyBorder="1" applyAlignment="1" applyProtection="1">
      <alignment horizontal="center"/>
      <protection locked="0"/>
    </xf>
    <xf numFmtId="0" fontId="5" fillId="57" borderId="76" xfId="0" applyFont="1" applyFill="1" applyBorder="1" applyAlignment="1" applyProtection="1">
      <alignment horizontal="center"/>
      <protection locked="0"/>
    </xf>
    <xf numFmtId="0" fontId="5" fillId="57" borderId="79" xfId="0" applyFont="1" applyFill="1" applyBorder="1" applyAlignment="1" applyProtection="1">
      <alignment horizontal="center"/>
      <protection locked="0"/>
    </xf>
    <xf numFmtId="0" fontId="53" fillId="59" borderId="87" xfId="0" applyFont="1" applyFill="1" applyBorder="1" applyAlignment="1" applyProtection="1">
      <alignment horizontal="center"/>
      <protection locked="0"/>
    </xf>
    <xf numFmtId="0" fontId="53" fillId="59" borderId="88" xfId="0" applyFont="1" applyFill="1" applyBorder="1" applyAlignment="1" applyProtection="1">
      <alignment horizontal="center"/>
      <protection locked="0"/>
    </xf>
    <xf numFmtId="0" fontId="53" fillId="59" borderId="88" xfId="0" applyFont="1" applyFill="1" applyBorder="1" applyAlignment="1" applyProtection="1">
      <alignment horizontal="center" vertical="center"/>
      <protection locked="0"/>
    </xf>
    <xf numFmtId="0" fontId="5" fillId="59" borderId="72" xfId="0" applyFont="1" applyFill="1" applyBorder="1" applyAlignment="1" applyProtection="1">
      <alignment horizontal="center" vertical="center"/>
      <protection locked="0"/>
    </xf>
    <xf numFmtId="0" fontId="5" fillId="59" borderId="94" xfId="0" applyFont="1" applyFill="1" applyBorder="1" applyAlignment="1" applyProtection="1">
      <alignment horizontal="center" vertical="center"/>
      <protection locked="0"/>
    </xf>
    <xf numFmtId="0" fontId="5" fillId="59" borderId="77" xfId="0" applyFont="1" applyFill="1" applyBorder="1" applyAlignment="1" applyProtection="1">
      <alignment horizontal="center" vertical="center"/>
      <protection locked="0"/>
    </xf>
    <xf numFmtId="0" fontId="53" fillId="59" borderId="89" xfId="0" applyFont="1" applyFill="1" applyBorder="1" applyAlignment="1" applyProtection="1">
      <alignment horizontal="center"/>
      <protection locked="0"/>
    </xf>
    <xf numFmtId="0" fontId="53" fillId="59" borderId="90" xfId="0" applyFont="1" applyFill="1" applyBorder="1" applyAlignment="1" applyProtection="1">
      <alignment horizontal="center"/>
      <protection locked="0"/>
    </xf>
    <xf numFmtId="0" fontId="53" fillId="59" borderId="90" xfId="0" applyFont="1" applyFill="1" applyBorder="1" applyAlignment="1" applyProtection="1">
      <alignment horizontal="center" vertical="center"/>
      <protection locked="0"/>
    </xf>
    <xf numFmtId="0" fontId="5" fillId="59" borderId="74" xfId="0" applyFont="1" applyFill="1" applyBorder="1" applyAlignment="1" applyProtection="1">
      <alignment horizontal="center"/>
      <protection locked="0"/>
    </xf>
    <xf numFmtId="0" fontId="5" fillId="59" borderId="93" xfId="0" applyFont="1" applyFill="1" applyBorder="1" applyAlignment="1" applyProtection="1">
      <alignment horizontal="center"/>
      <protection locked="0"/>
    </xf>
    <xf numFmtId="0" fontId="5" fillId="59" borderId="78" xfId="0" applyFont="1" applyFill="1" applyBorder="1" applyAlignment="1" applyProtection="1">
      <alignment horizontal="center"/>
      <protection locked="0"/>
    </xf>
    <xf numFmtId="0" fontId="0" fillId="59" borderId="90" xfId="0" applyFill="1" applyBorder="1" applyAlignment="1" applyProtection="1">
      <alignment horizontal="center" vertical="center"/>
      <protection locked="0"/>
    </xf>
    <xf numFmtId="0" fontId="9" fillId="59" borderId="89" xfId="0" applyFont="1" applyFill="1" applyBorder="1" applyAlignment="1" applyProtection="1">
      <alignment horizontal="center"/>
      <protection locked="0"/>
    </xf>
    <xf numFmtId="0" fontId="9" fillId="59" borderId="90" xfId="0" applyFont="1" applyFill="1" applyBorder="1" applyAlignment="1" applyProtection="1">
      <alignment horizontal="center"/>
      <protection locked="0"/>
    </xf>
    <xf numFmtId="0" fontId="53" fillId="59" borderId="86" xfId="0" applyFont="1" applyFill="1" applyBorder="1" applyAlignment="1" applyProtection="1">
      <alignment horizontal="center" vertical="center"/>
      <protection locked="0"/>
    </xf>
    <xf numFmtId="0" fontId="0" fillId="59" borderId="90" xfId="0" applyFill="1" applyBorder="1" applyAlignment="1" applyProtection="1">
      <alignment horizontal="center"/>
      <protection locked="0"/>
    </xf>
    <xf numFmtId="0" fontId="53" fillId="59" borderId="91" xfId="0" applyFont="1" applyFill="1" applyBorder="1" applyAlignment="1" applyProtection="1">
      <alignment horizontal="center"/>
      <protection locked="0"/>
    </xf>
    <xf numFmtId="0" fontId="53" fillId="59" borderId="92" xfId="0" applyFont="1" applyFill="1" applyBorder="1" applyAlignment="1" applyProtection="1">
      <alignment horizontal="center"/>
      <protection locked="0"/>
    </xf>
    <xf numFmtId="0" fontId="5" fillId="59" borderId="75" xfId="0" applyFont="1" applyFill="1" applyBorder="1" applyAlignment="1" applyProtection="1">
      <alignment horizontal="center"/>
      <protection locked="0"/>
    </xf>
    <xf numFmtId="0" fontId="5" fillId="59" borderId="76" xfId="0" applyFont="1" applyFill="1" applyBorder="1" applyAlignment="1" applyProtection="1">
      <alignment horizontal="center"/>
      <protection locked="0"/>
    </xf>
    <xf numFmtId="0" fontId="5" fillId="59" borderId="79" xfId="0" applyFont="1" applyFill="1" applyBorder="1" applyAlignment="1" applyProtection="1">
      <alignment horizontal="center"/>
      <protection locked="0"/>
    </xf>
    <xf numFmtId="0" fontId="54" fillId="62" borderId="87" xfId="0" applyFont="1" applyFill="1" applyBorder="1" applyAlignment="1" applyProtection="1">
      <alignment horizontal="center"/>
      <protection locked="0"/>
    </xf>
    <xf numFmtId="0" fontId="54" fillId="62" borderId="88" xfId="0" applyFont="1" applyFill="1" applyBorder="1" applyAlignment="1" applyProtection="1">
      <alignment horizontal="center"/>
      <protection locked="0"/>
    </xf>
    <xf numFmtId="0" fontId="5" fillId="62" borderId="72" xfId="0" applyFont="1" applyFill="1" applyBorder="1" applyAlignment="1" applyProtection="1">
      <alignment horizontal="center"/>
      <protection locked="0"/>
    </xf>
    <xf numFmtId="0" fontId="5" fillId="62" borderId="94" xfId="0" applyFont="1" applyFill="1" applyBorder="1" applyAlignment="1" applyProtection="1">
      <alignment horizontal="center"/>
      <protection locked="0"/>
    </xf>
    <xf numFmtId="0" fontId="5" fillId="62" borderId="77" xfId="0" applyFont="1" applyFill="1" applyBorder="1" applyAlignment="1" applyProtection="1">
      <alignment horizontal="center"/>
      <protection locked="0"/>
    </xf>
    <xf numFmtId="0" fontId="54" fillId="62" borderId="89" xfId="0" applyFont="1" applyFill="1" applyBorder="1" applyAlignment="1" applyProtection="1">
      <alignment horizontal="center"/>
      <protection locked="0"/>
    </xf>
    <xf numFmtId="0" fontId="54" fillId="62" borderId="90" xfId="0" applyFont="1" applyFill="1" applyBorder="1" applyAlignment="1" applyProtection="1">
      <alignment horizontal="center"/>
      <protection locked="0"/>
    </xf>
    <xf numFmtId="0" fontId="5" fillId="62" borderId="74" xfId="0" applyFont="1" applyFill="1" applyBorder="1" applyAlignment="1" applyProtection="1">
      <alignment horizontal="center"/>
      <protection locked="0"/>
    </xf>
    <xf numFmtId="0" fontId="5" fillId="62" borderId="93" xfId="0" applyFont="1" applyFill="1" applyBorder="1" applyAlignment="1" applyProtection="1">
      <alignment horizontal="center"/>
      <protection locked="0"/>
    </xf>
    <xf numFmtId="0" fontId="5" fillId="62" borderId="78" xfId="0" applyFont="1" applyFill="1" applyBorder="1" applyAlignment="1" applyProtection="1">
      <alignment horizontal="center"/>
      <protection locked="0"/>
    </xf>
    <xf numFmtId="0" fontId="0" fillId="62" borderId="90" xfId="0" applyFill="1" applyBorder="1" applyAlignment="1" applyProtection="1">
      <alignment horizontal="center"/>
      <protection locked="0"/>
    </xf>
    <xf numFmtId="0" fontId="9" fillId="62" borderId="89" xfId="0" applyFont="1" applyFill="1" applyBorder="1" applyAlignment="1" applyProtection="1">
      <alignment horizontal="center"/>
      <protection locked="0"/>
    </xf>
    <xf numFmtId="0" fontId="9" fillId="62" borderId="90" xfId="0" applyFont="1" applyFill="1" applyBorder="1" applyAlignment="1" applyProtection="1">
      <alignment horizontal="center"/>
      <protection locked="0"/>
    </xf>
    <xf numFmtId="0" fontId="54" fillId="62" borderId="86" xfId="0" applyFont="1" applyFill="1" applyBorder="1" applyAlignment="1" applyProtection="1">
      <alignment horizontal="center"/>
      <protection locked="0"/>
    </xf>
    <xf numFmtId="0" fontId="54" fillId="62" borderId="91" xfId="0" applyFont="1" applyFill="1" applyBorder="1" applyAlignment="1" applyProtection="1">
      <alignment horizontal="center"/>
      <protection locked="0"/>
    </xf>
    <xf numFmtId="0" fontId="54" fillId="62" borderId="92" xfId="0" applyFont="1" applyFill="1" applyBorder="1" applyAlignment="1" applyProtection="1">
      <alignment horizontal="center"/>
      <protection locked="0"/>
    </xf>
    <xf numFmtId="0" fontId="5" fillId="62" borderId="75" xfId="0" applyFont="1" applyFill="1" applyBorder="1" applyAlignment="1" applyProtection="1">
      <alignment horizontal="center"/>
      <protection locked="0"/>
    </xf>
    <xf numFmtId="0" fontId="5" fillId="62" borderId="76" xfId="0" applyFont="1" applyFill="1" applyBorder="1" applyAlignment="1" applyProtection="1">
      <alignment horizontal="center"/>
      <protection locked="0"/>
    </xf>
    <xf numFmtId="0" fontId="5" fillId="62" borderId="79" xfId="0" applyFont="1" applyFill="1" applyBorder="1" applyAlignment="1" applyProtection="1">
      <alignment horizontal="center"/>
      <protection locked="0"/>
    </xf>
    <xf numFmtId="0" fontId="55" fillId="63" borderId="89" xfId="0" applyFont="1" applyFill="1" applyBorder="1" applyAlignment="1" applyProtection="1">
      <alignment horizontal="center"/>
      <protection locked="0"/>
    </xf>
    <xf numFmtId="0" fontId="55" fillId="63" borderId="90" xfId="0" applyFont="1" applyFill="1" applyBorder="1" applyAlignment="1" applyProtection="1">
      <alignment horizontal="center"/>
      <protection locked="0"/>
    </xf>
    <xf numFmtId="0" fontId="55" fillId="63" borderId="88" xfId="0" applyFont="1" applyFill="1" applyBorder="1" applyAlignment="1" applyProtection="1">
      <alignment horizontal="center"/>
      <protection locked="0"/>
    </xf>
    <xf numFmtId="0" fontId="5" fillId="63" borderId="86" xfId="0" applyFont="1" applyFill="1" applyBorder="1" applyAlignment="1" applyProtection="1">
      <alignment horizontal="center"/>
      <protection locked="0"/>
    </xf>
    <xf numFmtId="0" fontId="5" fillId="63" borderId="95" xfId="0" applyFont="1" applyFill="1" applyBorder="1" applyAlignment="1" applyProtection="1">
      <alignment horizontal="center"/>
      <protection locked="0"/>
    </xf>
    <xf numFmtId="0" fontId="5" fillId="63" borderId="106" xfId="0" applyFont="1" applyFill="1" applyBorder="1" applyAlignment="1" applyProtection="1">
      <alignment horizontal="center"/>
      <protection locked="0"/>
    </xf>
    <xf numFmtId="0" fontId="5" fillId="63" borderId="74" xfId="0" applyFont="1" applyFill="1" applyBorder="1" applyAlignment="1" applyProtection="1">
      <alignment horizontal="center"/>
      <protection locked="0"/>
    </xf>
    <xf numFmtId="0" fontId="5" fillId="63" borderId="93" xfId="0" applyFont="1" applyFill="1" applyBorder="1" applyAlignment="1" applyProtection="1">
      <alignment horizontal="center"/>
      <protection locked="0"/>
    </xf>
    <xf numFmtId="0" fontId="5" fillId="63" borderId="78" xfId="0" applyFont="1" applyFill="1" applyBorder="1" applyAlignment="1" applyProtection="1">
      <alignment horizontal="center"/>
      <protection locked="0"/>
    </xf>
    <xf numFmtId="0" fontId="9" fillId="63" borderId="90" xfId="0" applyFont="1" applyFill="1" applyBorder="1" applyAlignment="1" applyProtection="1">
      <alignment horizontal="center"/>
      <protection locked="0"/>
    </xf>
    <xf numFmtId="0" fontId="9" fillId="63" borderId="89" xfId="0" applyFont="1" applyFill="1" applyBorder="1" applyAlignment="1" applyProtection="1">
      <alignment horizontal="center"/>
      <protection locked="0"/>
    </xf>
    <xf numFmtId="0" fontId="55" fillId="63" borderId="86" xfId="0" applyFont="1" applyFill="1" applyBorder="1" applyAlignment="1" applyProtection="1">
      <alignment horizontal="center"/>
      <protection locked="0"/>
    </xf>
    <xf numFmtId="0" fontId="55" fillId="63" borderId="91" xfId="0" applyFont="1" applyFill="1" applyBorder="1" applyAlignment="1" applyProtection="1">
      <alignment horizontal="center"/>
      <protection locked="0"/>
    </xf>
    <xf numFmtId="0" fontId="55" fillId="63" borderId="92" xfId="0" applyFont="1" applyFill="1" applyBorder="1" applyAlignment="1" applyProtection="1">
      <alignment horizontal="center"/>
      <protection locked="0"/>
    </xf>
    <xf numFmtId="0" fontId="5" fillId="63" borderId="75" xfId="0" applyFont="1" applyFill="1" applyBorder="1" applyAlignment="1" applyProtection="1">
      <alignment horizontal="center"/>
      <protection locked="0"/>
    </xf>
    <xf numFmtId="0" fontId="5" fillId="63" borderId="76" xfId="0" applyFont="1" applyFill="1" applyBorder="1" applyAlignment="1" applyProtection="1">
      <alignment horizontal="center"/>
      <protection locked="0"/>
    </xf>
    <xf numFmtId="0" fontId="5" fillId="63" borderId="79" xfId="0" applyFont="1" applyFill="1" applyBorder="1" applyAlignment="1" applyProtection="1">
      <alignment horizontal="center"/>
      <protection locked="0"/>
    </xf>
    <xf numFmtId="0" fontId="56" fillId="54" borderId="87" xfId="0" applyFont="1" applyFill="1" applyBorder="1" applyAlignment="1" applyProtection="1">
      <alignment horizontal="center"/>
      <protection locked="0"/>
    </xf>
    <xf numFmtId="0" fontId="56" fillId="54" borderId="88" xfId="0" applyFont="1" applyFill="1" applyBorder="1" applyAlignment="1" applyProtection="1">
      <alignment horizontal="center"/>
      <protection locked="0"/>
    </xf>
    <xf numFmtId="0" fontId="56" fillId="54" borderId="88" xfId="0" applyFont="1" applyFill="1" applyBorder="1" applyAlignment="1" applyProtection="1">
      <alignment horizontal="center" vertical="center"/>
      <protection locked="0"/>
    </xf>
    <xf numFmtId="0" fontId="5" fillId="54" borderId="72" xfId="0" applyFont="1" applyFill="1" applyBorder="1" applyAlignment="1" applyProtection="1">
      <alignment horizontal="center" vertical="center"/>
      <protection locked="0"/>
    </xf>
    <xf numFmtId="0" fontId="5" fillId="54" borderId="94" xfId="0" applyFont="1" applyFill="1" applyBorder="1" applyAlignment="1" applyProtection="1">
      <alignment horizontal="center" vertical="center"/>
      <protection locked="0"/>
    </xf>
    <xf numFmtId="0" fontId="5" fillId="54" borderId="77" xfId="0" applyFont="1" applyFill="1" applyBorder="1" applyAlignment="1" applyProtection="1">
      <alignment horizontal="center" vertical="center"/>
      <protection locked="0"/>
    </xf>
    <xf numFmtId="0" fontId="56" fillId="54" borderId="89" xfId="0" applyFont="1" applyFill="1" applyBorder="1" applyAlignment="1" applyProtection="1">
      <alignment horizontal="center"/>
      <protection locked="0"/>
    </xf>
    <xf numFmtId="0" fontId="56" fillId="54" borderId="90" xfId="0" applyFont="1" applyFill="1" applyBorder="1" applyAlignment="1" applyProtection="1">
      <alignment horizontal="center"/>
      <protection locked="0"/>
    </xf>
    <xf numFmtId="0" fontId="56" fillId="54" borderId="90" xfId="0" applyFont="1" applyFill="1" applyBorder="1" applyAlignment="1" applyProtection="1">
      <alignment horizontal="center" vertical="center"/>
      <protection locked="0"/>
    </xf>
    <xf numFmtId="0" fontId="5" fillId="54" borderId="74" xfId="0" applyFont="1" applyFill="1" applyBorder="1" applyAlignment="1" applyProtection="1">
      <alignment horizontal="center"/>
      <protection locked="0"/>
    </xf>
    <xf numFmtId="0" fontId="5" fillId="54" borderId="93" xfId="0" applyFont="1" applyFill="1" applyBorder="1" applyAlignment="1" applyProtection="1">
      <alignment horizontal="center"/>
      <protection locked="0"/>
    </xf>
    <xf numFmtId="0" fontId="5" fillId="54" borderId="78" xfId="0" applyFont="1" applyFill="1" applyBorder="1" applyAlignment="1" applyProtection="1">
      <alignment horizontal="center"/>
      <protection locked="0"/>
    </xf>
    <xf numFmtId="0" fontId="0" fillId="54" borderId="90" xfId="0" applyFill="1" applyBorder="1" applyAlignment="1" applyProtection="1">
      <alignment horizontal="center" vertical="center"/>
      <protection locked="0"/>
    </xf>
    <xf numFmtId="0" fontId="9" fillId="54" borderId="89" xfId="0" applyFont="1" applyFill="1" applyBorder="1" applyAlignment="1" applyProtection="1">
      <alignment horizontal="center"/>
      <protection locked="0"/>
    </xf>
    <xf numFmtId="0" fontId="9" fillId="54" borderId="90" xfId="0" applyFont="1" applyFill="1" applyBorder="1" applyAlignment="1" applyProtection="1">
      <alignment horizontal="center"/>
      <protection locked="0"/>
    </xf>
    <xf numFmtId="0" fontId="56" fillId="54" borderId="86" xfId="0" applyFont="1" applyFill="1" applyBorder="1" applyAlignment="1" applyProtection="1">
      <alignment horizontal="center" vertical="center"/>
      <protection locked="0"/>
    </xf>
    <xf numFmtId="0" fontId="0" fillId="54" borderId="90" xfId="0" applyFill="1" applyBorder="1" applyAlignment="1" applyProtection="1">
      <alignment horizontal="center"/>
      <protection locked="0"/>
    </xf>
    <xf numFmtId="0" fontId="56" fillId="54" borderId="91" xfId="0" applyFont="1" applyFill="1" applyBorder="1" applyAlignment="1" applyProtection="1">
      <alignment horizontal="center"/>
      <protection locked="0"/>
    </xf>
    <xf numFmtId="0" fontId="56" fillId="54" borderId="92" xfId="0" applyFont="1" applyFill="1" applyBorder="1" applyAlignment="1" applyProtection="1">
      <alignment horizontal="center"/>
      <protection locked="0"/>
    </xf>
    <xf numFmtId="0" fontId="5" fillId="54" borderId="75" xfId="0" applyFont="1" applyFill="1" applyBorder="1" applyAlignment="1" applyProtection="1">
      <alignment horizontal="center"/>
      <protection locked="0"/>
    </xf>
    <xf numFmtId="0" fontId="5" fillId="54" borderId="76" xfId="0" applyFont="1" applyFill="1" applyBorder="1" applyAlignment="1" applyProtection="1">
      <alignment horizontal="center"/>
      <protection locked="0"/>
    </xf>
    <xf numFmtId="0" fontId="5" fillId="54" borderId="79" xfId="0" applyFont="1" applyFill="1" applyBorder="1" applyAlignment="1" applyProtection="1">
      <alignment horizontal="center"/>
      <protection locked="0"/>
    </xf>
    <xf numFmtId="0" fontId="57" fillId="61" borderId="87" xfId="0" applyFont="1" applyFill="1" applyBorder="1" applyAlignment="1" applyProtection="1">
      <alignment horizontal="center"/>
      <protection locked="0"/>
    </xf>
    <xf numFmtId="0" fontId="57" fillId="61" borderId="88" xfId="0" applyFont="1" applyFill="1" applyBorder="1" applyAlignment="1" applyProtection="1">
      <alignment horizontal="center"/>
      <protection locked="0"/>
    </xf>
    <xf numFmtId="0" fontId="5" fillId="61" borderId="72" xfId="0" applyFont="1" applyFill="1" applyBorder="1" applyAlignment="1" applyProtection="1">
      <alignment horizontal="center"/>
      <protection locked="0"/>
    </xf>
    <xf numFmtId="0" fontId="5" fillId="61" borderId="94" xfId="0" applyFont="1" applyFill="1" applyBorder="1" applyAlignment="1" applyProtection="1">
      <alignment horizontal="center"/>
      <protection locked="0"/>
    </xf>
    <xf numFmtId="0" fontId="5" fillId="61" borderId="77" xfId="0" applyFont="1" applyFill="1" applyBorder="1" applyAlignment="1" applyProtection="1">
      <alignment horizontal="center"/>
      <protection locked="0"/>
    </xf>
    <xf numFmtId="0" fontId="57" fillId="61" borderId="89" xfId="0" applyFont="1" applyFill="1" applyBorder="1" applyAlignment="1" applyProtection="1">
      <alignment horizontal="center"/>
      <protection locked="0"/>
    </xf>
    <xf numFmtId="0" fontId="57" fillId="61" borderId="90" xfId="0" applyFont="1" applyFill="1" applyBorder="1" applyAlignment="1" applyProtection="1">
      <alignment horizontal="center"/>
      <protection locked="0"/>
    </xf>
    <xf numFmtId="0" fontId="5" fillId="61" borderId="74" xfId="0" applyFont="1" applyFill="1" applyBorder="1" applyAlignment="1" applyProtection="1">
      <alignment horizontal="center"/>
      <protection locked="0"/>
    </xf>
    <xf numFmtId="0" fontId="5" fillId="61" borderId="93" xfId="0" applyFont="1" applyFill="1" applyBorder="1" applyAlignment="1" applyProtection="1">
      <alignment horizontal="center"/>
      <protection locked="0"/>
    </xf>
    <xf numFmtId="0" fontId="5" fillId="61" borderId="78" xfId="0" applyFont="1" applyFill="1" applyBorder="1" applyAlignment="1" applyProtection="1">
      <alignment horizontal="center"/>
      <protection locked="0"/>
    </xf>
    <xf numFmtId="0" fontId="0" fillId="61" borderId="90" xfId="0" applyFill="1" applyBorder="1" applyAlignment="1" applyProtection="1">
      <alignment horizontal="center"/>
      <protection locked="0"/>
    </xf>
    <xf numFmtId="0" fontId="9" fillId="61" borderId="89" xfId="0" applyFont="1" applyFill="1" applyBorder="1" applyAlignment="1" applyProtection="1">
      <alignment horizontal="center"/>
      <protection locked="0"/>
    </xf>
    <xf numFmtId="0" fontId="9" fillId="61" borderId="90" xfId="0" applyFont="1" applyFill="1" applyBorder="1" applyAlignment="1" applyProtection="1">
      <alignment horizontal="center"/>
      <protection locked="0"/>
    </xf>
    <xf numFmtId="0" fontId="57" fillId="61" borderId="86" xfId="0" applyFont="1" applyFill="1" applyBorder="1" applyAlignment="1" applyProtection="1">
      <alignment horizontal="center"/>
      <protection locked="0"/>
    </xf>
    <xf numFmtId="0" fontId="58" fillId="61" borderId="90" xfId="0" applyFont="1" applyFill="1" applyBorder="1" applyAlignment="1" applyProtection="1">
      <alignment horizontal="center"/>
      <protection locked="0"/>
    </xf>
    <xf numFmtId="0" fontId="57" fillId="61" borderId="91" xfId="0" applyFont="1" applyFill="1" applyBorder="1" applyAlignment="1" applyProtection="1">
      <alignment horizontal="center"/>
      <protection locked="0"/>
    </xf>
    <xf numFmtId="0" fontId="57" fillId="61" borderId="92" xfId="0" applyFont="1" applyFill="1" applyBorder="1" applyAlignment="1" applyProtection="1">
      <alignment horizontal="center"/>
      <protection locked="0"/>
    </xf>
    <xf numFmtId="0" fontId="5" fillId="61" borderId="75" xfId="0" applyFont="1" applyFill="1" applyBorder="1" applyAlignment="1" applyProtection="1">
      <alignment horizontal="center"/>
      <protection locked="0"/>
    </xf>
    <xf numFmtId="0" fontId="5" fillId="61" borderId="76" xfId="0" applyFont="1" applyFill="1" applyBorder="1" applyAlignment="1" applyProtection="1">
      <alignment horizontal="center"/>
      <protection locked="0"/>
    </xf>
    <xf numFmtId="0" fontId="5" fillId="61" borderId="79" xfId="0" applyFont="1" applyFill="1" applyBorder="1" applyAlignment="1" applyProtection="1">
      <alignment horizontal="center"/>
      <protection locked="0"/>
    </xf>
    <xf numFmtId="0" fontId="59" fillId="64" borderId="89" xfId="0" applyFont="1" applyFill="1" applyBorder="1" applyAlignment="1" applyProtection="1">
      <alignment horizontal="center"/>
      <protection locked="0"/>
    </xf>
    <xf numFmtId="0" fontId="59" fillId="64" borderId="90" xfId="0" applyFont="1" applyFill="1" applyBorder="1" applyAlignment="1" applyProtection="1">
      <alignment horizontal="center"/>
      <protection locked="0"/>
    </xf>
    <xf numFmtId="0" fontId="59" fillId="64" borderId="88" xfId="0" applyFont="1" applyFill="1" applyBorder="1" applyAlignment="1" applyProtection="1">
      <alignment horizontal="center"/>
      <protection locked="0"/>
    </xf>
    <xf numFmtId="0" fontId="5" fillId="64" borderId="86" xfId="0" applyFont="1" applyFill="1" applyBorder="1" applyAlignment="1" applyProtection="1">
      <alignment horizontal="center"/>
      <protection locked="0"/>
    </xf>
    <xf numFmtId="0" fontId="5" fillId="64" borderId="95" xfId="0" applyFont="1" applyFill="1" applyBorder="1" applyAlignment="1" applyProtection="1">
      <alignment horizontal="center"/>
      <protection locked="0"/>
    </xf>
    <xf numFmtId="0" fontId="5" fillId="64" borderId="106" xfId="0" applyFont="1" applyFill="1" applyBorder="1" applyAlignment="1" applyProtection="1">
      <alignment horizontal="center"/>
      <protection locked="0"/>
    </xf>
    <xf numFmtId="0" fontId="5" fillId="64" borderId="74" xfId="0" applyFont="1" applyFill="1" applyBorder="1" applyAlignment="1" applyProtection="1">
      <alignment horizontal="center"/>
      <protection locked="0"/>
    </xf>
    <xf numFmtId="0" fontId="5" fillId="64" borderId="93" xfId="0" applyFont="1" applyFill="1" applyBorder="1" applyAlignment="1" applyProtection="1">
      <alignment horizontal="center"/>
      <protection locked="0"/>
    </xf>
    <xf numFmtId="0" fontId="5" fillId="64" borderId="78" xfId="0" applyFont="1" applyFill="1" applyBorder="1" applyAlignment="1" applyProtection="1">
      <alignment horizontal="center"/>
      <protection locked="0"/>
    </xf>
    <xf numFmtId="0" fontId="9" fillId="64" borderId="90" xfId="0" applyFont="1" applyFill="1" applyBorder="1" applyAlignment="1" applyProtection="1">
      <alignment horizontal="center"/>
      <protection locked="0"/>
    </xf>
    <xf numFmtId="0" fontId="9" fillId="64" borderId="89" xfId="0" applyFont="1" applyFill="1" applyBorder="1" applyAlignment="1" applyProtection="1">
      <alignment horizontal="center"/>
      <protection locked="0"/>
    </xf>
    <xf numFmtId="0" fontId="59" fillId="64" borderId="86" xfId="0" applyFont="1" applyFill="1" applyBorder="1" applyAlignment="1" applyProtection="1">
      <alignment horizontal="center"/>
      <protection locked="0"/>
    </xf>
    <xf numFmtId="0" fontId="59" fillId="64" borderId="91" xfId="0" applyFont="1" applyFill="1" applyBorder="1" applyAlignment="1" applyProtection="1">
      <alignment horizontal="center"/>
      <protection locked="0"/>
    </xf>
    <xf numFmtId="0" fontId="59" fillId="64" borderId="92" xfId="0" applyFont="1" applyFill="1" applyBorder="1" applyAlignment="1" applyProtection="1">
      <alignment horizontal="center"/>
      <protection locked="0"/>
    </xf>
    <xf numFmtId="0" fontId="5" fillId="64" borderId="75" xfId="0" applyFont="1" applyFill="1" applyBorder="1" applyAlignment="1" applyProtection="1">
      <alignment horizontal="center"/>
      <protection locked="0"/>
    </xf>
    <xf numFmtId="0" fontId="5" fillId="64" borderId="76" xfId="0" applyFont="1" applyFill="1" applyBorder="1" applyAlignment="1" applyProtection="1">
      <alignment horizontal="center"/>
      <protection locked="0"/>
    </xf>
    <xf numFmtId="0" fontId="5" fillId="64" borderId="79" xfId="0" applyFont="1" applyFill="1" applyBorder="1" applyAlignment="1" applyProtection="1">
      <alignment horizontal="center"/>
      <protection locked="0"/>
    </xf>
    <xf numFmtId="0" fontId="60" fillId="46" borderId="87" xfId="0" applyFont="1" applyFill="1" applyBorder="1" applyAlignment="1" applyProtection="1">
      <alignment horizontal="center"/>
      <protection locked="0"/>
    </xf>
    <xf numFmtId="0" fontId="60" fillId="46" borderId="88" xfId="0" applyFont="1" applyFill="1" applyBorder="1" applyAlignment="1" applyProtection="1">
      <alignment horizontal="center"/>
      <protection locked="0"/>
    </xf>
    <xf numFmtId="0" fontId="60" fillId="46" borderId="88" xfId="0" applyFont="1" applyFill="1" applyBorder="1" applyAlignment="1" applyProtection="1">
      <alignment horizontal="center" vertical="center"/>
      <protection locked="0"/>
    </xf>
    <xf numFmtId="0" fontId="5" fillId="46" borderId="72" xfId="0" applyFont="1" applyFill="1" applyBorder="1" applyAlignment="1" applyProtection="1">
      <alignment horizontal="center" vertical="center"/>
      <protection locked="0"/>
    </xf>
    <xf numFmtId="0" fontId="5" fillId="46" borderId="94" xfId="0" applyFont="1" applyFill="1" applyBorder="1" applyAlignment="1" applyProtection="1">
      <alignment horizontal="center" vertical="center"/>
      <protection locked="0"/>
    </xf>
    <xf numFmtId="0" fontId="5" fillId="46" borderId="77" xfId="0" applyFont="1" applyFill="1" applyBorder="1" applyAlignment="1" applyProtection="1">
      <alignment horizontal="center" vertical="center"/>
      <protection locked="0"/>
    </xf>
    <xf numFmtId="0" fontId="60" fillId="46" borderId="89" xfId="0" applyFont="1" applyFill="1" applyBorder="1" applyAlignment="1" applyProtection="1">
      <alignment horizontal="center"/>
      <protection locked="0"/>
    </xf>
    <xf numFmtId="0" fontId="60" fillId="46" borderId="90" xfId="0" applyFont="1" applyFill="1" applyBorder="1" applyAlignment="1" applyProtection="1">
      <alignment horizontal="center"/>
      <protection locked="0"/>
    </xf>
    <xf numFmtId="0" fontId="60" fillId="46" borderId="90" xfId="0" applyFont="1" applyFill="1" applyBorder="1" applyAlignment="1" applyProtection="1">
      <alignment horizontal="center" vertical="center"/>
      <protection locked="0"/>
    </xf>
    <xf numFmtId="0" fontId="5" fillId="46" borderId="74" xfId="0" applyFont="1" applyFill="1" applyBorder="1" applyAlignment="1" applyProtection="1">
      <alignment horizontal="center"/>
      <protection locked="0"/>
    </xf>
    <xf numFmtId="0" fontId="5" fillId="46" borderId="93" xfId="0" applyFont="1" applyFill="1" applyBorder="1" applyAlignment="1" applyProtection="1">
      <alignment horizontal="center"/>
      <protection locked="0"/>
    </xf>
    <xf numFmtId="0" fontId="5" fillId="46" borderId="78" xfId="0" applyFont="1" applyFill="1" applyBorder="1" applyAlignment="1" applyProtection="1">
      <alignment horizontal="center"/>
      <protection locked="0"/>
    </xf>
    <xf numFmtId="0" fontId="0" fillId="46" borderId="90" xfId="0" applyFill="1" applyBorder="1" applyAlignment="1" applyProtection="1">
      <alignment horizontal="center" vertical="center"/>
      <protection locked="0"/>
    </xf>
    <xf numFmtId="0" fontId="9" fillId="46" borderId="89" xfId="0" applyFont="1" applyFill="1" applyBorder="1" applyAlignment="1" applyProtection="1">
      <alignment horizontal="center"/>
      <protection locked="0"/>
    </xf>
    <xf numFmtId="0" fontId="9" fillId="46" borderId="90" xfId="0" applyFont="1" applyFill="1" applyBorder="1" applyAlignment="1" applyProtection="1">
      <alignment horizontal="center"/>
      <protection locked="0"/>
    </xf>
    <xf numFmtId="0" fontId="60" fillId="46" borderId="86" xfId="0" applyFont="1" applyFill="1" applyBorder="1" applyAlignment="1" applyProtection="1">
      <alignment horizontal="center" vertical="center"/>
      <protection locked="0"/>
    </xf>
    <xf numFmtId="0" fontId="0" fillId="46" borderId="90" xfId="0" applyFill="1" applyBorder="1" applyAlignment="1" applyProtection="1">
      <alignment horizontal="center"/>
      <protection locked="0"/>
    </xf>
    <xf numFmtId="0" fontId="60" fillId="46" borderId="91" xfId="0" applyFont="1" applyFill="1" applyBorder="1" applyAlignment="1" applyProtection="1">
      <alignment horizontal="center"/>
      <protection locked="0"/>
    </xf>
    <xf numFmtId="0" fontId="60" fillId="46" borderId="92" xfId="0" applyFont="1" applyFill="1" applyBorder="1" applyAlignment="1" applyProtection="1">
      <alignment horizontal="center"/>
      <protection locked="0"/>
    </xf>
    <xf numFmtId="0" fontId="5" fillId="46" borderId="75" xfId="0" applyFont="1" applyFill="1" applyBorder="1" applyAlignment="1" applyProtection="1">
      <alignment horizontal="center"/>
      <protection locked="0"/>
    </xf>
    <xf numFmtId="0" fontId="5" fillId="46" borderId="76" xfId="0" applyFont="1" applyFill="1" applyBorder="1" applyAlignment="1" applyProtection="1">
      <alignment horizontal="center"/>
      <protection locked="0"/>
    </xf>
    <xf numFmtId="0" fontId="5" fillId="46" borderId="79" xfId="0" applyFont="1" applyFill="1" applyBorder="1" applyAlignment="1" applyProtection="1">
      <alignment horizontal="center"/>
      <protection locked="0"/>
    </xf>
    <xf numFmtId="0" fontId="61" fillId="60" borderId="87" xfId="0" applyFont="1" applyFill="1" applyBorder="1" applyAlignment="1" applyProtection="1">
      <alignment horizontal="center"/>
      <protection locked="0"/>
    </xf>
    <xf numFmtId="0" fontId="61" fillId="60" borderId="88" xfId="0" applyFont="1" applyFill="1" applyBorder="1" applyAlignment="1" applyProtection="1">
      <alignment horizontal="center"/>
      <protection locked="0"/>
    </xf>
    <xf numFmtId="0" fontId="5" fillId="60" borderId="72" xfId="0" applyFont="1" applyFill="1" applyBorder="1" applyAlignment="1" applyProtection="1">
      <alignment horizontal="center"/>
      <protection locked="0"/>
    </xf>
    <xf numFmtId="0" fontId="5" fillId="60" borderId="94" xfId="0" applyFont="1" applyFill="1" applyBorder="1" applyAlignment="1" applyProtection="1">
      <alignment horizontal="center"/>
      <protection locked="0"/>
    </xf>
    <xf numFmtId="0" fontId="5" fillId="60" borderId="77" xfId="0" applyFont="1" applyFill="1" applyBorder="1" applyAlignment="1" applyProtection="1">
      <alignment horizontal="center"/>
      <protection locked="0"/>
    </xf>
    <xf numFmtId="0" fontId="61" fillId="60" borderId="89" xfId="0" applyFont="1" applyFill="1" applyBorder="1" applyAlignment="1" applyProtection="1">
      <alignment horizontal="center"/>
      <protection locked="0"/>
    </xf>
    <xf numFmtId="0" fontId="61" fillId="60" borderId="90" xfId="0" applyFont="1" applyFill="1" applyBorder="1" applyAlignment="1" applyProtection="1">
      <alignment horizontal="center"/>
      <protection locked="0"/>
    </xf>
    <xf numFmtId="0" fontId="5" fillId="60" borderId="74" xfId="0" applyFont="1" applyFill="1" applyBorder="1" applyAlignment="1" applyProtection="1">
      <alignment horizontal="center"/>
      <protection locked="0"/>
    </xf>
    <xf numFmtId="0" fontId="5" fillId="60" borderId="93" xfId="0" applyFont="1" applyFill="1" applyBorder="1" applyAlignment="1" applyProtection="1">
      <alignment horizontal="center"/>
      <protection locked="0"/>
    </xf>
    <xf numFmtId="0" fontId="5" fillId="60" borderId="78" xfId="0" applyFont="1" applyFill="1" applyBorder="1" applyAlignment="1" applyProtection="1">
      <alignment horizontal="center"/>
      <protection locked="0"/>
    </xf>
    <xf numFmtId="0" fontId="0" fillId="60" borderId="90" xfId="0" applyFill="1" applyBorder="1" applyAlignment="1" applyProtection="1">
      <alignment horizontal="center"/>
      <protection locked="0"/>
    </xf>
    <xf numFmtId="0" fontId="9" fillId="60" borderId="89" xfId="0" applyFont="1" applyFill="1" applyBorder="1" applyAlignment="1" applyProtection="1">
      <alignment horizontal="center"/>
      <protection locked="0"/>
    </xf>
    <xf numFmtId="0" fontId="9" fillId="60" borderId="90" xfId="0" applyFont="1" applyFill="1" applyBorder="1" applyAlignment="1" applyProtection="1">
      <alignment horizontal="center"/>
      <protection locked="0"/>
    </xf>
    <xf numFmtId="0" fontId="61" fillId="60" borderId="86" xfId="0" applyFont="1" applyFill="1" applyBorder="1" applyAlignment="1" applyProtection="1">
      <alignment horizontal="center"/>
      <protection locked="0"/>
    </xf>
    <xf numFmtId="0" fontId="58" fillId="60" borderId="90" xfId="0" applyFont="1" applyFill="1" applyBorder="1" applyAlignment="1" applyProtection="1">
      <alignment horizontal="center"/>
      <protection locked="0"/>
    </xf>
    <xf numFmtId="0" fontId="61" fillId="60" borderId="91" xfId="0" applyFont="1" applyFill="1" applyBorder="1" applyAlignment="1" applyProtection="1">
      <alignment horizontal="center"/>
      <protection locked="0"/>
    </xf>
    <xf numFmtId="0" fontId="61" fillId="60" borderId="92" xfId="0" applyFont="1" applyFill="1" applyBorder="1" applyAlignment="1" applyProtection="1">
      <alignment horizontal="center"/>
      <protection locked="0"/>
    </xf>
    <xf numFmtId="0" fontId="5" fillId="60" borderId="75" xfId="0" applyFont="1" applyFill="1" applyBorder="1" applyAlignment="1" applyProtection="1">
      <alignment horizontal="center"/>
      <protection locked="0"/>
    </xf>
    <xf numFmtId="0" fontId="5" fillId="60" borderId="76" xfId="0" applyFont="1" applyFill="1" applyBorder="1" applyAlignment="1" applyProtection="1">
      <alignment horizontal="center"/>
      <protection locked="0"/>
    </xf>
    <xf numFmtId="0" fontId="5" fillId="60" borderId="79" xfId="0" applyFont="1" applyFill="1" applyBorder="1" applyAlignment="1" applyProtection="1">
      <alignment horizontal="center"/>
      <protection locked="0"/>
    </xf>
    <xf numFmtId="0" fontId="62" fillId="56" borderId="89" xfId="0" applyFont="1" applyFill="1" applyBorder="1" applyAlignment="1" applyProtection="1">
      <alignment horizontal="center"/>
      <protection locked="0"/>
    </xf>
    <xf numFmtId="0" fontId="62" fillId="56" borderId="90" xfId="0" applyFont="1" applyFill="1" applyBorder="1" applyAlignment="1" applyProtection="1">
      <alignment horizontal="center"/>
      <protection locked="0"/>
    </xf>
    <xf numFmtId="0" fontId="62" fillId="56" borderId="88" xfId="0" applyFont="1" applyFill="1" applyBorder="1" applyAlignment="1" applyProtection="1">
      <alignment horizontal="center"/>
      <protection locked="0"/>
    </xf>
    <xf numFmtId="0" fontId="5" fillId="56" borderId="86" xfId="0" applyFont="1" applyFill="1" applyBorder="1" applyAlignment="1" applyProtection="1">
      <alignment horizontal="center"/>
      <protection locked="0"/>
    </xf>
    <xf numFmtId="0" fontId="5" fillId="56" borderId="95" xfId="0" applyFont="1" applyFill="1" applyBorder="1" applyAlignment="1" applyProtection="1">
      <alignment horizontal="center"/>
      <protection locked="0"/>
    </xf>
    <xf numFmtId="0" fontId="5" fillId="56" borderId="106" xfId="0" applyFont="1" applyFill="1" applyBorder="1" applyAlignment="1" applyProtection="1">
      <alignment horizontal="center"/>
      <protection locked="0"/>
    </xf>
    <xf numFmtId="0" fontId="5" fillId="56" borderId="74" xfId="0" applyFont="1" applyFill="1" applyBorder="1" applyAlignment="1" applyProtection="1">
      <alignment horizontal="center"/>
      <protection locked="0"/>
    </xf>
    <xf numFmtId="0" fontId="5" fillId="56" borderId="93" xfId="0" applyFont="1" applyFill="1" applyBorder="1" applyAlignment="1" applyProtection="1">
      <alignment horizontal="center"/>
      <protection locked="0"/>
    </xf>
    <xf numFmtId="0" fontId="5" fillId="56" borderId="78" xfId="0" applyFont="1" applyFill="1" applyBorder="1" applyAlignment="1" applyProtection="1">
      <alignment horizontal="center"/>
      <protection locked="0"/>
    </xf>
    <xf numFmtId="0" fontId="9" fillId="56" borderId="90" xfId="0" applyFont="1" applyFill="1" applyBorder="1" applyAlignment="1" applyProtection="1">
      <alignment horizontal="center"/>
      <protection locked="0"/>
    </xf>
    <xf numFmtId="0" fontId="9" fillId="56" borderId="89" xfId="0" applyFont="1" applyFill="1" applyBorder="1" applyAlignment="1" applyProtection="1">
      <alignment horizontal="center"/>
      <protection locked="0"/>
    </xf>
    <xf numFmtId="0" fontId="62" fillId="56" borderId="86" xfId="0" applyFont="1" applyFill="1" applyBorder="1" applyAlignment="1" applyProtection="1">
      <alignment horizontal="center"/>
      <protection locked="0"/>
    </xf>
    <xf numFmtId="0" fontId="62" fillId="56" borderId="91" xfId="0" applyFont="1" applyFill="1" applyBorder="1" applyAlignment="1" applyProtection="1">
      <alignment horizontal="center"/>
      <protection locked="0"/>
    </xf>
    <xf numFmtId="0" fontId="62" fillId="56" borderId="92" xfId="0" applyFont="1" applyFill="1" applyBorder="1" applyAlignment="1" applyProtection="1">
      <alignment horizontal="center"/>
      <protection locked="0"/>
    </xf>
    <xf numFmtId="0" fontId="5" fillId="56" borderId="75" xfId="0" applyFont="1" applyFill="1" applyBorder="1" applyAlignment="1" applyProtection="1">
      <alignment horizontal="center"/>
      <protection locked="0"/>
    </xf>
    <xf numFmtId="0" fontId="5" fillId="56" borderId="76" xfId="0" applyFont="1" applyFill="1" applyBorder="1" applyAlignment="1" applyProtection="1">
      <alignment horizontal="center"/>
      <protection locked="0"/>
    </xf>
    <xf numFmtId="0" fontId="5" fillId="56" borderId="79" xfId="0" applyFont="1" applyFill="1" applyBorder="1" applyAlignment="1" applyProtection="1">
      <alignment horizontal="center"/>
      <protection locked="0"/>
    </xf>
    <xf numFmtId="0" fontId="5" fillId="48" borderId="77" xfId="0" applyFont="1" applyFill="1" applyBorder="1" applyAlignment="1" applyProtection="1">
      <alignment horizontal="center" vertical="center"/>
      <protection locked="0"/>
    </xf>
    <xf numFmtId="0" fontId="5" fillId="48" borderId="78" xfId="0" applyFont="1" applyFill="1" applyBorder="1" applyAlignment="1" applyProtection="1">
      <alignment horizontal="center"/>
      <protection locked="0"/>
    </xf>
    <xf numFmtId="0" fontId="5" fillId="48" borderId="79" xfId="0" applyFont="1" applyFill="1" applyBorder="1" applyAlignment="1" applyProtection="1">
      <alignment horizontal="center"/>
      <protection locked="0"/>
    </xf>
    <xf numFmtId="0" fontId="63" fillId="69" borderId="87" xfId="0" applyFont="1" applyFill="1" applyBorder="1" applyAlignment="1" applyProtection="1">
      <alignment horizontal="center"/>
      <protection locked="0"/>
    </xf>
    <xf numFmtId="0" fontId="63" fillId="69" borderId="88" xfId="0" applyFont="1" applyFill="1" applyBorder="1" applyAlignment="1" applyProtection="1">
      <alignment horizontal="center"/>
      <protection locked="0"/>
    </xf>
    <xf numFmtId="0" fontId="63" fillId="69" borderId="88" xfId="0" applyFont="1" applyFill="1" applyBorder="1" applyAlignment="1" applyProtection="1">
      <alignment horizontal="center" vertical="center"/>
      <protection locked="0"/>
    </xf>
    <xf numFmtId="0" fontId="5" fillId="69" borderId="72" xfId="0" applyFont="1" applyFill="1" applyBorder="1" applyAlignment="1" applyProtection="1">
      <alignment horizontal="center" vertical="center"/>
      <protection locked="0"/>
    </xf>
    <xf numFmtId="0" fontId="5" fillId="69" borderId="94" xfId="0" applyFont="1" applyFill="1" applyBorder="1" applyAlignment="1" applyProtection="1">
      <alignment horizontal="center" vertical="center"/>
      <protection locked="0"/>
    </xf>
    <xf numFmtId="0" fontId="5" fillId="69" borderId="77" xfId="0" applyFont="1" applyFill="1" applyBorder="1" applyAlignment="1" applyProtection="1">
      <alignment horizontal="center" vertical="center"/>
      <protection locked="0"/>
    </xf>
    <xf numFmtId="0" fontId="63" fillId="69" borderId="89" xfId="0" applyFont="1" applyFill="1" applyBorder="1" applyAlignment="1" applyProtection="1">
      <alignment horizontal="center"/>
      <protection locked="0"/>
    </xf>
    <xf numFmtId="0" fontId="63" fillId="69" borderId="90" xfId="0" applyFont="1" applyFill="1" applyBorder="1" applyAlignment="1" applyProtection="1">
      <alignment horizontal="center"/>
      <protection locked="0"/>
    </xf>
    <xf numFmtId="0" fontId="63" fillId="69" borderId="90" xfId="0" applyFont="1" applyFill="1" applyBorder="1" applyAlignment="1" applyProtection="1">
      <alignment horizontal="center" vertical="center"/>
      <protection locked="0"/>
    </xf>
    <xf numFmtId="0" fontId="5" fillId="69" borderId="74" xfId="0" applyFont="1" applyFill="1" applyBorder="1" applyAlignment="1" applyProtection="1">
      <alignment horizontal="center"/>
      <protection locked="0"/>
    </xf>
    <xf numFmtId="0" fontId="5" fillId="69" borderId="93" xfId="0" applyFont="1" applyFill="1" applyBorder="1" applyAlignment="1" applyProtection="1">
      <alignment horizontal="center"/>
      <protection locked="0"/>
    </xf>
    <xf numFmtId="0" fontId="5" fillId="69" borderId="78" xfId="0" applyFont="1" applyFill="1" applyBorder="1" applyAlignment="1" applyProtection="1">
      <alignment horizontal="center"/>
      <protection locked="0"/>
    </xf>
    <xf numFmtId="0" fontId="0" fillId="69" borderId="90" xfId="0" applyFill="1" applyBorder="1" applyAlignment="1" applyProtection="1">
      <alignment horizontal="center" vertical="center"/>
      <protection locked="0"/>
    </xf>
    <xf numFmtId="0" fontId="9" fillId="69" borderId="89" xfId="0" applyFont="1" applyFill="1" applyBorder="1" applyAlignment="1" applyProtection="1">
      <alignment horizontal="center"/>
      <protection locked="0"/>
    </xf>
    <xf numFmtId="0" fontId="9" fillId="69" borderId="90" xfId="0" applyFont="1" applyFill="1" applyBorder="1" applyAlignment="1" applyProtection="1">
      <alignment horizontal="center"/>
      <protection locked="0"/>
    </xf>
    <xf numFmtId="0" fontId="63" fillId="69" borderId="86" xfId="0" applyFont="1" applyFill="1" applyBorder="1" applyAlignment="1" applyProtection="1">
      <alignment horizontal="center" vertical="center"/>
      <protection locked="0"/>
    </xf>
    <xf numFmtId="0" fontId="5" fillId="69" borderId="106" xfId="0" applyFont="1" applyFill="1" applyBorder="1" applyAlignment="1" applyProtection="1">
      <alignment horizontal="center" vertical="center"/>
      <protection locked="0"/>
    </xf>
    <xf numFmtId="0" fontId="63" fillId="69" borderId="91" xfId="0" applyFont="1" applyFill="1" applyBorder="1" applyAlignment="1" applyProtection="1">
      <alignment horizontal="center"/>
      <protection locked="0"/>
    </xf>
    <xf numFmtId="0" fontId="63" fillId="69" borderId="92" xfId="0" applyFont="1" applyFill="1" applyBorder="1" applyAlignment="1" applyProtection="1">
      <alignment horizontal="center"/>
      <protection locked="0"/>
    </xf>
    <xf numFmtId="0" fontId="5" fillId="69" borderId="107" xfId="0" applyFont="1" applyFill="1" applyBorder="1" applyAlignment="1" applyProtection="1">
      <alignment horizontal="center"/>
      <protection locked="0"/>
    </xf>
    <xf numFmtId="0" fontId="64" fillId="70" borderId="87" xfId="0" applyFont="1" applyFill="1" applyBorder="1" applyAlignment="1" applyProtection="1">
      <alignment horizontal="center"/>
      <protection locked="0"/>
    </xf>
    <xf numFmtId="0" fontId="64" fillId="70" borderId="88" xfId="0" applyFont="1" applyFill="1" applyBorder="1" applyAlignment="1" applyProtection="1">
      <alignment horizontal="center"/>
      <protection locked="0"/>
    </xf>
    <xf numFmtId="0" fontId="5" fillId="70" borderId="72" xfId="0" applyFont="1" applyFill="1" applyBorder="1" applyAlignment="1" applyProtection="1">
      <alignment horizontal="center"/>
      <protection locked="0"/>
    </xf>
    <xf numFmtId="0" fontId="5" fillId="70" borderId="94" xfId="0" applyFont="1" applyFill="1" applyBorder="1" applyAlignment="1" applyProtection="1">
      <alignment horizontal="center"/>
      <protection locked="0"/>
    </xf>
    <xf numFmtId="0" fontId="5" fillId="70" borderId="77" xfId="0" applyFont="1" applyFill="1" applyBorder="1" applyAlignment="1" applyProtection="1">
      <alignment horizontal="center"/>
      <protection locked="0"/>
    </xf>
    <xf numFmtId="0" fontId="64" fillId="70" borderId="89" xfId="0" applyFont="1" applyFill="1" applyBorder="1" applyAlignment="1" applyProtection="1">
      <alignment horizontal="center"/>
      <protection locked="0"/>
    </xf>
    <xf numFmtId="0" fontId="64" fillId="70" borderId="90" xfId="0" applyFont="1" applyFill="1" applyBorder="1" applyAlignment="1" applyProtection="1">
      <alignment horizontal="center"/>
      <protection locked="0"/>
    </xf>
    <xf numFmtId="0" fontId="5" fillId="70" borderId="74" xfId="0" applyFont="1" applyFill="1" applyBorder="1" applyAlignment="1" applyProtection="1">
      <alignment horizontal="center"/>
      <protection locked="0"/>
    </xf>
    <xf numFmtId="0" fontId="5" fillId="70" borderId="93" xfId="0" applyFont="1" applyFill="1" applyBorder="1" applyAlignment="1" applyProtection="1">
      <alignment horizontal="center"/>
      <protection locked="0"/>
    </xf>
    <xf numFmtId="0" fontId="5" fillId="70" borderId="78" xfId="0" applyFont="1" applyFill="1" applyBorder="1" applyAlignment="1" applyProtection="1">
      <alignment horizontal="center"/>
      <protection locked="0"/>
    </xf>
    <xf numFmtId="0" fontId="0" fillId="70" borderId="90" xfId="0" applyFill="1" applyBorder="1" applyAlignment="1" applyProtection="1">
      <alignment horizontal="center"/>
      <protection locked="0"/>
    </xf>
    <xf numFmtId="0" fontId="9" fillId="70" borderId="89" xfId="0" applyFont="1" applyFill="1" applyBorder="1" applyAlignment="1" applyProtection="1">
      <alignment horizontal="center"/>
      <protection locked="0"/>
    </xf>
    <xf numFmtId="0" fontId="9" fillId="70" borderId="90" xfId="0" applyFont="1" applyFill="1" applyBorder="1" applyAlignment="1" applyProtection="1">
      <alignment horizontal="center"/>
      <protection locked="0"/>
    </xf>
    <xf numFmtId="0" fontId="64" fillId="70" borderId="86" xfId="0" applyFont="1" applyFill="1" applyBorder="1" applyAlignment="1" applyProtection="1">
      <alignment horizontal="center"/>
      <protection locked="0"/>
    </xf>
    <xf numFmtId="0" fontId="58" fillId="70" borderId="90" xfId="0" applyFont="1" applyFill="1" applyBorder="1" applyAlignment="1" applyProtection="1">
      <alignment horizontal="center"/>
      <protection locked="0"/>
    </xf>
    <xf numFmtId="0" fontId="64" fillId="70" borderId="91" xfId="0" applyFont="1" applyFill="1" applyBorder="1" applyAlignment="1" applyProtection="1">
      <alignment horizontal="center"/>
      <protection locked="0"/>
    </xf>
    <xf numFmtId="0" fontId="64" fillId="70" borderId="92" xfId="0" applyFont="1" applyFill="1" applyBorder="1" applyAlignment="1" applyProtection="1">
      <alignment horizontal="center"/>
      <protection locked="0"/>
    </xf>
    <xf numFmtId="0" fontId="5" fillId="70" borderId="75" xfId="0" applyFont="1" applyFill="1" applyBorder="1" applyAlignment="1" applyProtection="1">
      <alignment horizontal="center"/>
      <protection locked="0"/>
    </xf>
    <xf numFmtId="0" fontId="5" fillId="70" borderId="76" xfId="0" applyFont="1" applyFill="1" applyBorder="1" applyAlignment="1" applyProtection="1">
      <alignment horizontal="center"/>
      <protection locked="0"/>
    </xf>
    <xf numFmtId="0" fontId="5" fillId="70" borderId="79" xfId="0" applyFont="1" applyFill="1" applyBorder="1" applyAlignment="1" applyProtection="1">
      <alignment horizontal="center"/>
      <protection locked="0"/>
    </xf>
    <xf numFmtId="0" fontId="65" fillId="71" borderId="89" xfId="0" applyFont="1" applyFill="1" applyBorder="1" applyAlignment="1" applyProtection="1">
      <alignment horizontal="center"/>
      <protection locked="0"/>
    </xf>
    <xf numFmtId="0" fontId="65" fillId="71" borderId="90" xfId="0" applyFont="1" applyFill="1" applyBorder="1" applyAlignment="1" applyProtection="1">
      <alignment horizontal="center"/>
      <protection locked="0"/>
    </xf>
    <xf numFmtId="0" fontId="65" fillId="71" borderId="88" xfId="0" applyFont="1" applyFill="1" applyBorder="1" applyAlignment="1" applyProtection="1">
      <alignment horizontal="center"/>
      <protection locked="0"/>
    </xf>
    <xf numFmtId="0" fontId="5" fillId="71" borderId="86" xfId="0" applyFont="1" applyFill="1" applyBorder="1" applyAlignment="1" applyProtection="1">
      <alignment horizontal="center"/>
      <protection locked="0"/>
    </xf>
    <xf numFmtId="0" fontId="5" fillId="71" borderId="95" xfId="0" applyFont="1" applyFill="1" applyBorder="1" applyAlignment="1" applyProtection="1">
      <alignment horizontal="center"/>
      <protection locked="0"/>
    </xf>
    <xf numFmtId="0" fontId="5" fillId="71" borderId="106" xfId="0" applyFont="1" applyFill="1" applyBorder="1" applyAlignment="1" applyProtection="1">
      <alignment horizontal="center"/>
      <protection locked="0"/>
    </xf>
    <xf numFmtId="0" fontId="5" fillId="71" borderId="74" xfId="0" applyFont="1" applyFill="1" applyBorder="1" applyAlignment="1" applyProtection="1">
      <alignment horizontal="center"/>
      <protection locked="0"/>
    </xf>
    <xf numFmtId="0" fontId="5" fillId="71" borderId="93" xfId="0" applyFont="1" applyFill="1" applyBorder="1" applyAlignment="1" applyProtection="1">
      <alignment horizontal="center"/>
      <protection locked="0"/>
    </xf>
    <xf numFmtId="0" fontId="5" fillId="71" borderId="78" xfId="0" applyFont="1" applyFill="1" applyBorder="1" applyAlignment="1" applyProtection="1">
      <alignment horizontal="center"/>
      <protection locked="0"/>
    </xf>
    <xf numFmtId="0" fontId="9" fillId="71" borderId="90" xfId="0" applyFont="1" applyFill="1" applyBorder="1" applyAlignment="1" applyProtection="1">
      <alignment horizontal="center"/>
      <protection locked="0"/>
    </xf>
    <xf numFmtId="0" fontId="9" fillId="71" borderId="89" xfId="0" applyFont="1" applyFill="1" applyBorder="1" applyAlignment="1" applyProtection="1">
      <alignment horizontal="center"/>
      <protection locked="0"/>
    </xf>
    <xf numFmtId="0" fontId="65" fillId="71" borderId="86" xfId="0" applyFont="1" applyFill="1" applyBorder="1" applyAlignment="1" applyProtection="1">
      <alignment horizontal="center"/>
      <protection locked="0"/>
    </xf>
    <xf numFmtId="0" fontId="65" fillId="71" borderId="91" xfId="0" applyFont="1" applyFill="1" applyBorder="1" applyAlignment="1" applyProtection="1">
      <alignment horizontal="center"/>
      <protection locked="0"/>
    </xf>
    <xf numFmtId="0" fontId="65" fillId="71" borderId="92" xfId="0" applyFont="1" applyFill="1" applyBorder="1" applyAlignment="1" applyProtection="1">
      <alignment horizontal="center"/>
      <protection locked="0"/>
    </xf>
    <xf numFmtId="0" fontId="5" fillId="71" borderId="75" xfId="0" applyFont="1" applyFill="1" applyBorder="1" applyAlignment="1" applyProtection="1">
      <alignment horizontal="center"/>
      <protection locked="0"/>
    </xf>
    <xf numFmtId="0" fontId="5" fillId="71" borderId="76" xfId="0" applyFont="1" applyFill="1" applyBorder="1" applyAlignment="1" applyProtection="1">
      <alignment horizontal="center"/>
      <protection locked="0"/>
    </xf>
    <xf numFmtId="0" fontId="5" fillId="71" borderId="79" xfId="0" applyFont="1" applyFill="1" applyBorder="1" applyAlignment="1" applyProtection="1">
      <alignment horizontal="center"/>
      <protection locked="0"/>
    </xf>
    <xf numFmtId="0" fontId="67" fillId="72" borderId="87" xfId="0" applyFont="1" applyFill="1" applyBorder="1" applyAlignment="1" applyProtection="1">
      <alignment horizontal="center"/>
      <protection locked="0"/>
    </xf>
    <xf numFmtId="0" fontId="67" fillId="72" borderId="88" xfId="0" applyFont="1" applyFill="1" applyBorder="1" applyAlignment="1" applyProtection="1">
      <alignment horizontal="center"/>
      <protection locked="0"/>
    </xf>
    <xf numFmtId="0" fontId="67" fillId="72" borderId="88" xfId="0" applyFont="1" applyFill="1" applyBorder="1" applyAlignment="1" applyProtection="1">
      <alignment horizontal="center" vertical="center"/>
      <protection locked="0"/>
    </xf>
    <xf numFmtId="0" fontId="5" fillId="72" borderId="72" xfId="0" applyFont="1" applyFill="1" applyBorder="1" applyAlignment="1" applyProtection="1">
      <alignment horizontal="center" vertical="center"/>
      <protection locked="0"/>
    </xf>
    <xf numFmtId="0" fontId="5" fillId="72" borderId="94" xfId="0" applyFont="1" applyFill="1" applyBorder="1" applyAlignment="1" applyProtection="1">
      <alignment horizontal="center" vertical="center"/>
      <protection locked="0"/>
    </xf>
    <xf numFmtId="0" fontId="5" fillId="72" borderId="77" xfId="0" applyFont="1" applyFill="1" applyBorder="1" applyAlignment="1" applyProtection="1">
      <alignment horizontal="center" vertical="center"/>
      <protection locked="0"/>
    </xf>
    <xf numFmtId="0" fontId="67" fillId="72" borderId="89" xfId="0" applyFont="1" applyFill="1" applyBorder="1" applyAlignment="1" applyProtection="1">
      <alignment horizontal="center"/>
      <protection locked="0"/>
    </xf>
    <xf numFmtId="0" fontId="67" fillId="72" borderId="90" xfId="0" applyFont="1" applyFill="1" applyBorder="1" applyAlignment="1" applyProtection="1">
      <alignment horizontal="center"/>
      <protection locked="0"/>
    </xf>
    <xf numFmtId="0" fontId="67" fillId="72" borderId="90" xfId="0" applyFont="1" applyFill="1" applyBorder="1" applyAlignment="1" applyProtection="1">
      <alignment horizontal="center" vertical="center"/>
      <protection locked="0"/>
    </xf>
    <xf numFmtId="0" fontId="5" fillId="72" borderId="74" xfId="0" applyFont="1" applyFill="1" applyBorder="1" applyAlignment="1" applyProtection="1">
      <alignment horizontal="center"/>
      <protection locked="0"/>
    </xf>
    <xf numFmtId="0" fontId="5" fillId="72" borderId="93" xfId="0" applyFont="1" applyFill="1" applyBorder="1" applyAlignment="1" applyProtection="1">
      <alignment horizontal="center"/>
      <protection locked="0"/>
    </xf>
    <xf numFmtId="0" fontId="5" fillId="72" borderId="78" xfId="0" applyFont="1" applyFill="1" applyBorder="1" applyAlignment="1" applyProtection="1">
      <alignment horizontal="center"/>
      <protection locked="0"/>
    </xf>
    <xf numFmtId="0" fontId="0" fillId="72" borderId="90" xfId="0" applyFill="1" applyBorder="1" applyAlignment="1" applyProtection="1">
      <alignment horizontal="center" vertical="center"/>
      <protection locked="0"/>
    </xf>
    <xf numFmtId="0" fontId="9" fillId="72" borderId="89" xfId="0" applyFont="1" applyFill="1" applyBorder="1" applyAlignment="1" applyProtection="1">
      <alignment horizontal="center"/>
      <protection locked="0"/>
    </xf>
    <xf numFmtId="0" fontId="9" fillId="72" borderId="90" xfId="0" applyFont="1" applyFill="1" applyBorder="1" applyAlignment="1" applyProtection="1">
      <alignment horizontal="center"/>
      <protection locked="0"/>
    </xf>
    <xf numFmtId="0" fontId="67" fillId="72" borderId="86" xfId="0" applyFont="1" applyFill="1" applyBorder="1" applyAlignment="1" applyProtection="1">
      <alignment horizontal="center" vertical="center"/>
      <protection locked="0"/>
    </xf>
    <xf numFmtId="0" fontId="5" fillId="72" borderId="106" xfId="0" applyFont="1" applyFill="1" applyBorder="1" applyAlignment="1" applyProtection="1">
      <alignment horizontal="center" vertical="center"/>
      <protection locked="0"/>
    </xf>
    <xf numFmtId="0" fontId="67" fillId="72" borderId="91" xfId="0" applyFont="1" applyFill="1" applyBorder="1" applyAlignment="1" applyProtection="1">
      <alignment horizontal="center"/>
      <protection locked="0"/>
    </xf>
    <xf numFmtId="0" fontId="67" fillId="72" borderId="92" xfId="0" applyFont="1" applyFill="1" applyBorder="1" applyAlignment="1" applyProtection="1">
      <alignment horizontal="center"/>
      <protection locked="0"/>
    </xf>
    <xf numFmtId="0" fontId="5" fillId="72" borderId="107" xfId="0" applyFont="1" applyFill="1" applyBorder="1" applyAlignment="1" applyProtection="1">
      <alignment horizontal="center"/>
      <protection locked="0"/>
    </xf>
    <xf numFmtId="0" fontId="66" fillId="73" borderId="87" xfId="0" applyFont="1" applyFill="1" applyBorder="1" applyAlignment="1" applyProtection="1">
      <alignment horizontal="center"/>
      <protection locked="0"/>
    </xf>
    <xf numFmtId="0" fontId="66" fillId="73" borderId="88" xfId="0" applyFont="1" applyFill="1" applyBorder="1" applyAlignment="1" applyProtection="1">
      <alignment horizontal="center"/>
      <protection locked="0"/>
    </xf>
    <xf numFmtId="0" fontId="5" fillId="73" borderId="72" xfId="0" applyFont="1" applyFill="1" applyBorder="1" applyAlignment="1" applyProtection="1">
      <alignment horizontal="center"/>
      <protection locked="0"/>
    </xf>
    <xf numFmtId="0" fontId="5" fillId="73" borderId="94" xfId="0" applyFont="1" applyFill="1" applyBorder="1" applyAlignment="1" applyProtection="1">
      <alignment horizontal="center"/>
      <protection locked="0"/>
    </xf>
    <xf numFmtId="0" fontId="5" fillId="73" borderId="77" xfId="0" applyFont="1" applyFill="1" applyBorder="1" applyAlignment="1" applyProtection="1">
      <alignment horizontal="center"/>
      <protection locked="0"/>
    </xf>
    <xf numFmtId="0" fontId="66" fillId="73" borderId="89" xfId="0" applyFont="1" applyFill="1" applyBorder="1" applyAlignment="1" applyProtection="1">
      <alignment horizontal="center"/>
      <protection locked="0"/>
    </xf>
    <xf numFmtId="0" fontId="66" fillId="73" borderId="90" xfId="0" applyFont="1" applyFill="1" applyBorder="1" applyAlignment="1" applyProtection="1">
      <alignment horizontal="center"/>
      <protection locked="0"/>
    </xf>
    <xf numFmtId="0" fontId="5" fillId="73" borderId="74" xfId="0" applyFont="1" applyFill="1" applyBorder="1" applyAlignment="1" applyProtection="1">
      <alignment horizontal="center"/>
      <protection locked="0"/>
    </xf>
    <xf numFmtId="0" fontId="5" fillId="73" borderId="93" xfId="0" applyFont="1" applyFill="1" applyBorder="1" applyAlignment="1" applyProtection="1">
      <alignment horizontal="center"/>
      <protection locked="0"/>
    </xf>
    <xf numFmtId="0" fontId="5" fillId="73" borderId="78" xfId="0" applyFont="1" applyFill="1" applyBorder="1" applyAlignment="1" applyProtection="1">
      <alignment horizontal="center"/>
      <protection locked="0"/>
    </xf>
    <xf numFmtId="0" fontId="0" fillId="73" borderId="90" xfId="0" applyFill="1" applyBorder="1" applyAlignment="1" applyProtection="1">
      <alignment horizontal="center"/>
      <protection locked="0"/>
    </xf>
    <xf numFmtId="0" fontId="9" fillId="73" borderId="89" xfId="0" applyFont="1" applyFill="1" applyBorder="1" applyAlignment="1" applyProtection="1">
      <alignment horizontal="center"/>
      <protection locked="0"/>
    </xf>
    <xf numFmtId="0" fontId="9" fillId="73" borderId="90" xfId="0" applyFont="1" applyFill="1" applyBorder="1" applyAlignment="1" applyProtection="1">
      <alignment horizontal="center"/>
      <protection locked="0"/>
    </xf>
    <xf numFmtId="0" fontId="66" fillId="73" borderId="86" xfId="0" applyFont="1" applyFill="1" applyBorder="1" applyAlignment="1" applyProtection="1">
      <alignment horizontal="center"/>
      <protection locked="0"/>
    </xf>
    <xf numFmtId="0" fontId="58" fillId="73" borderId="90" xfId="0" applyFont="1" applyFill="1" applyBorder="1" applyAlignment="1" applyProtection="1">
      <alignment horizontal="center"/>
      <protection locked="0"/>
    </xf>
    <xf numFmtId="0" fontId="66" fillId="73" borderId="91" xfId="0" applyFont="1" applyFill="1" applyBorder="1" applyAlignment="1" applyProtection="1">
      <alignment horizontal="center"/>
      <protection locked="0"/>
    </xf>
    <xf numFmtId="0" fontId="66" fillId="73" borderId="92" xfId="0" applyFont="1" applyFill="1" applyBorder="1" applyAlignment="1" applyProtection="1">
      <alignment horizontal="center"/>
      <protection locked="0"/>
    </xf>
    <xf numFmtId="0" fontId="5" fillId="73" borderId="75" xfId="0" applyFont="1" applyFill="1" applyBorder="1" applyAlignment="1" applyProtection="1">
      <alignment horizontal="center"/>
      <protection locked="0"/>
    </xf>
    <xf numFmtId="0" fontId="5" fillId="73" borderId="76" xfId="0" applyFont="1" applyFill="1" applyBorder="1" applyAlignment="1" applyProtection="1">
      <alignment horizontal="center"/>
      <protection locked="0"/>
    </xf>
    <xf numFmtId="0" fontId="5" fillId="73" borderId="79" xfId="0" applyFont="1" applyFill="1" applyBorder="1" applyAlignment="1" applyProtection="1">
      <alignment horizontal="center"/>
      <protection locked="0"/>
    </xf>
    <xf numFmtId="0" fontId="68" fillId="74" borderId="89" xfId="0" applyFont="1" applyFill="1" applyBorder="1" applyAlignment="1" applyProtection="1">
      <alignment horizontal="center"/>
      <protection locked="0"/>
    </xf>
    <xf numFmtId="0" fontId="68" fillId="74" borderId="90" xfId="0" applyFont="1" applyFill="1" applyBorder="1" applyAlignment="1" applyProtection="1">
      <alignment horizontal="center"/>
      <protection locked="0"/>
    </xf>
    <xf numFmtId="0" fontId="68" fillId="74" borderId="88" xfId="0" applyFont="1" applyFill="1" applyBorder="1" applyAlignment="1" applyProtection="1">
      <alignment horizontal="center"/>
      <protection locked="0"/>
    </xf>
    <xf numFmtId="0" fontId="5" fillId="74" borderId="86" xfId="0" applyFont="1" applyFill="1" applyBorder="1" applyAlignment="1" applyProtection="1">
      <alignment horizontal="center"/>
      <protection locked="0"/>
    </xf>
    <xf numFmtId="0" fontId="5" fillId="74" borderId="95" xfId="0" applyFont="1" applyFill="1" applyBorder="1" applyAlignment="1" applyProtection="1">
      <alignment horizontal="center"/>
      <protection locked="0"/>
    </xf>
    <xf numFmtId="0" fontId="5" fillId="74" borderId="106" xfId="0" applyFont="1" applyFill="1" applyBorder="1" applyAlignment="1" applyProtection="1">
      <alignment horizontal="center"/>
      <protection locked="0"/>
    </xf>
    <xf numFmtId="0" fontId="5" fillId="74" borderId="74" xfId="0" applyFont="1" applyFill="1" applyBorder="1" applyAlignment="1" applyProtection="1">
      <alignment horizontal="center"/>
      <protection locked="0"/>
    </xf>
    <xf numFmtId="0" fontId="5" fillId="74" borderId="93" xfId="0" applyFont="1" applyFill="1" applyBorder="1" applyAlignment="1" applyProtection="1">
      <alignment horizontal="center"/>
      <protection locked="0"/>
    </xf>
    <xf numFmtId="0" fontId="5" fillId="74" borderId="78" xfId="0" applyFont="1" applyFill="1" applyBorder="1" applyAlignment="1" applyProtection="1">
      <alignment horizontal="center"/>
      <protection locked="0"/>
    </xf>
    <xf numFmtId="0" fontId="9" fillId="74" borderId="90" xfId="0" applyFont="1" applyFill="1" applyBorder="1" applyAlignment="1" applyProtection="1">
      <alignment horizontal="center"/>
      <protection locked="0"/>
    </xf>
    <xf numFmtId="0" fontId="9" fillId="74" borderId="89" xfId="0" applyFont="1" applyFill="1" applyBorder="1" applyAlignment="1" applyProtection="1">
      <alignment horizontal="center"/>
      <protection locked="0"/>
    </xf>
    <xf numFmtId="0" fontId="68" fillId="74" borderId="86" xfId="0" applyFont="1" applyFill="1" applyBorder="1" applyAlignment="1" applyProtection="1">
      <alignment horizontal="center"/>
      <protection locked="0"/>
    </xf>
    <xf numFmtId="0" fontId="68" fillId="74" borderId="91" xfId="0" applyFont="1" applyFill="1" applyBorder="1" applyAlignment="1" applyProtection="1">
      <alignment horizontal="center"/>
      <protection locked="0"/>
    </xf>
    <xf numFmtId="0" fontId="68" fillId="74" borderId="92" xfId="0" applyFont="1" applyFill="1" applyBorder="1" applyAlignment="1" applyProtection="1">
      <alignment horizontal="center"/>
      <protection locked="0"/>
    </xf>
    <xf numFmtId="0" fontId="5" fillId="74" borderId="75" xfId="0" applyFont="1" applyFill="1" applyBorder="1" applyAlignment="1" applyProtection="1">
      <alignment horizontal="center"/>
      <protection locked="0"/>
    </xf>
    <xf numFmtId="0" fontId="5" fillId="74" borderId="76" xfId="0" applyFont="1" applyFill="1" applyBorder="1" applyAlignment="1" applyProtection="1">
      <alignment horizontal="center"/>
      <protection locked="0"/>
    </xf>
    <xf numFmtId="0" fontId="5" fillId="74" borderId="79" xfId="0" applyFont="1" applyFill="1" applyBorder="1" applyAlignment="1" applyProtection="1">
      <alignment horizontal="center"/>
      <protection locked="0"/>
    </xf>
    <xf numFmtId="168" fontId="5" fillId="43" borderId="71" xfId="0" applyNumberFormat="1" applyFont="1" applyFill="1" applyBorder="1" applyAlignment="1" applyProtection="1">
      <alignment horizontal="center"/>
      <protection locked="0"/>
    </xf>
    <xf numFmtId="1" fontId="5" fillId="43" borderId="96" xfId="0" applyNumberFormat="1" applyFont="1" applyFill="1" applyBorder="1" applyAlignment="1" applyProtection="1">
      <alignment horizontal="center"/>
      <protection locked="0"/>
    </xf>
    <xf numFmtId="168" fontId="5" fillId="43" borderId="73" xfId="0" applyNumberFormat="1" applyFont="1" applyFill="1" applyBorder="1" applyAlignment="1" applyProtection="1">
      <alignment horizontal="center"/>
      <protection locked="0"/>
    </xf>
    <xf numFmtId="1" fontId="5" fillId="43" borderId="83" xfId="0" applyNumberFormat="1" applyFont="1" applyFill="1" applyBorder="1" applyAlignment="1" applyProtection="1">
      <alignment horizontal="center"/>
      <protection locked="0"/>
    </xf>
    <xf numFmtId="168" fontId="5" fillId="43" borderId="84" xfId="0" applyNumberFormat="1" applyFont="1" applyFill="1" applyBorder="1" applyAlignment="1" applyProtection="1">
      <alignment horizontal="center"/>
      <protection locked="0"/>
    </xf>
    <xf numFmtId="1" fontId="5" fillId="43" borderId="85" xfId="0" applyNumberFormat="1" applyFont="1" applyFill="1" applyBorder="1" applyAlignment="1" applyProtection="1">
      <alignment horizontal="center"/>
      <protection locked="0"/>
    </xf>
    <xf numFmtId="168" fontId="5" fillId="44" borderId="81" xfId="0" applyNumberFormat="1" applyFont="1" applyFill="1" applyBorder="1" applyAlignment="1" applyProtection="1">
      <alignment horizontal="center"/>
      <protection locked="0"/>
    </xf>
    <xf numFmtId="168" fontId="5" fillId="44" borderId="82" xfId="0" applyNumberFormat="1" applyFont="1" applyFill="1" applyBorder="1" applyAlignment="1" applyProtection="1">
      <alignment horizontal="center"/>
      <protection locked="0"/>
    </xf>
    <xf numFmtId="168" fontId="5" fillId="44" borderId="80" xfId="0" applyNumberFormat="1" applyFont="1" applyFill="1" applyBorder="1" applyAlignment="1" applyProtection="1">
      <alignment horizontal="center"/>
      <protection locked="0"/>
    </xf>
    <xf numFmtId="0" fontId="80" fillId="58" borderId="122" xfId="0" applyFont="1" applyFill="1" applyBorder="1" applyAlignment="1" applyProtection="1">
      <alignment horizontal="center"/>
      <protection locked="0"/>
    </xf>
    <xf numFmtId="0" fontId="80" fillId="58" borderId="108" xfId="0" applyFont="1" applyFill="1" applyBorder="1" applyAlignment="1" applyProtection="1">
      <alignment horizontal="center"/>
      <protection locked="0"/>
    </xf>
    <xf numFmtId="0" fontId="9" fillId="58" borderId="111" xfId="0" applyFont="1" applyFill="1" applyBorder="1" applyAlignment="1" applyProtection="1">
      <alignment horizontal="center"/>
      <protection locked="0"/>
    </xf>
    <xf numFmtId="0" fontId="9" fillId="43" borderId="72" xfId="0" applyFont="1" applyFill="1" applyBorder="1" applyAlignment="1" applyProtection="1">
      <alignment horizontal="center"/>
      <protection locked="0"/>
    </xf>
    <xf numFmtId="1" fontId="9" fillId="44" borderId="164" xfId="0" applyNumberFormat="1" applyFont="1" applyFill="1" applyBorder="1" applyAlignment="1" applyProtection="1">
      <alignment horizontal="center"/>
      <protection locked="0"/>
    </xf>
    <xf numFmtId="0" fontId="5" fillId="0" borderId="165" xfId="0" applyFont="1" applyBorder="1" applyAlignment="1" applyProtection="1">
      <alignment horizontal="center"/>
      <protection locked="0"/>
    </xf>
    <xf numFmtId="0" fontId="9" fillId="58" borderId="123" xfId="0" applyFont="1" applyFill="1" applyBorder="1" applyAlignment="1" applyProtection="1">
      <alignment horizontal="center"/>
      <protection locked="0"/>
    </xf>
    <xf numFmtId="0" fontId="9" fillId="58" borderId="109" xfId="0" applyFont="1" applyFill="1" applyBorder="1" applyAlignment="1" applyProtection="1">
      <alignment horizontal="center"/>
      <protection locked="0"/>
    </xf>
    <xf numFmtId="0" fontId="9" fillId="58" borderId="112" xfId="0" applyFont="1" applyFill="1" applyBorder="1" applyAlignment="1" applyProtection="1">
      <alignment horizontal="center"/>
      <protection locked="0"/>
    </xf>
    <xf numFmtId="0" fontId="9" fillId="43" borderId="74" xfId="0" applyFont="1" applyFill="1" applyBorder="1" applyAlignment="1" applyProtection="1">
      <alignment horizontal="center"/>
      <protection locked="0"/>
    </xf>
    <xf numFmtId="168" fontId="5" fillId="44" borderId="166" xfId="0" applyNumberFormat="1" applyFont="1" applyFill="1" applyBorder="1" applyAlignment="1" applyProtection="1">
      <alignment horizontal="center"/>
      <protection locked="0"/>
    </xf>
    <xf numFmtId="1" fontId="9" fillId="44" borderId="167" xfId="0" applyNumberFormat="1" applyFont="1" applyFill="1" applyBorder="1" applyAlignment="1" applyProtection="1">
      <alignment horizontal="center"/>
      <protection locked="0"/>
    </xf>
    <xf numFmtId="0" fontId="9" fillId="0" borderId="168" xfId="0" applyFont="1" applyBorder="1" applyAlignment="1" applyProtection="1">
      <alignment horizontal="center"/>
      <protection locked="0"/>
    </xf>
    <xf numFmtId="0" fontId="80" fillId="58" borderId="124" xfId="0" applyFont="1" applyFill="1" applyBorder="1" applyAlignment="1" applyProtection="1">
      <alignment horizontal="center"/>
      <protection locked="0"/>
    </xf>
    <xf numFmtId="0" fontId="80" fillId="58" borderId="110" xfId="0" applyFont="1" applyFill="1" applyBorder="1" applyAlignment="1" applyProtection="1">
      <alignment horizontal="center"/>
      <protection locked="0"/>
    </xf>
    <xf numFmtId="0" fontId="9" fillId="58" borderId="113" xfId="0" applyFont="1" applyFill="1" applyBorder="1" applyAlignment="1" applyProtection="1">
      <alignment horizontal="center"/>
      <protection locked="0"/>
    </xf>
    <xf numFmtId="0" fontId="9" fillId="43" borderId="75" xfId="0" applyFont="1" applyFill="1" applyBorder="1" applyAlignment="1" applyProtection="1">
      <alignment horizontal="center"/>
      <protection locked="0"/>
    </xf>
    <xf numFmtId="168" fontId="5" fillId="44" borderId="169" xfId="0" applyNumberFormat="1" applyFont="1" applyFill="1" applyBorder="1" applyAlignment="1" applyProtection="1">
      <alignment horizontal="center"/>
      <protection locked="0"/>
    </xf>
    <xf numFmtId="1" fontId="9" fillId="44" borderId="170" xfId="0" applyNumberFormat="1" applyFont="1" applyFill="1" applyBorder="1" applyAlignment="1" applyProtection="1">
      <alignment horizontal="center"/>
      <protection locked="0"/>
    </xf>
    <xf numFmtId="0" fontId="9" fillId="0" borderId="171" xfId="0" applyFont="1" applyBorder="1" applyAlignment="1" applyProtection="1">
      <alignment horizontal="center"/>
      <protection locked="0"/>
    </xf>
    <xf numFmtId="0" fontId="50" fillId="75" borderId="122" xfId="0" applyFont="1" applyFill="1" applyBorder="1" applyAlignment="1" applyProtection="1">
      <alignment horizontal="center"/>
      <protection locked="0"/>
    </xf>
    <xf numFmtId="0" fontId="50" fillId="75" borderId="108" xfId="0" applyFont="1" applyFill="1" applyBorder="1" applyAlignment="1" applyProtection="1">
      <alignment horizontal="center"/>
      <protection locked="0"/>
    </xf>
    <xf numFmtId="0" fontId="9" fillId="75" borderId="111" xfId="0" applyFont="1" applyFill="1" applyBorder="1" applyAlignment="1" applyProtection="1">
      <alignment horizontal="center"/>
      <protection locked="0"/>
    </xf>
    <xf numFmtId="0" fontId="9" fillId="75" borderId="114" xfId="0" applyFont="1" applyFill="1" applyBorder="1" applyAlignment="1" applyProtection="1">
      <alignment horizontal="center"/>
      <protection locked="0"/>
    </xf>
    <xf numFmtId="0" fontId="9" fillId="0" borderId="165" xfId="0" applyFont="1" applyBorder="1" applyAlignment="1" applyProtection="1">
      <alignment horizontal="center"/>
      <protection locked="0"/>
    </xf>
    <xf numFmtId="0" fontId="50" fillId="75" borderId="123" xfId="0" applyFont="1" applyFill="1" applyBorder="1" applyAlignment="1" applyProtection="1">
      <alignment horizontal="center"/>
      <protection locked="0"/>
    </xf>
    <xf numFmtId="0" fontId="50" fillId="75" borderId="109" xfId="0" applyFont="1" applyFill="1" applyBorder="1" applyAlignment="1" applyProtection="1">
      <alignment horizontal="center"/>
      <protection locked="0"/>
    </xf>
    <xf numFmtId="0" fontId="9" fillId="75" borderId="112" xfId="0" applyFont="1" applyFill="1" applyBorder="1" applyAlignment="1" applyProtection="1">
      <alignment horizontal="center"/>
      <protection locked="0"/>
    </xf>
    <xf numFmtId="0" fontId="9" fillId="75" borderId="115" xfId="0" applyFont="1" applyFill="1" applyBorder="1" applyAlignment="1" applyProtection="1">
      <alignment horizontal="center"/>
      <protection locked="0"/>
    </xf>
    <xf numFmtId="0" fontId="9" fillId="75" borderId="123" xfId="0" applyFont="1" applyFill="1" applyBorder="1" applyAlignment="1" applyProtection="1">
      <alignment horizontal="center"/>
      <protection locked="0"/>
    </xf>
    <xf numFmtId="0" fontId="9" fillId="75" borderId="109" xfId="0" applyFont="1" applyFill="1" applyBorder="1" applyAlignment="1" applyProtection="1">
      <alignment horizontal="center"/>
      <protection locked="0"/>
    </xf>
    <xf numFmtId="0" fontId="50" fillId="75" borderId="124" xfId="0" applyFont="1" applyFill="1" applyBorder="1" applyAlignment="1" applyProtection="1">
      <alignment horizontal="center"/>
      <protection locked="0"/>
    </xf>
    <xf numFmtId="0" fontId="50" fillId="75" borderId="110" xfId="0" applyFont="1" applyFill="1" applyBorder="1" applyAlignment="1" applyProtection="1">
      <alignment horizontal="center"/>
      <protection locked="0"/>
    </xf>
    <xf numFmtId="0" fontId="9" fillId="75" borderId="113" xfId="0" applyFont="1" applyFill="1" applyBorder="1" applyAlignment="1" applyProtection="1">
      <alignment horizontal="center"/>
      <protection locked="0"/>
    </xf>
    <xf numFmtId="0" fontId="9" fillId="75" borderId="116" xfId="0" applyFont="1" applyFill="1" applyBorder="1" applyAlignment="1" applyProtection="1">
      <alignment horizontal="center"/>
      <protection locked="0"/>
    </xf>
    <xf numFmtId="0" fontId="52" fillId="48" borderId="122" xfId="0" applyFont="1" applyFill="1" applyBorder="1" applyAlignment="1" applyProtection="1">
      <alignment horizontal="center"/>
      <protection locked="0"/>
    </xf>
    <xf numFmtId="0" fontId="52" fillId="48" borderId="108" xfId="0" applyFont="1" applyFill="1" applyBorder="1" applyAlignment="1" applyProtection="1">
      <alignment horizontal="center"/>
      <protection locked="0"/>
    </xf>
    <xf numFmtId="0" fontId="9" fillId="48" borderId="111" xfId="0" applyFont="1" applyFill="1" applyBorder="1" applyAlignment="1" applyProtection="1">
      <alignment horizontal="center"/>
      <protection locked="0"/>
    </xf>
    <xf numFmtId="0" fontId="9" fillId="48" borderId="114" xfId="0" applyFont="1" applyFill="1" applyBorder="1" applyAlignment="1" applyProtection="1">
      <alignment horizontal="center"/>
      <protection locked="0"/>
    </xf>
    <xf numFmtId="0" fontId="52" fillId="48" borderId="123" xfId="0" applyFont="1" applyFill="1" applyBorder="1" applyAlignment="1" applyProtection="1">
      <alignment horizontal="center"/>
      <protection locked="0"/>
    </xf>
    <xf numFmtId="0" fontId="52" fillId="48" borderId="109" xfId="0" applyFont="1" applyFill="1" applyBorder="1" applyAlignment="1" applyProtection="1">
      <alignment horizontal="center"/>
      <protection locked="0"/>
    </xf>
    <xf numFmtId="0" fontId="9" fillId="48" borderId="112" xfId="0" applyFont="1" applyFill="1" applyBorder="1" applyAlignment="1" applyProtection="1">
      <alignment horizontal="center"/>
      <protection locked="0"/>
    </xf>
    <xf numFmtId="0" fontId="9" fillId="48" borderId="115" xfId="0" applyFont="1" applyFill="1" applyBorder="1" applyAlignment="1" applyProtection="1">
      <alignment horizontal="center"/>
      <protection locked="0"/>
    </xf>
    <xf numFmtId="0" fontId="9" fillId="48" borderId="123" xfId="0" applyFont="1" applyFill="1" applyBorder="1" applyAlignment="1" applyProtection="1">
      <alignment horizontal="center"/>
      <protection locked="0"/>
    </xf>
    <xf numFmtId="0" fontId="9" fillId="48" borderId="109" xfId="0" applyFont="1" applyFill="1" applyBorder="1" applyAlignment="1" applyProtection="1">
      <alignment horizontal="center"/>
      <protection locked="0"/>
    </xf>
    <xf numFmtId="0" fontId="52" fillId="48" borderId="124" xfId="0" applyFont="1" applyFill="1" applyBorder="1" applyAlignment="1" applyProtection="1">
      <alignment horizontal="center"/>
      <protection locked="0"/>
    </xf>
    <xf numFmtId="0" fontId="52" fillId="48" borderId="110" xfId="0" applyFont="1" applyFill="1" applyBorder="1" applyAlignment="1" applyProtection="1">
      <alignment horizontal="center"/>
      <protection locked="0"/>
    </xf>
    <xf numFmtId="0" fontId="9" fillId="48" borderId="113" xfId="0" applyFont="1" applyFill="1" applyBorder="1" applyAlignment="1" applyProtection="1">
      <alignment horizontal="center"/>
      <protection locked="0"/>
    </xf>
    <xf numFmtId="0" fontId="9" fillId="48" borderId="116" xfId="0" applyFont="1" applyFill="1" applyBorder="1" applyAlignment="1" applyProtection="1">
      <alignment horizontal="center"/>
      <protection locked="0"/>
    </xf>
    <xf numFmtId="0" fontId="62" fillId="56" borderId="108" xfId="0" applyFont="1" applyFill="1" applyBorder="1" applyAlignment="1" applyProtection="1">
      <alignment horizontal="center"/>
      <protection locked="0"/>
    </xf>
    <xf numFmtId="0" fontId="9" fillId="56" borderId="111" xfId="0" applyFont="1" applyFill="1" applyBorder="1" applyAlignment="1" applyProtection="1">
      <alignment horizontal="center"/>
      <protection locked="0"/>
    </xf>
    <xf numFmtId="0" fontId="9" fillId="56" borderId="109" xfId="0" applyFont="1" applyFill="1" applyBorder="1" applyAlignment="1" applyProtection="1">
      <alignment horizontal="center"/>
      <protection locked="0"/>
    </xf>
    <xf numFmtId="0" fontId="9" fillId="56" borderId="112" xfId="0" applyFont="1" applyFill="1" applyBorder="1" applyAlignment="1" applyProtection="1">
      <alignment horizontal="center"/>
      <protection locked="0"/>
    </xf>
    <xf numFmtId="0" fontId="62" fillId="56" borderId="110" xfId="0" applyFont="1" applyFill="1" applyBorder="1" applyAlignment="1" applyProtection="1">
      <alignment horizontal="center"/>
      <protection locked="0"/>
    </xf>
    <xf numFmtId="0" fontId="9" fillId="56" borderId="113" xfId="0" applyFont="1" applyFill="1" applyBorder="1" applyAlignment="1" applyProtection="1">
      <alignment horizontal="center"/>
      <protection locked="0"/>
    </xf>
    <xf numFmtId="0" fontId="61" fillId="60" borderId="108" xfId="0" applyFont="1" applyFill="1" applyBorder="1" applyAlignment="1" applyProtection="1">
      <alignment horizontal="center"/>
      <protection locked="0"/>
    </xf>
    <xf numFmtId="0" fontId="9" fillId="60" borderId="111" xfId="0" applyFont="1" applyFill="1" applyBorder="1" applyAlignment="1" applyProtection="1">
      <alignment horizontal="center"/>
      <protection locked="0"/>
    </xf>
    <xf numFmtId="0" fontId="9" fillId="60" borderId="114" xfId="0" applyFont="1" applyFill="1" applyBorder="1" applyAlignment="1" applyProtection="1">
      <alignment horizontal="center"/>
      <protection locked="0"/>
    </xf>
    <xf numFmtId="0" fontId="61" fillId="60" borderId="109" xfId="0" applyFont="1" applyFill="1" applyBorder="1" applyAlignment="1" applyProtection="1">
      <alignment horizontal="center"/>
      <protection locked="0"/>
    </xf>
    <xf numFmtId="0" fontId="9" fillId="60" borderId="112" xfId="0" applyFont="1" applyFill="1" applyBorder="1" applyAlignment="1" applyProtection="1">
      <alignment horizontal="center"/>
      <protection locked="0"/>
    </xf>
    <xf numFmtId="0" fontId="9" fillId="60" borderId="115" xfId="0" applyFont="1" applyFill="1" applyBorder="1" applyAlignment="1" applyProtection="1">
      <alignment horizontal="center"/>
      <protection locked="0"/>
    </xf>
    <xf numFmtId="0" fontId="9" fillId="60" borderId="109" xfId="0" applyFont="1" applyFill="1" applyBorder="1" applyAlignment="1" applyProtection="1">
      <alignment horizontal="center"/>
      <protection locked="0"/>
    </xf>
    <xf numFmtId="0" fontId="61" fillId="60" borderId="110" xfId="0" applyFont="1" applyFill="1" applyBorder="1" applyAlignment="1" applyProtection="1">
      <alignment horizontal="center"/>
      <protection locked="0"/>
    </xf>
    <xf numFmtId="0" fontId="9" fillId="60" borderId="113" xfId="0" applyFont="1" applyFill="1" applyBorder="1" applyAlignment="1" applyProtection="1">
      <alignment horizontal="center"/>
      <protection locked="0"/>
    </xf>
    <xf numFmtId="0" fontId="9" fillId="60" borderId="116" xfId="0" applyFont="1" applyFill="1" applyBorder="1" applyAlignment="1" applyProtection="1">
      <alignment horizontal="center"/>
      <protection locked="0"/>
    </xf>
    <xf numFmtId="0" fontId="60" fillId="46" borderId="108" xfId="0" applyFont="1" applyFill="1" applyBorder="1" applyAlignment="1" applyProtection="1">
      <alignment horizontal="center"/>
      <protection locked="0"/>
    </xf>
    <xf numFmtId="0" fontId="9" fillId="46" borderId="111" xfId="0" applyFont="1" applyFill="1" applyBorder="1" applyAlignment="1" applyProtection="1">
      <alignment horizontal="center"/>
      <protection locked="0"/>
    </xf>
    <xf numFmtId="0" fontId="9" fillId="46" borderId="114" xfId="0" applyFont="1" applyFill="1" applyBorder="1" applyAlignment="1" applyProtection="1">
      <alignment horizontal="center"/>
      <protection locked="0"/>
    </xf>
    <xf numFmtId="0" fontId="60" fillId="46" borderId="109" xfId="0" applyFont="1" applyFill="1" applyBorder="1" applyAlignment="1" applyProtection="1">
      <alignment horizontal="center"/>
      <protection locked="0"/>
    </xf>
    <xf numFmtId="0" fontId="9" fillId="46" borderId="112" xfId="0" applyFont="1" applyFill="1" applyBorder="1" applyAlignment="1" applyProtection="1">
      <alignment horizontal="center"/>
      <protection locked="0"/>
    </xf>
    <xf numFmtId="0" fontId="9" fillId="46" borderId="115" xfId="0" applyFont="1" applyFill="1" applyBorder="1" applyAlignment="1" applyProtection="1">
      <alignment horizontal="center"/>
      <protection locked="0"/>
    </xf>
    <xf numFmtId="0" fontId="9" fillId="46" borderId="109" xfId="0" applyFont="1" applyFill="1" applyBorder="1" applyAlignment="1" applyProtection="1">
      <alignment horizontal="center"/>
      <protection locked="0"/>
    </xf>
    <xf numFmtId="0" fontId="60" fillId="46" borderId="110" xfId="0" applyFont="1" applyFill="1" applyBorder="1" applyAlignment="1" applyProtection="1">
      <alignment horizontal="center"/>
      <protection locked="0"/>
    </xf>
    <xf numFmtId="0" fontId="9" fillId="46" borderId="113" xfId="0" applyFont="1" applyFill="1" applyBorder="1" applyAlignment="1" applyProtection="1">
      <alignment horizontal="center"/>
      <protection locked="0"/>
    </xf>
    <xf numFmtId="0" fontId="9" fillId="46" borderId="116" xfId="0" applyFont="1" applyFill="1" applyBorder="1" applyAlignment="1" applyProtection="1">
      <alignment horizontal="center"/>
      <protection locked="0"/>
    </xf>
    <xf numFmtId="0" fontId="81" fillId="77" borderId="122" xfId="0" applyFont="1" applyFill="1" applyBorder="1" applyAlignment="1" applyProtection="1">
      <alignment horizontal="center"/>
      <protection locked="0"/>
    </xf>
    <xf numFmtId="0" fontId="81" fillId="77" borderId="108" xfId="0" applyFont="1" applyFill="1" applyBorder="1" applyAlignment="1" applyProtection="1">
      <alignment horizontal="center"/>
      <protection locked="0"/>
    </xf>
    <xf numFmtId="0" fontId="9" fillId="77" borderId="111" xfId="0" applyFont="1" applyFill="1" applyBorder="1" applyAlignment="1" applyProtection="1">
      <alignment horizontal="center"/>
      <protection locked="0"/>
    </xf>
    <xf numFmtId="0" fontId="9" fillId="77" borderId="123" xfId="0" applyFont="1" applyFill="1" applyBorder="1" applyAlignment="1" applyProtection="1">
      <alignment horizontal="center"/>
      <protection locked="0"/>
    </xf>
    <xf numFmtId="0" fontId="9" fillId="77" borderId="109" xfId="0" applyFont="1" applyFill="1" applyBorder="1" applyAlignment="1" applyProtection="1">
      <alignment horizontal="center"/>
      <protection locked="0"/>
    </xf>
    <xf numFmtId="0" fontId="9" fillId="77" borderId="112" xfId="0" applyFont="1" applyFill="1" applyBorder="1" applyAlignment="1" applyProtection="1">
      <alignment horizontal="center"/>
      <protection locked="0"/>
    </xf>
    <xf numFmtId="0" fontId="81" fillId="77" borderId="124" xfId="0" applyFont="1" applyFill="1" applyBorder="1" applyAlignment="1" applyProtection="1">
      <alignment horizontal="center"/>
      <protection locked="0"/>
    </xf>
    <xf numFmtId="0" fontId="81" fillId="77" borderId="110" xfId="0" applyFont="1" applyFill="1" applyBorder="1" applyAlignment="1" applyProtection="1">
      <alignment horizontal="center"/>
      <protection locked="0"/>
    </xf>
    <xf numFmtId="0" fontId="9" fillId="77" borderId="113" xfId="0" applyFont="1" applyFill="1" applyBorder="1" applyAlignment="1" applyProtection="1">
      <alignment horizontal="center"/>
      <protection locked="0"/>
    </xf>
    <xf numFmtId="0" fontId="82" fillId="76" borderId="122" xfId="0" applyFont="1" applyFill="1" applyBorder="1" applyAlignment="1" applyProtection="1">
      <alignment horizontal="center"/>
      <protection locked="0"/>
    </xf>
    <xf numFmtId="0" fontId="82" fillId="76" borderId="108" xfId="0" applyFont="1" applyFill="1" applyBorder="1" applyAlignment="1" applyProtection="1">
      <alignment horizontal="center"/>
      <protection locked="0"/>
    </xf>
    <xf numFmtId="0" fontId="9" fillId="76" borderId="111" xfId="0" applyFont="1" applyFill="1" applyBorder="1" applyAlignment="1" applyProtection="1">
      <alignment horizontal="center"/>
      <protection locked="0"/>
    </xf>
    <xf numFmtId="0" fontId="9" fillId="76" borderId="114" xfId="0" applyFont="1" applyFill="1" applyBorder="1" applyAlignment="1" applyProtection="1">
      <alignment horizontal="center"/>
      <protection locked="0"/>
    </xf>
    <xf numFmtId="0" fontId="82" fillId="76" borderId="123" xfId="0" applyFont="1" applyFill="1" applyBorder="1" applyAlignment="1" applyProtection="1">
      <alignment horizontal="center"/>
      <protection locked="0"/>
    </xf>
    <xf numFmtId="0" fontId="82" fillId="76" borderId="109" xfId="0" applyFont="1" applyFill="1" applyBorder="1" applyAlignment="1" applyProtection="1">
      <alignment horizontal="center"/>
      <protection locked="0"/>
    </xf>
    <xf numFmtId="0" fontId="9" fillId="76" borderId="112" xfId="0" applyFont="1" applyFill="1" applyBorder="1" applyAlignment="1" applyProtection="1">
      <alignment horizontal="center"/>
      <protection locked="0"/>
    </xf>
    <xf numFmtId="0" fontId="9" fillId="76" borderId="115" xfId="0" applyFont="1" applyFill="1" applyBorder="1" applyAlignment="1" applyProtection="1">
      <alignment horizontal="center"/>
      <protection locked="0"/>
    </xf>
    <xf numFmtId="0" fontId="9" fillId="76" borderId="123" xfId="0" applyFont="1" applyFill="1" applyBorder="1" applyAlignment="1" applyProtection="1">
      <alignment horizontal="center"/>
      <protection locked="0"/>
    </xf>
    <xf numFmtId="0" fontId="9" fillId="76" borderId="109" xfId="0" applyFont="1" applyFill="1" applyBorder="1" applyAlignment="1" applyProtection="1">
      <alignment horizontal="center"/>
      <protection locked="0"/>
    </xf>
    <xf numFmtId="0" fontId="82" fillId="76" borderId="124" xfId="0" applyFont="1" applyFill="1" applyBorder="1" applyAlignment="1" applyProtection="1">
      <alignment horizontal="center"/>
      <protection locked="0"/>
    </xf>
    <xf numFmtId="0" fontId="82" fillId="76" borderId="110" xfId="0" applyFont="1" applyFill="1" applyBorder="1" applyAlignment="1" applyProtection="1">
      <alignment horizontal="center"/>
      <protection locked="0"/>
    </xf>
    <xf numFmtId="0" fontId="9" fillId="76" borderId="113" xfId="0" applyFont="1" applyFill="1" applyBorder="1" applyAlignment="1" applyProtection="1">
      <alignment horizontal="center"/>
      <protection locked="0"/>
    </xf>
    <xf numFmtId="0" fontId="9" fillId="76" borderId="116" xfId="0" applyFont="1" applyFill="1" applyBorder="1" applyAlignment="1" applyProtection="1">
      <alignment horizontal="center"/>
      <protection locked="0"/>
    </xf>
    <xf numFmtId="0" fontId="83" fillId="45" borderId="122" xfId="0" applyFont="1" applyFill="1" applyBorder="1" applyAlignment="1" applyProtection="1">
      <alignment horizontal="center"/>
      <protection locked="0"/>
    </xf>
    <xf numFmtId="0" fontId="83" fillId="45" borderId="108" xfId="0" applyFont="1" applyFill="1" applyBorder="1" applyAlignment="1" applyProtection="1">
      <alignment horizontal="center"/>
      <protection locked="0"/>
    </xf>
    <xf numFmtId="0" fontId="9" fillId="45" borderId="111" xfId="0" applyFont="1" applyFill="1" applyBorder="1" applyAlignment="1" applyProtection="1">
      <alignment horizontal="center"/>
      <protection locked="0"/>
    </xf>
    <xf numFmtId="0" fontId="9" fillId="45" borderId="114" xfId="0" applyFont="1" applyFill="1" applyBorder="1" applyAlignment="1" applyProtection="1">
      <alignment horizontal="center"/>
      <protection locked="0"/>
    </xf>
    <xf numFmtId="0" fontId="83" fillId="45" borderId="123" xfId="0" applyFont="1" applyFill="1" applyBorder="1" applyAlignment="1" applyProtection="1">
      <alignment horizontal="center"/>
      <protection locked="0"/>
    </xf>
    <xf numFmtId="0" fontId="83" fillId="45" borderId="109" xfId="0" applyFont="1" applyFill="1" applyBorder="1" applyAlignment="1" applyProtection="1">
      <alignment horizontal="center"/>
      <protection locked="0"/>
    </xf>
    <xf numFmtId="0" fontId="9" fillId="45" borderId="112" xfId="0" applyFont="1" applyFill="1" applyBorder="1" applyAlignment="1" applyProtection="1">
      <alignment horizontal="center"/>
      <protection locked="0"/>
    </xf>
    <xf numFmtId="0" fontId="9" fillId="45" borderId="115" xfId="0" applyFont="1" applyFill="1" applyBorder="1" applyAlignment="1" applyProtection="1">
      <alignment horizontal="center"/>
      <protection locked="0"/>
    </xf>
    <xf numFmtId="0" fontId="9" fillId="45" borderId="123" xfId="0" applyFont="1" applyFill="1" applyBorder="1" applyAlignment="1" applyProtection="1">
      <alignment horizontal="center"/>
      <protection locked="0"/>
    </xf>
    <xf numFmtId="0" fontId="9" fillId="45" borderId="109" xfId="0" applyFont="1" applyFill="1" applyBorder="1" applyAlignment="1" applyProtection="1">
      <alignment horizontal="center"/>
      <protection locked="0"/>
    </xf>
    <xf numFmtId="0" fontId="83" fillId="45" borderId="124" xfId="0" applyFont="1" applyFill="1" applyBorder="1" applyAlignment="1" applyProtection="1">
      <alignment horizontal="center"/>
      <protection locked="0"/>
    </xf>
    <xf numFmtId="0" fontId="83" fillId="45" borderId="110" xfId="0" applyFont="1" applyFill="1" applyBorder="1" applyAlignment="1" applyProtection="1">
      <alignment horizontal="center"/>
      <protection locked="0"/>
    </xf>
    <xf numFmtId="0" fontId="9" fillId="45" borderId="113" xfId="0" applyFont="1" applyFill="1" applyBorder="1" applyAlignment="1" applyProtection="1">
      <alignment horizontal="center"/>
      <protection locked="0"/>
    </xf>
    <xf numFmtId="0" fontId="9" fillId="45" borderId="116" xfId="0" applyFont="1" applyFill="1" applyBorder="1" applyAlignment="1" applyProtection="1">
      <alignment horizontal="center"/>
      <protection locked="0"/>
    </xf>
    <xf numFmtId="0" fontId="59" fillId="64" borderId="108" xfId="0" applyFont="1" applyFill="1" applyBorder="1" applyAlignment="1" applyProtection="1">
      <alignment horizontal="center"/>
      <protection locked="0"/>
    </xf>
    <xf numFmtId="0" fontId="9" fillId="64" borderId="111" xfId="0" applyFont="1" applyFill="1" applyBorder="1" applyAlignment="1" applyProtection="1">
      <alignment horizontal="center"/>
      <protection locked="0"/>
    </xf>
    <xf numFmtId="0" fontId="9" fillId="64" borderId="109" xfId="0" applyFont="1" applyFill="1" applyBorder="1" applyAlignment="1" applyProtection="1">
      <alignment horizontal="center"/>
      <protection locked="0"/>
    </xf>
    <xf numFmtId="0" fontId="9" fillId="64" borderId="112" xfId="0" applyFont="1" applyFill="1" applyBorder="1" applyAlignment="1" applyProtection="1">
      <alignment horizontal="center"/>
      <protection locked="0"/>
    </xf>
    <xf numFmtId="0" fontId="59" fillId="64" borderId="110" xfId="0" applyFont="1" applyFill="1" applyBorder="1" applyAlignment="1" applyProtection="1">
      <alignment horizontal="center"/>
      <protection locked="0"/>
    </xf>
    <xf numFmtId="0" fontId="9" fillId="64" borderId="113" xfId="0" applyFont="1" applyFill="1" applyBorder="1" applyAlignment="1" applyProtection="1">
      <alignment horizontal="center"/>
      <protection locked="0"/>
    </xf>
    <xf numFmtId="0" fontId="57" fillId="61" borderId="108" xfId="0" applyFont="1" applyFill="1" applyBorder="1" applyAlignment="1" applyProtection="1">
      <alignment horizontal="center"/>
      <protection locked="0"/>
    </xf>
    <xf numFmtId="0" fontId="9" fillId="61" borderId="111" xfId="0" applyFont="1" applyFill="1" applyBorder="1" applyAlignment="1" applyProtection="1">
      <alignment horizontal="center"/>
      <protection locked="0"/>
    </xf>
    <xf numFmtId="0" fontId="9" fillId="61" borderId="114" xfId="0" applyFont="1" applyFill="1" applyBorder="1" applyAlignment="1" applyProtection="1">
      <alignment horizontal="center"/>
      <protection locked="0"/>
    </xf>
    <xf numFmtId="0" fontId="57" fillId="61" borderId="109" xfId="0" applyFont="1" applyFill="1" applyBorder="1" applyAlignment="1" applyProtection="1">
      <alignment horizontal="center"/>
      <protection locked="0"/>
    </xf>
    <xf numFmtId="0" fontId="9" fillId="61" borderId="112" xfId="0" applyFont="1" applyFill="1" applyBorder="1" applyAlignment="1" applyProtection="1">
      <alignment horizontal="center"/>
      <protection locked="0"/>
    </xf>
    <xf numFmtId="0" fontId="9" fillId="61" borderId="115" xfId="0" applyFont="1" applyFill="1" applyBorder="1" applyAlignment="1" applyProtection="1">
      <alignment horizontal="center"/>
      <protection locked="0"/>
    </xf>
    <xf numFmtId="0" fontId="9" fillId="61" borderId="109" xfId="0" applyFont="1" applyFill="1" applyBorder="1" applyAlignment="1" applyProtection="1">
      <alignment horizontal="center"/>
      <protection locked="0"/>
    </xf>
    <xf numFmtId="0" fontId="57" fillId="61" borderId="110" xfId="0" applyFont="1" applyFill="1" applyBorder="1" applyAlignment="1" applyProtection="1">
      <alignment horizontal="center"/>
      <protection locked="0"/>
    </xf>
    <xf numFmtId="0" fontId="9" fillId="61" borderId="113" xfId="0" applyFont="1" applyFill="1" applyBorder="1" applyAlignment="1" applyProtection="1">
      <alignment horizontal="center"/>
      <protection locked="0"/>
    </xf>
    <xf numFmtId="0" fontId="9" fillId="61" borderId="116" xfId="0" applyFont="1" applyFill="1" applyBorder="1" applyAlignment="1" applyProtection="1">
      <alignment horizontal="center"/>
      <protection locked="0"/>
    </xf>
    <xf numFmtId="0" fontId="56" fillId="54" borderId="108" xfId="0" applyFont="1" applyFill="1" applyBorder="1" applyAlignment="1" applyProtection="1">
      <alignment horizontal="center"/>
      <protection locked="0"/>
    </xf>
    <xf numFmtId="0" fontId="9" fillId="54" borderId="111" xfId="0" applyFont="1" applyFill="1" applyBorder="1" applyAlignment="1" applyProtection="1">
      <alignment horizontal="center"/>
      <protection locked="0"/>
    </xf>
    <xf numFmtId="0" fontId="9" fillId="54" borderId="114" xfId="0" applyFont="1" applyFill="1" applyBorder="1" applyAlignment="1" applyProtection="1">
      <alignment horizontal="center"/>
      <protection locked="0"/>
    </xf>
    <xf numFmtId="0" fontId="56" fillId="54" borderId="109" xfId="0" applyFont="1" applyFill="1" applyBorder="1" applyAlignment="1" applyProtection="1">
      <alignment horizontal="center"/>
      <protection locked="0"/>
    </xf>
    <xf numFmtId="0" fontId="9" fillId="54" borderId="1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9" fillId="54" borderId="109" xfId="0" applyFont="1" applyFill="1" applyBorder="1" applyAlignment="1" applyProtection="1">
      <alignment horizontal="center"/>
      <protection locked="0"/>
    </xf>
    <xf numFmtId="0" fontId="56" fillId="54" borderId="110" xfId="0" applyFont="1" applyFill="1" applyBorder="1" applyAlignment="1" applyProtection="1">
      <alignment horizontal="center"/>
      <protection locked="0"/>
    </xf>
    <xf numFmtId="0" fontId="9" fillId="54" borderId="113"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84" fillId="78" borderId="122" xfId="0" applyFont="1" applyFill="1" applyBorder="1" applyAlignment="1" applyProtection="1">
      <alignment horizontal="center"/>
      <protection locked="0"/>
    </xf>
    <xf numFmtId="0" fontId="84" fillId="78" borderId="108" xfId="0" applyFont="1" applyFill="1" applyBorder="1" applyAlignment="1" applyProtection="1">
      <alignment horizontal="center"/>
      <protection locked="0"/>
    </xf>
    <xf numFmtId="0" fontId="9" fillId="78" borderId="111" xfId="0" applyFont="1" applyFill="1" applyBorder="1" applyAlignment="1" applyProtection="1">
      <alignment horizontal="center"/>
      <protection locked="0"/>
    </xf>
    <xf numFmtId="0" fontId="9" fillId="78" borderId="117" xfId="0" applyFont="1" applyFill="1" applyBorder="1" applyAlignment="1" applyProtection="1">
      <alignment horizontal="center"/>
      <protection locked="0"/>
    </xf>
    <xf numFmtId="0" fontId="9" fillId="43" borderId="81" xfId="0" applyFont="1" applyFill="1" applyBorder="1" applyAlignment="1" applyProtection="1">
      <alignment horizontal="center"/>
      <protection locked="0"/>
    </xf>
    <xf numFmtId="0" fontId="9" fillId="43" borderId="94" xfId="0" applyFont="1" applyFill="1" applyBorder="1" applyAlignment="1" applyProtection="1">
      <alignment horizontal="center"/>
      <protection locked="0"/>
    </xf>
    <xf numFmtId="0" fontId="9" fillId="78" borderId="123" xfId="0" applyFont="1" applyFill="1" applyBorder="1" applyAlignment="1" applyProtection="1">
      <alignment horizontal="center"/>
      <protection locked="0"/>
    </xf>
    <xf numFmtId="0" fontId="9" fillId="78" borderId="109" xfId="0" applyFont="1" applyFill="1" applyBorder="1" applyAlignment="1" applyProtection="1">
      <alignment horizontal="center"/>
      <protection locked="0"/>
    </xf>
    <xf numFmtId="0" fontId="9" fillId="78" borderId="112" xfId="0" applyFont="1" applyFill="1" applyBorder="1" applyAlignment="1" applyProtection="1">
      <alignment horizontal="center"/>
      <protection locked="0"/>
    </xf>
    <xf numFmtId="0" fontId="9" fillId="78" borderId="118" xfId="0" applyFont="1" applyFill="1" applyBorder="1" applyAlignment="1" applyProtection="1">
      <alignment horizontal="center"/>
      <protection locked="0"/>
    </xf>
    <xf numFmtId="0" fontId="9" fillId="43" borderId="82" xfId="0" applyFont="1" applyFill="1" applyBorder="1" applyAlignment="1" applyProtection="1">
      <alignment horizontal="center"/>
      <protection locked="0"/>
    </xf>
    <xf numFmtId="0" fontId="9" fillId="43" borderId="93" xfId="0" applyFont="1" applyFill="1" applyBorder="1" applyAlignment="1" applyProtection="1">
      <alignment horizontal="center"/>
      <protection locked="0"/>
    </xf>
    <xf numFmtId="0" fontId="84" fillId="78" borderId="124" xfId="0" applyFont="1" applyFill="1" applyBorder="1" applyAlignment="1" applyProtection="1">
      <alignment horizontal="center"/>
      <protection locked="0"/>
    </xf>
    <xf numFmtId="0" fontId="84" fillId="78" borderId="110" xfId="0" applyFont="1" applyFill="1" applyBorder="1" applyAlignment="1" applyProtection="1">
      <alignment horizontal="center"/>
      <protection locked="0"/>
    </xf>
    <xf numFmtId="0" fontId="9" fillId="78" borderId="113" xfId="0" applyFont="1" applyFill="1" applyBorder="1" applyAlignment="1" applyProtection="1">
      <alignment horizontal="center"/>
      <protection locked="0"/>
    </xf>
    <xf numFmtId="0" fontId="9" fillId="78" borderId="119" xfId="0" applyFont="1" applyFill="1" applyBorder="1" applyAlignment="1" applyProtection="1">
      <alignment horizontal="center"/>
      <protection locked="0"/>
    </xf>
    <xf numFmtId="0" fontId="9" fillId="43" borderId="80" xfId="0" applyFont="1" applyFill="1" applyBorder="1" applyAlignment="1" applyProtection="1">
      <alignment horizontal="center"/>
      <protection locked="0"/>
    </xf>
    <xf numFmtId="0" fontId="9" fillId="43" borderId="76" xfId="0" applyFont="1" applyFill="1" applyBorder="1" applyAlignment="1" applyProtection="1">
      <alignment horizontal="center"/>
      <protection locked="0"/>
    </xf>
    <xf numFmtId="0" fontId="85" fillId="79" borderId="122" xfId="0" applyFont="1" applyFill="1" applyBorder="1" applyAlignment="1" applyProtection="1">
      <alignment horizontal="center"/>
      <protection locked="0"/>
    </xf>
    <xf numFmtId="0" fontId="85" fillId="79" borderId="108" xfId="0" applyFont="1" applyFill="1" applyBorder="1" applyAlignment="1" applyProtection="1">
      <alignment horizontal="center"/>
      <protection locked="0"/>
    </xf>
    <xf numFmtId="0" fontId="9" fillId="79" borderId="111" xfId="0" applyFont="1" applyFill="1" applyBorder="1" applyAlignment="1" applyProtection="1">
      <alignment horizontal="center"/>
      <protection locked="0"/>
    </xf>
    <xf numFmtId="0" fontId="9" fillId="79" borderId="117" xfId="0" applyFont="1" applyFill="1" applyBorder="1" applyAlignment="1" applyProtection="1">
      <alignment horizontal="center"/>
      <protection locked="0"/>
    </xf>
    <xf numFmtId="0" fontId="9" fillId="43" borderId="77" xfId="0" applyFont="1" applyFill="1" applyBorder="1" applyAlignment="1" applyProtection="1">
      <alignment horizontal="center"/>
      <protection locked="0"/>
    </xf>
    <xf numFmtId="0" fontId="85" fillId="79" borderId="123" xfId="0" applyFont="1" applyFill="1" applyBorder="1" applyAlignment="1" applyProtection="1">
      <alignment horizontal="center"/>
      <protection locked="0"/>
    </xf>
    <xf numFmtId="0" fontId="85" fillId="79" borderId="109" xfId="0" applyFont="1" applyFill="1" applyBorder="1" applyAlignment="1" applyProtection="1">
      <alignment horizontal="center"/>
      <protection locked="0"/>
    </xf>
    <xf numFmtId="0" fontId="9" fillId="79" borderId="112" xfId="0" applyFont="1" applyFill="1" applyBorder="1" applyAlignment="1" applyProtection="1">
      <alignment horizontal="center"/>
      <protection locked="0"/>
    </xf>
    <xf numFmtId="0" fontId="9" fillId="79" borderId="118" xfId="0" applyFont="1" applyFill="1" applyBorder="1" applyAlignment="1" applyProtection="1">
      <alignment horizontal="center"/>
      <protection locked="0"/>
    </xf>
    <xf numFmtId="0" fontId="9" fillId="43" borderId="78" xfId="0" applyFont="1" applyFill="1" applyBorder="1" applyAlignment="1" applyProtection="1">
      <alignment horizontal="center"/>
      <protection locked="0"/>
    </xf>
    <xf numFmtId="0" fontId="9" fillId="79" borderId="109" xfId="0" applyFont="1" applyFill="1" applyBorder="1" applyAlignment="1" applyProtection="1">
      <alignment horizontal="center"/>
      <protection locked="0"/>
    </xf>
    <xf numFmtId="0" fontId="85" fillId="79" borderId="121" xfId="0" applyFont="1" applyFill="1" applyBorder="1" applyAlignment="1" applyProtection="1">
      <alignment horizontal="center"/>
      <protection locked="0"/>
    </xf>
    <xf numFmtId="0" fontId="85" fillId="79" borderId="120" xfId="0" applyFont="1" applyFill="1" applyBorder="1" applyAlignment="1" applyProtection="1">
      <alignment horizontal="center"/>
      <protection locked="0"/>
    </xf>
    <xf numFmtId="0" fontId="9" fillId="79" borderId="123" xfId="0" applyFont="1" applyFill="1" applyBorder="1" applyAlignment="1" applyProtection="1">
      <alignment horizontal="center"/>
      <protection locked="0"/>
    </xf>
    <xf numFmtId="0" fontId="85" fillId="79" borderId="124" xfId="0" applyFont="1" applyFill="1" applyBorder="1" applyAlignment="1" applyProtection="1">
      <alignment horizontal="center"/>
      <protection locked="0"/>
    </xf>
    <xf numFmtId="0" fontId="85" fillId="79" borderId="110" xfId="0" applyFont="1" applyFill="1" applyBorder="1" applyAlignment="1" applyProtection="1">
      <alignment horizontal="center"/>
      <protection locked="0"/>
    </xf>
    <xf numFmtId="0" fontId="9" fillId="79" borderId="113" xfId="0" applyFont="1" applyFill="1" applyBorder="1" applyAlignment="1" applyProtection="1">
      <alignment horizontal="center"/>
      <protection locked="0"/>
    </xf>
    <xf numFmtId="0" fontId="9" fillId="79" borderId="119" xfId="0" applyFont="1" applyFill="1" applyBorder="1" applyAlignment="1" applyProtection="1">
      <alignment horizontal="center"/>
      <protection locked="0"/>
    </xf>
    <xf numFmtId="0" fontId="9" fillId="43" borderId="79" xfId="0" applyFont="1" applyFill="1" applyBorder="1" applyAlignment="1" applyProtection="1">
      <alignment horizontal="center"/>
      <protection locked="0"/>
    </xf>
    <xf numFmtId="0" fontId="87" fillId="80" borderId="122" xfId="0" applyFont="1" applyFill="1" applyBorder="1" applyAlignment="1" applyProtection="1">
      <alignment horizontal="center"/>
      <protection locked="0"/>
    </xf>
    <xf numFmtId="0" fontId="87" fillId="80" borderId="108" xfId="0" applyFont="1" applyFill="1" applyBorder="1" applyAlignment="1" applyProtection="1">
      <alignment horizontal="center"/>
      <protection locked="0"/>
    </xf>
    <xf numFmtId="0" fontId="9" fillId="80" borderId="111" xfId="0" applyFont="1" applyFill="1" applyBorder="1" applyAlignment="1" applyProtection="1">
      <alignment horizontal="center"/>
      <protection locked="0"/>
    </xf>
    <xf numFmtId="0" fontId="87" fillId="80" borderId="123" xfId="0" applyFont="1" applyFill="1" applyBorder="1" applyAlignment="1" applyProtection="1">
      <alignment horizontal="center"/>
      <protection locked="0"/>
    </xf>
    <xf numFmtId="0" fontId="87" fillId="80" borderId="109" xfId="0" applyFont="1" applyFill="1" applyBorder="1" applyAlignment="1" applyProtection="1">
      <alignment horizontal="center"/>
      <protection locked="0"/>
    </xf>
    <xf numFmtId="0" fontId="9" fillId="80" borderId="112" xfId="0" applyFont="1" applyFill="1" applyBorder="1" applyAlignment="1" applyProtection="1">
      <alignment horizontal="center"/>
      <protection locked="0"/>
    </xf>
    <xf numFmtId="0" fontId="9" fillId="80" borderId="109" xfId="0" applyFont="1" applyFill="1" applyBorder="1" applyAlignment="1" applyProtection="1">
      <alignment horizontal="center"/>
      <protection locked="0"/>
    </xf>
    <xf numFmtId="0" fontId="87" fillId="80" borderId="121" xfId="0" applyFont="1" applyFill="1" applyBorder="1" applyAlignment="1" applyProtection="1">
      <alignment horizontal="center"/>
      <protection locked="0"/>
    </xf>
    <xf numFmtId="0" fontId="87" fillId="80" borderId="120" xfId="0" applyFont="1" applyFill="1" applyBorder="1" applyAlignment="1" applyProtection="1">
      <alignment horizontal="center"/>
      <protection locked="0"/>
    </xf>
    <xf numFmtId="0" fontId="9" fillId="80" borderId="123" xfId="0" applyFont="1" applyFill="1" applyBorder="1" applyAlignment="1" applyProtection="1">
      <alignment horizontal="center"/>
      <protection locked="0"/>
    </xf>
    <xf numFmtId="0" fontId="87" fillId="80" borderId="124" xfId="0" applyFont="1" applyFill="1" applyBorder="1" applyAlignment="1" applyProtection="1">
      <alignment horizontal="center"/>
      <protection locked="0"/>
    </xf>
    <xf numFmtId="0" fontId="87" fillId="80" borderId="110" xfId="0" applyFont="1" applyFill="1" applyBorder="1" applyAlignment="1" applyProtection="1">
      <alignment horizontal="center"/>
      <protection locked="0"/>
    </xf>
    <xf numFmtId="0" fontId="9" fillId="80" borderId="113" xfId="0" applyFont="1" applyFill="1" applyBorder="1" applyAlignment="1" applyProtection="1">
      <alignment horizontal="center"/>
      <protection locked="0"/>
    </xf>
    <xf numFmtId="0" fontId="88" fillId="81" borderId="122" xfId="0" applyFont="1" applyFill="1" applyBorder="1" applyAlignment="1" applyProtection="1">
      <alignment horizontal="center"/>
      <protection locked="0"/>
    </xf>
    <xf numFmtId="0" fontId="88" fillId="81" borderId="108" xfId="0" applyFont="1" applyFill="1" applyBorder="1" applyAlignment="1" applyProtection="1">
      <alignment horizontal="center"/>
      <protection locked="0"/>
    </xf>
    <xf numFmtId="0" fontId="9" fillId="81" borderId="111" xfId="0" applyFont="1" applyFill="1" applyBorder="1" applyAlignment="1" applyProtection="1">
      <alignment horizontal="center"/>
      <protection locked="0"/>
    </xf>
    <xf numFmtId="0" fontId="9" fillId="43" borderId="88" xfId="0" applyFont="1" applyFill="1" applyBorder="1" applyAlignment="1" applyProtection="1">
      <alignment horizontal="center"/>
      <protection locked="0"/>
    </xf>
    <xf numFmtId="0" fontId="9" fillId="81" borderId="123" xfId="0" applyFont="1" applyFill="1" applyBorder="1" applyAlignment="1" applyProtection="1">
      <alignment horizontal="center"/>
      <protection locked="0"/>
    </xf>
    <xf numFmtId="0" fontId="9" fillId="81" borderId="109" xfId="0" applyFont="1" applyFill="1" applyBorder="1" applyAlignment="1" applyProtection="1">
      <alignment horizontal="center"/>
      <protection locked="0"/>
    </xf>
    <xf numFmtId="0" fontId="9" fillId="81" borderId="112" xfId="0" applyFont="1" applyFill="1" applyBorder="1" applyAlignment="1" applyProtection="1">
      <alignment horizontal="center"/>
      <protection locked="0"/>
    </xf>
    <xf numFmtId="0" fontId="9" fillId="43" borderId="90" xfId="0" applyFont="1" applyFill="1" applyBorder="1" applyAlignment="1" applyProtection="1">
      <alignment horizontal="center"/>
      <protection locked="0"/>
    </xf>
    <xf numFmtId="0" fontId="88" fillId="81" borderId="124" xfId="0" applyFont="1" applyFill="1" applyBorder="1" applyAlignment="1" applyProtection="1">
      <alignment horizontal="center"/>
      <protection locked="0"/>
    </xf>
    <xf numFmtId="0" fontId="88" fillId="81" borderId="110" xfId="0" applyFont="1" applyFill="1" applyBorder="1" applyAlignment="1" applyProtection="1">
      <alignment horizontal="center"/>
      <protection locked="0"/>
    </xf>
    <xf numFmtId="0" fontId="9" fillId="81" borderId="113" xfId="0" applyFont="1" applyFill="1" applyBorder="1" applyAlignment="1" applyProtection="1">
      <alignment horizontal="center"/>
      <protection locked="0"/>
    </xf>
    <xf numFmtId="0" fontId="9" fillId="43" borderId="92" xfId="0" applyFont="1" applyFill="1" applyBorder="1" applyAlignment="1" applyProtection="1">
      <alignment horizontal="center"/>
      <protection locked="0"/>
    </xf>
    <xf numFmtId="0" fontId="86" fillId="82" borderId="108" xfId="0" applyFont="1" applyFill="1" applyBorder="1" applyAlignment="1" applyProtection="1">
      <alignment horizontal="center"/>
      <protection locked="0"/>
    </xf>
    <xf numFmtId="0" fontId="9" fillId="82" borderId="111" xfId="0" applyFont="1" applyFill="1" applyBorder="1" applyAlignment="1" applyProtection="1">
      <alignment horizontal="center"/>
      <protection locked="0"/>
    </xf>
    <xf numFmtId="0" fontId="86" fillId="82" borderId="109" xfId="0" applyFont="1" applyFill="1" applyBorder="1" applyAlignment="1" applyProtection="1">
      <alignment horizontal="center"/>
      <protection locked="0"/>
    </xf>
    <xf numFmtId="0" fontId="9" fillId="82" borderId="112" xfId="0" applyFont="1" applyFill="1" applyBorder="1" applyAlignment="1" applyProtection="1">
      <alignment horizontal="center"/>
      <protection locked="0"/>
    </xf>
    <xf numFmtId="0" fontId="9" fillId="82" borderId="109" xfId="0" applyFont="1" applyFill="1" applyBorder="1" applyAlignment="1" applyProtection="1">
      <alignment horizontal="center"/>
      <protection locked="0"/>
    </xf>
    <xf numFmtId="0" fontId="86" fillId="82" borderId="121" xfId="0" applyFont="1" applyFill="1" applyBorder="1" applyAlignment="1" applyProtection="1">
      <alignment horizontal="center"/>
      <protection locked="0"/>
    </xf>
    <xf numFmtId="0" fontId="86" fillId="82" borderId="120" xfId="0" applyFont="1" applyFill="1" applyBorder="1" applyAlignment="1" applyProtection="1">
      <alignment horizontal="center"/>
      <protection locked="0"/>
    </xf>
    <xf numFmtId="0" fontId="86" fillId="82" borderId="110" xfId="0" applyFont="1" applyFill="1" applyBorder="1" applyAlignment="1" applyProtection="1">
      <alignment horizontal="center"/>
      <protection locked="0"/>
    </xf>
    <xf numFmtId="0" fontId="9" fillId="82" borderId="113" xfId="0" applyFont="1" applyFill="1" applyBorder="1" applyAlignment="1" applyProtection="1">
      <alignment horizontal="center"/>
      <protection locked="0"/>
    </xf>
    <xf numFmtId="0" fontId="60" fillId="46" borderId="122" xfId="0" applyFont="1" applyFill="1" applyBorder="1" applyAlignment="1" applyProtection="1">
      <alignment horizontal="center"/>
      <protection locked="0"/>
    </xf>
    <xf numFmtId="0" fontId="9" fillId="46" borderId="117" xfId="0" applyFont="1" applyFill="1" applyBorder="1" applyAlignment="1" applyProtection="1">
      <alignment horizontal="center"/>
      <protection locked="0"/>
    </xf>
    <xf numFmtId="0" fontId="9" fillId="46" borderId="123" xfId="0" applyFont="1" applyFill="1" applyBorder="1" applyAlignment="1" applyProtection="1">
      <alignment horizontal="center"/>
      <protection locked="0"/>
    </xf>
    <xf numFmtId="0" fontId="9" fillId="46" borderId="118" xfId="0" applyFont="1" applyFill="1" applyBorder="1" applyAlignment="1" applyProtection="1">
      <alignment horizontal="center"/>
      <protection locked="0"/>
    </xf>
    <xf numFmtId="0" fontId="60" fillId="46" borderId="124" xfId="0" applyFont="1" applyFill="1" applyBorder="1" applyAlignment="1" applyProtection="1">
      <alignment horizontal="center"/>
      <protection locked="0"/>
    </xf>
    <xf numFmtId="0" fontId="9" fillId="46" borderId="119" xfId="0" applyFont="1" applyFill="1" applyBorder="1" applyAlignment="1" applyProtection="1">
      <alignment horizontal="center"/>
      <protection locked="0"/>
    </xf>
    <xf numFmtId="0" fontId="101" fillId="88" borderId="122" xfId="0" applyFont="1" applyFill="1" applyBorder="1" applyAlignment="1" applyProtection="1">
      <alignment horizontal="center"/>
      <protection locked="0"/>
    </xf>
    <xf numFmtId="0" fontId="101" fillId="88" borderId="108" xfId="0" applyFont="1" applyFill="1" applyBorder="1" applyAlignment="1" applyProtection="1">
      <alignment horizontal="center"/>
      <protection locked="0"/>
    </xf>
    <xf numFmtId="0" fontId="9" fillId="88" borderId="111" xfId="0" applyFont="1" applyFill="1" applyBorder="1" applyAlignment="1" applyProtection="1">
      <alignment horizontal="center"/>
      <protection locked="0"/>
    </xf>
    <xf numFmtId="0" fontId="9" fillId="88" borderId="117" xfId="0" applyFont="1" applyFill="1" applyBorder="1" applyAlignment="1" applyProtection="1">
      <alignment horizontal="center"/>
      <protection locked="0"/>
    </xf>
    <xf numFmtId="0" fontId="101" fillId="88" borderId="123" xfId="0" applyFont="1" applyFill="1" applyBorder="1" applyAlignment="1" applyProtection="1">
      <alignment horizontal="center"/>
      <protection locked="0"/>
    </xf>
    <xf numFmtId="0" fontId="101" fillId="88" borderId="109" xfId="0" applyFont="1" applyFill="1" applyBorder="1" applyAlignment="1" applyProtection="1">
      <alignment horizontal="center"/>
      <protection locked="0"/>
    </xf>
    <xf numFmtId="0" fontId="9" fillId="88" borderId="112" xfId="0" applyFont="1" applyFill="1" applyBorder="1" applyAlignment="1" applyProtection="1">
      <alignment horizontal="center"/>
      <protection locked="0"/>
    </xf>
    <xf numFmtId="0" fontId="9" fillId="88" borderId="118" xfId="0" applyFont="1" applyFill="1" applyBorder="1" applyAlignment="1" applyProtection="1">
      <alignment horizontal="center"/>
      <protection locked="0"/>
    </xf>
    <xf numFmtId="0" fontId="9" fillId="88" borderId="109" xfId="0" applyFont="1" applyFill="1" applyBorder="1" applyAlignment="1" applyProtection="1">
      <alignment horizontal="center"/>
      <protection locked="0"/>
    </xf>
    <xf numFmtId="0" fontId="101" fillId="88" borderId="121" xfId="0" applyFont="1" applyFill="1" applyBorder="1" applyAlignment="1" applyProtection="1">
      <alignment horizontal="center"/>
      <protection locked="0"/>
    </xf>
    <xf numFmtId="0" fontId="101" fillId="88" borderId="120" xfId="0" applyFont="1" applyFill="1" applyBorder="1" applyAlignment="1" applyProtection="1">
      <alignment horizontal="center"/>
      <protection locked="0"/>
    </xf>
    <xf numFmtId="0" fontId="9" fillId="88" borderId="123" xfId="0" applyFont="1" applyFill="1" applyBorder="1" applyAlignment="1" applyProtection="1">
      <alignment horizontal="center"/>
      <protection locked="0"/>
    </xf>
    <xf numFmtId="0" fontId="101" fillId="88" borderId="124" xfId="0" applyFont="1" applyFill="1" applyBorder="1" applyAlignment="1" applyProtection="1">
      <alignment horizontal="center"/>
      <protection locked="0"/>
    </xf>
    <xf numFmtId="0" fontId="101" fillId="88" borderId="110" xfId="0" applyFont="1" applyFill="1" applyBorder="1" applyAlignment="1" applyProtection="1">
      <alignment horizontal="center"/>
      <protection locked="0"/>
    </xf>
    <xf numFmtId="0" fontId="9" fillId="88" borderId="113" xfId="0" applyFont="1" applyFill="1" applyBorder="1" applyAlignment="1" applyProtection="1">
      <alignment horizontal="center"/>
      <protection locked="0"/>
    </xf>
    <xf numFmtId="0" fontId="9" fillId="88" borderId="119" xfId="0" applyFont="1" applyFill="1" applyBorder="1" applyAlignment="1" applyProtection="1">
      <alignment horizontal="center"/>
      <protection locked="0"/>
    </xf>
    <xf numFmtId="0" fontId="102" fillId="89" borderId="122" xfId="0" applyFont="1" applyFill="1" applyBorder="1" applyAlignment="1" applyProtection="1">
      <alignment horizontal="center"/>
      <protection locked="0"/>
    </xf>
    <xf numFmtId="0" fontId="102" fillId="89" borderId="108" xfId="0" applyFont="1" applyFill="1" applyBorder="1" applyAlignment="1" applyProtection="1">
      <alignment horizontal="center"/>
      <protection locked="0"/>
    </xf>
    <xf numFmtId="0" fontId="9" fillId="89" borderId="111" xfId="0" applyFont="1" applyFill="1" applyBorder="1" applyAlignment="1" applyProtection="1">
      <alignment horizontal="center"/>
      <protection locked="0"/>
    </xf>
    <xf numFmtId="0" fontId="102" fillId="89" borderId="123" xfId="0" applyFont="1" applyFill="1" applyBorder="1" applyAlignment="1" applyProtection="1">
      <alignment horizontal="center"/>
      <protection locked="0"/>
    </xf>
    <xf numFmtId="0" fontId="102" fillId="89" borderId="109" xfId="0" applyFont="1" applyFill="1" applyBorder="1" applyAlignment="1" applyProtection="1">
      <alignment horizontal="center"/>
      <protection locked="0"/>
    </xf>
    <xf numFmtId="0" fontId="9" fillId="89" borderId="112" xfId="0" applyFont="1" applyFill="1" applyBorder="1" applyAlignment="1" applyProtection="1">
      <alignment horizontal="center"/>
      <protection locked="0"/>
    </xf>
    <xf numFmtId="0" fontId="9" fillId="89" borderId="109" xfId="0" applyFont="1" applyFill="1" applyBorder="1" applyAlignment="1" applyProtection="1">
      <alignment horizontal="center"/>
      <protection locked="0"/>
    </xf>
    <xf numFmtId="0" fontId="102" fillId="89" borderId="121" xfId="0" applyFont="1" applyFill="1" applyBorder="1" applyAlignment="1" applyProtection="1">
      <alignment horizontal="center"/>
      <protection locked="0"/>
    </xf>
    <xf numFmtId="0" fontId="102" fillId="89" borderId="120" xfId="0" applyFont="1" applyFill="1" applyBorder="1" applyAlignment="1" applyProtection="1">
      <alignment horizontal="center"/>
      <protection locked="0"/>
    </xf>
    <xf numFmtId="0" fontId="9" fillId="89" borderId="123" xfId="0" applyFont="1" applyFill="1" applyBorder="1" applyAlignment="1" applyProtection="1">
      <alignment horizontal="center"/>
      <protection locked="0"/>
    </xf>
    <xf numFmtId="0" fontId="102" fillId="89" borderId="124" xfId="0" applyFont="1" applyFill="1" applyBorder="1" applyAlignment="1" applyProtection="1">
      <alignment horizontal="center"/>
      <protection locked="0"/>
    </xf>
    <xf numFmtId="0" fontId="102" fillId="89" borderId="110" xfId="0" applyFont="1" applyFill="1" applyBorder="1" applyAlignment="1" applyProtection="1">
      <alignment horizontal="center"/>
      <protection locked="0"/>
    </xf>
    <xf numFmtId="0" fontId="9" fillId="89" borderId="113" xfId="0" applyFont="1" applyFill="1" applyBorder="1" applyAlignment="1" applyProtection="1">
      <alignment horizontal="center"/>
      <protection locked="0"/>
    </xf>
    <xf numFmtId="0" fontId="62" fillId="56" borderId="122" xfId="0" applyFont="1" applyFill="1" applyBorder="1" applyAlignment="1" applyProtection="1">
      <alignment horizontal="center"/>
      <protection locked="0"/>
    </xf>
    <xf numFmtId="0" fontId="9" fillId="56" borderId="123" xfId="0" applyFont="1" applyFill="1" applyBorder="1" applyAlignment="1" applyProtection="1">
      <alignment horizontal="center"/>
      <protection locked="0"/>
    </xf>
    <xf numFmtId="0" fontId="62" fillId="56" borderId="124" xfId="0" applyFont="1" applyFill="1" applyBorder="1" applyAlignment="1" applyProtection="1">
      <alignment horizontal="center"/>
      <protection locked="0"/>
    </xf>
    <xf numFmtId="0" fontId="103" fillId="85" borderId="108" xfId="0" applyFont="1" applyFill="1" applyBorder="1" applyAlignment="1" applyProtection="1">
      <alignment horizontal="center"/>
      <protection locked="0"/>
    </xf>
    <xf numFmtId="0" fontId="9" fillId="85" borderId="111" xfId="0" applyFont="1" applyFill="1" applyBorder="1" applyAlignment="1" applyProtection="1">
      <alignment horizontal="center"/>
      <protection locked="0"/>
    </xf>
    <xf numFmtId="0" fontId="103" fillId="85" borderId="109" xfId="0" applyFont="1" applyFill="1" applyBorder="1" applyAlignment="1" applyProtection="1">
      <alignment horizontal="center"/>
      <protection locked="0"/>
    </xf>
    <xf numFmtId="0" fontId="9" fillId="85" borderId="112" xfId="0" applyFont="1" applyFill="1" applyBorder="1" applyAlignment="1" applyProtection="1">
      <alignment horizontal="center"/>
      <protection locked="0"/>
    </xf>
    <xf numFmtId="0" fontId="9" fillId="85" borderId="109" xfId="0" applyFont="1" applyFill="1" applyBorder="1" applyAlignment="1" applyProtection="1">
      <alignment horizontal="center"/>
      <protection locked="0"/>
    </xf>
    <xf numFmtId="0" fontId="103" fillId="85" borderId="121" xfId="0" applyFont="1" applyFill="1" applyBorder="1" applyAlignment="1" applyProtection="1">
      <alignment horizontal="center"/>
      <protection locked="0"/>
    </xf>
    <xf numFmtId="0" fontId="103" fillId="85" borderId="120" xfId="0" applyFont="1" applyFill="1" applyBorder="1" applyAlignment="1" applyProtection="1">
      <alignment horizontal="center"/>
      <protection locked="0"/>
    </xf>
    <xf numFmtId="0" fontId="103" fillId="85" borderId="110" xfId="0" applyFont="1" applyFill="1" applyBorder="1" applyAlignment="1" applyProtection="1">
      <alignment horizontal="center"/>
      <protection locked="0"/>
    </xf>
    <xf numFmtId="0" fontId="9" fillId="85" borderId="113" xfId="0" applyFont="1" applyFill="1" applyBorder="1" applyAlignment="1" applyProtection="1">
      <alignment horizontal="center"/>
      <protection locked="0"/>
    </xf>
    <xf numFmtId="0" fontId="9" fillId="45" borderId="117" xfId="0" applyFont="1" applyFill="1" applyBorder="1" applyAlignment="1" applyProtection="1">
      <alignment horizontal="center"/>
      <protection locked="0"/>
    </xf>
    <xf numFmtId="0" fontId="9" fillId="45" borderId="118" xfId="0" applyFont="1" applyFill="1" applyBorder="1" applyAlignment="1" applyProtection="1">
      <alignment horizontal="center"/>
      <protection locked="0"/>
    </xf>
    <xf numFmtId="0" fontId="9" fillId="45" borderId="119" xfId="0" applyFont="1" applyFill="1" applyBorder="1" applyAlignment="1" applyProtection="1">
      <alignment horizontal="center"/>
      <protection locked="0"/>
    </xf>
    <xf numFmtId="0" fontId="104" fillId="90" borderId="122" xfId="0" applyFont="1" applyFill="1" applyBorder="1" applyAlignment="1" applyProtection="1">
      <alignment horizontal="center"/>
      <protection locked="0"/>
    </xf>
    <xf numFmtId="0" fontId="104" fillId="90" borderId="108" xfId="0" applyFont="1" applyFill="1" applyBorder="1" applyAlignment="1" applyProtection="1">
      <alignment horizontal="center"/>
      <protection locked="0"/>
    </xf>
    <xf numFmtId="0" fontId="9" fillId="90" borderId="111" xfId="0" applyFont="1" applyFill="1" applyBorder="1" applyAlignment="1" applyProtection="1">
      <alignment horizontal="center"/>
      <protection locked="0"/>
    </xf>
    <xf numFmtId="0" fontId="9" fillId="90" borderId="117" xfId="0" applyFont="1" applyFill="1" applyBorder="1" applyAlignment="1" applyProtection="1">
      <alignment horizontal="center"/>
      <protection locked="0"/>
    </xf>
    <xf numFmtId="0" fontId="104" fillId="90" borderId="123" xfId="0" applyFont="1" applyFill="1" applyBorder="1" applyAlignment="1" applyProtection="1">
      <alignment horizontal="center"/>
      <protection locked="0"/>
    </xf>
    <xf numFmtId="0" fontId="104" fillId="90" borderId="109" xfId="0" applyFont="1" applyFill="1" applyBorder="1" applyAlignment="1" applyProtection="1">
      <alignment horizontal="center"/>
      <protection locked="0"/>
    </xf>
    <xf numFmtId="0" fontId="9" fillId="90" borderId="112" xfId="0" applyFont="1" applyFill="1" applyBorder="1" applyAlignment="1" applyProtection="1">
      <alignment horizontal="center"/>
      <protection locked="0"/>
    </xf>
    <xf numFmtId="0" fontId="9" fillId="90" borderId="118" xfId="0" applyFont="1" applyFill="1" applyBorder="1" applyAlignment="1" applyProtection="1">
      <alignment horizontal="center"/>
      <protection locked="0"/>
    </xf>
    <xf numFmtId="0" fontId="9" fillId="90" borderId="109" xfId="0" applyFont="1" applyFill="1" applyBorder="1" applyAlignment="1" applyProtection="1">
      <alignment horizontal="center"/>
      <protection locked="0"/>
    </xf>
    <xf numFmtId="0" fontId="104" fillId="90" borderId="121" xfId="0" applyFont="1" applyFill="1" applyBorder="1" applyAlignment="1" applyProtection="1">
      <alignment horizontal="center"/>
      <protection locked="0"/>
    </xf>
    <xf numFmtId="0" fontId="104" fillId="90" borderId="120" xfId="0" applyFont="1" applyFill="1" applyBorder="1" applyAlignment="1" applyProtection="1">
      <alignment horizontal="center"/>
      <protection locked="0"/>
    </xf>
    <xf numFmtId="0" fontId="9" fillId="90" borderId="123" xfId="0" applyFont="1" applyFill="1" applyBorder="1" applyAlignment="1" applyProtection="1">
      <alignment horizontal="center"/>
      <protection locked="0"/>
    </xf>
    <xf numFmtId="0" fontId="104" fillId="90" borderId="124" xfId="0" applyFont="1" applyFill="1" applyBorder="1" applyAlignment="1" applyProtection="1">
      <alignment horizontal="center"/>
      <protection locked="0"/>
    </xf>
    <xf numFmtId="0" fontId="104" fillId="90" borderId="110" xfId="0" applyFont="1" applyFill="1" applyBorder="1" applyAlignment="1" applyProtection="1">
      <alignment horizontal="center"/>
      <protection locked="0"/>
    </xf>
    <xf numFmtId="0" fontId="9" fillId="90" borderId="113" xfId="0" applyFont="1" applyFill="1" applyBorder="1" applyAlignment="1" applyProtection="1">
      <alignment horizontal="center"/>
      <protection locked="0"/>
    </xf>
    <xf numFmtId="0" fontId="9" fillId="90" borderId="119" xfId="0" applyFont="1" applyFill="1" applyBorder="1" applyAlignment="1" applyProtection="1">
      <alignment horizontal="center"/>
      <protection locked="0"/>
    </xf>
    <xf numFmtId="0" fontId="82" fillId="76" borderId="121" xfId="0" applyFont="1" applyFill="1" applyBorder="1" applyAlignment="1" applyProtection="1">
      <alignment horizontal="center"/>
      <protection locked="0"/>
    </xf>
    <xf numFmtId="0" fontId="82" fillId="76" borderId="120" xfId="0" applyFont="1" applyFill="1" applyBorder="1" applyAlignment="1" applyProtection="1">
      <alignment horizontal="center"/>
      <protection locked="0"/>
    </xf>
    <xf numFmtId="0" fontId="105" fillId="87" borderId="108" xfId="0" applyFont="1" applyFill="1" applyBorder="1" applyAlignment="1" applyProtection="1">
      <alignment horizontal="center"/>
      <protection locked="0"/>
    </xf>
    <xf numFmtId="0" fontId="9" fillId="87" borderId="111" xfId="0" applyFont="1" applyFill="1" applyBorder="1" applyAlignment="1" applyProtection="1">
      <alignment horizontal="center"/>
      <protection locked="0"/>
    </xf>
    <xf numFmtId="0" fontId="105" fillId="87" borderId="109" xfId="0" applyFont="1" applyFill="1" applyBorder="1" applyAlignment="1" applyProtection="1">
      <alignment horizontal="center"/>
      <protection locked="0"/>
    </xf>
    <xf numFmtId="0" fontId="9" fillId="87" borderId="112" xfId="0" applyFont="1" applyFill="1" applyBorder="1" applyAlignment="1" applyProtection="1">
      <alignment horizontal="center"/>
      <protection locked="0"/>
    </xf>
    <xf numFmtId="0" fontId="9" fillId="87" borderId="109" xfId="0" applyFont="1" applyFill="1" applyBorder="1" applyAlignment="1" applyProtection="1">
      <alignment horizontal="center"/>
      <protection locked="0"/>
    </xf>
    <xf numFmtId="0" fontId="105" fillId="87" borderId="121" xfId="0" applyFont="1" applyFill="1" applyBorder="1" applyAlignment="1" applyProtection="1">
      <alignment horizontal="center"/>
      <protection locked="0"/>
    </xf>
    <xf numFmtId="0" fontId="105" fillId="87" borderId="120" xfId="0" applyFont="1" applyFill="1" applyBorder="1" applyAlignment="1" applyProtection="1">
      <alignment horizontal="center"/>
      <protection locked="0"/>
    </xf>
    <xf numFmtId="0" fontId="105" fillId="87" borderId="110" xfId="0" applyFont="1" applyFill="1" applyBorder="1" applyAlignment="1" applyProtection="1">
      <alignment horizontal="center"/>
      <protection locked="0"/>
    </xf>
    <xf numFmtId="0" fontId="9" fillId="87" borderId="113" xfId="0" applyFont="1" applyFill="1" applyBorder="1" applyAlignment="1" applyProtection="1">
      <alignment horizontal="center"/>
      <protection locked="0"/>
    </xf>
    <xf numFmtId="0" fontId="56" fillId="54" borderId="122" xfId="0" applyFont="1" applyFill="1" applyBorder="1" applyAlignment="1" applyProtection="1">
      <alignment horizontal="center"/>
      <protection locked="0"/>
    </xf>
    <xf numFmtId="0" fontId="9" fillId="54" borderId="117" xfId="0" applyFont="1" applyFill="1" applyBorder="1" applyAlignment="1" applyProtection="1">
      <alignment horizontal="center"/>
      <protection locked="0"/>
    </xf>
    <xf numFmtId="0" fontId="9" fillId="54" borderId="123" xfId="0" applyFont="1" applyFill="1" applyBorder="1" applyAlignment="1" applyProtection="1">
      <alignment horizontal="center"/>
      <protection locked="0"/>
    </xf>
    <xf numFmtId="0" fontId="9" fillId="54" borderId="118" xfId="0" applyFont="1" applyFill="1" applyBorder="1" applyAlignment="1" applyProtection="1">
      <alignment horizontal="center"/>
      <protection locked="0"/>
    </xf>
    <xf numFmtId="0" fontId="56" fillId="54" borderId="124" xfId="0" applyFont="1" applyFill="1" applyBorder="1" applyAlignment="1" applyProtection="1">
      <alignment horizontal="center"/>
      <protection locked="0"/>
    </xf>
    <xf numFmtId="0" fontId="9" fillId="54" borderId="119" xfId="0" applyFont="1" applyFill="1" applyBorder="1" applyAlignment="1" applyProtection="1">
      <alignment horizontal="center"/>
      <protection locked="0"/>
    </xf>
    <xf numFmtId="0" fontId="89" fillId="83" borderId="122" xfId="0" applyFont="1" applyFill="1" applyBorder="1" applyAlignment="1" applyProtection="1">
      <alignment horizontal="center"/>
      <protection locked="0"/>
    </xf>
    <xf numFmtId="0" fontId="89" fillId="83" borderId="108" xfId="0" applyFont="1" applyFill="1" applyBorder="1" applyAlignment="1" applyProtection="1">
      <alignment horizontal="center"/>
      <protection locked="0"/>
    </xf>
    <xf numFmtId="0" fontId="9" fillId="83" borderId="111" xfId="0" applyFont="1" applyFill="1" applyBorder="1" applyAlignment="1" applyProtection="1">
      <alignment horizontal="center"/>
      <protection locked="0"/>
    </xf>
    <xf numFmtId="0" fontId="9" fillId="83" borderId="117" xfId="0" applyFont="1" applyFill="1" applyBorder="1" applyAlignment="1" applyProtection="1">
      <alignment horizontal="center"/>
      <protection locked="0"/>
    </xf>
    <xf numFmtId="0" fontId="89" fillId="83" borderId="123" xfId="0" applyFont="1" applyFill="1" applyBorder="1" applyAlignment="1" applyProtection="1">
      <alignment horizontal="center"/>
      <protection locked="0"/>
    </xf>
    <xf numFmtId="0" fontId="89" fillId="83" borderId="109" xfId="0" applyFont="1" applyFill="1" applyBorder="1" applyAlignment="1" applyProtection="1">
      <alignment horizontal="center"/>
      <protection locked="0"/>
    </xf>
    <xf numFmtId="0" fontId="9" fillId="83" borderId="112" xfId="0" applyFont="1" applyFill="1" applyBorder="1" applyAlignment="1" applyProtection="1">
      <alignment horizontal="center"/>
      <protection locked="0"/>
    </xf>
    <xf numFmtId="0" fontId="9" fillId="83" borderId="118" xfId="0" applyFont="1" applyFill="1" applyBorder="1" applyAlignment="1" applyProtection="1">
      <alignment horizontal="center"/>
      <protection locked="0"/>
    </xf>
    <xf numFmtId="0" fontId="9" fillId="83" borderId="109" xfId="0" applyFont="1" applyFill="1" applyBorder="1" applyAlignment="1" applyProtection="1">
      <alignment horizontal="center"/>
      <protection locked="0"/>
    </xf>
    <xf numFmtId="0" fontId="89" fillId="83" borderId="121" xfId="0" applyFont="1" applyFill="1" applyBorder="1" applyAlignment="1" applyProtection="1">
      <alignment horizontal="center"/>
      <protection locked="0"/>
    </xf>
    <xf numFmtId="0" fontId="89" fillId="83" borderId="120" xfId="0" applyFont="1" applyFill="1" applyBorder="1" applyAlignment="1" applyProtection="1">
      <alignment horizontal="center"/>
      <protection locked="0"/>
    </xf>
    <xf numFmtId="0" fontId="9" fillId="83" borderId="123" xfId="0" applyFont="1" applyFill="1" applyBorder="1" applyAlignment="1" applyProtection="1">
      <alignment horizontal="center"/>
      <protection locked="0"/>
    </xf>
    <xf numFmtId="0" fontId="89" fillId="83" borderId="124" xfId="0" applyFont="1" applyFill="1" applyBorder="1" applyAlignment="1" applyProtection="1">
      <alignment horizontal="center"/>
      <protection locked="0"/>
    </xf>
    <xf numFmtId="0" fontId="89" fillId="83" borderId="110" xfId="0" applyFont="1" applyFill="1" applyBorder="1" applyAlignment="1" applyProtection="1">
      <alignment horizontal="center"/>
      <protection locked="0"/>
    </xf>
    <xf numFmtId="0" fontId="9" fillId="83" borderId="113" xfId="0" applyFont="1" applyFill="1" applyBorder="1" applyAlignment="1" applyProtection="1">
      <alignment horizontal="center"/>
      <protection locked="0"/>
    </xf>
    <xf numFmtId="0" fontId="9" fillId="83" borderId="119" xfId="0" applyFont="1" applyFill="1" applyBorder="1" applyAlignment="1" applyProtection="1">
      <alignment horizontal="center"/>
      <protection locked="0"/>
    </xf>
    <xf numFmtId="0" fontId="57" fillId="61" borderId="122" xfId="0" applyFont="1" applyFill="1" applyBorder="1" applyAlignment="1" applyProtection="1">
      <alignment horizontal="center"/>
      <protection locked="0"/>
    </xf>
    <xf numFmtId="0" fontId="57" fillId="61" borderId="123" xfId="0" applyFont="1" applyFill="1" applyBorder="1" applyAlignment="1" applyProtection="1">
      <alignment horizontal="center"/>
      <protection locked="0"/>
    </xf>
    <xf numFmtId="0" fontId="57" fillId="61" borderId="121" xfId="0" applyFont="1" applyFill="1" applyBorder="1" applyAlignment="1" applyProtection="1">
      <alignment horizontal="center"/>
      <protection locked="0"/>
    </xf>
    <xf numFmtId="0" fontId="57" fillId="61" borderId="120" xfId="0" applyFont="1" applyFill="1" applyBorder="1" applyAlignment="1" applyProtection="1">
      <alignment horizontal="center"/>
      <protection locked="0"/>
    </xf>
    <xf numFmtId="0" fontId="9" fillId="61" borderId="123" xfId="0" applyFont="1" applyFill="1" applyBorder="1" applyAlignment="1" applyProtection="1">
      <alignment horizontal="center"/>
      <protection locked="0"/>
    </xf>
    <xf numFmtId="0" fontId="57" fillId="61" borderId="124" xfId="0" applyFont="1" applyFill="1" applyBorder="1" applyAlignment="1" applyProtection="1">
      <alignment horizontal="center"/>
      <protection locked="0"/>
    </xf>
    <xf numFmtId="0" fontId="59" fillId="64" borderId="122" xfId="0" applyFont="1" applyFill="1" applyBorder="1" applyAlignment="1" applyProtection="1">
      <alignment horizontal="center"/>
      <protection locked="0"/>
    </xf>
    <xf numFmtId="0" fontId="9" fillId="64" borderId="123" xfId="0" applyFont="1" applyFill="1" applyBorder="1" applyAlignment="1" applyProtection="1">
      <alignment horizontal="center"/>
      <protection locked="0"/>
    </xf>
    <xf numFmtId="0" fontId="59" fillId="64" borderId="124" xfId="0" applyFont="1" applyFill="1" applyBorder="1" applyAlignment="1" applyProtection="1">
      <alignment horizontal="center"/>
      <protection locked="0"/>
    </xf>
    <xf numFmtId="0" fontId="106" fillId="86" borderId="108" xfId="0" applyFont="1" applyFill="1" applyBorder="1" applyAlignment="1" applyProtection="1">
      <alignment horizontal="center"/>
      <protection locked="0"/>
    </xf>
    <xf numFmtId="0" fontId="9" fillId="86" borderId="111" xfId="0" applyFont="1" applyFill="1" applyBorder="1" applyAlignment="1" applyProtection="1">
      <alignment horizontal="center"/>
      <protection locked="0"/>
    </xf>
    <xf numFmtId="0" fontId="106" fillId="86" borderId="109" xfId="0" applyFont="1" applyFill="1" applyBorder="1" applyAlignment="1" applyProtection="1">
      <alignment horizontal="center"/>
      <protection locked="0"/>
    </xf>
    <xf numFmtId="0" fontId="9" fillId="86" borderId="112" xfId="0" applyFont="1" applyFill="1" applyBorder="1" applyAlignment="1" applyProtection="1">
      <alignment horizontal="center"/>
      <protection locked="0"/>
    </xf>
    <xf numFmtId="0" fontId="9" fillId="86" borderId="109" xfId="0" applyFont="1" applyFill="1" applyBorder="1" applyAlignment="1" applyProtection="1">
      <alignment horizontal="center"/>
      <protection locked="0"/>
    </xf>
    <xf numFmtId="0" fontId="106" fillId="86" borderId="121" xfId="0" applyFont="1" applyFill="1" applyBorder="1" applyAlignment="1" applyProtection="1">
      <alignment horizontal="center"/>
      <protection locked="0"/>
    </xf>
    <xf numFmtId="0" fontId="106" fillId="86" borderId="120" xfId="0" applyFont="1" applyFill="1" applyBorder="1" applyAlignment="1" applyProtection="1">
      <alignment horizontal="center"/>
      <protection locked="0"/>
    </xf>
    <xf numFmtId="0" fontId="106" fillId="86" borderId="110" xfId="0" applyFont="1" applyFill="1" applyBorder="1" applyAlignment="1" applyProtection="1">
      <alignment horizontal="center"/>
      <protection locked="0"/>
    </xf>
    <xf numFmtId="0" fontId="9" fillId="86" borderId="113" xfId="0" applyFont="1" applyFill="1" applyBorder="1" applyAlignment="1" applyProtection="1">
      <alignment horizontal="center"/>
      <protection locked="0"/>
    </xf>
    <xf numFmtId="0" fontId="56" fillId="54" borderId="177" xfId="0" applyFont="1" applyFill="1" applyBorder="1" applyAlignment="1" applyProtection="1">
      <alignment horizontal="center"/>
      <protection locked="0"/>
    </xf>
    <xf numFmtId="0" fontId="9" fillId="54" borderId="178" xfId="0" applyFont="1" applyFill="1" applyBorder="1" applyAlignment="1" applyProtection="1">
      <alignment horizontal="center"/>
      <protection locked="0"/>
    </xf>
    <xf numFmtId="0" fontId="56" fillId="54" borderId="179" xfId="0" applyFont="1" applyFill="1" applyBorder="1" applyAlignment="1" applyProtection="1">
      <alignment horizontal="center"/>
      <protection locked="0"/>
    </xf>
    <xf numFmtId="0" fontId="89" fillId="83" borderId="177" xfId="0" applyFont="1" applyFill="1" applyBorder="1" applyAlignment="1" applyProtection="1">
      <alignment horizontal="center"/>
      <protection locked="0"/>
    </xf>
    <xf numFmtId="0" fontId="89" fillId="83" borderId="178" xfId="0" applyFont="1" applyFill="1" applyBorder="1" applyAlignment="1" applyProtection="1">
      <alignment horizontal="center"/>
      <protection locked="0"/>
    </xf>
    <xf numFmtId="0" fontId="9" fillId="83" borderId="178" xfId="0" applyFont="1" applyFill="1" applyBorder="1" applyAlignment="1" applyProtection="1">
      <alignment horizontal="center"/>
      <protection locked="0"/>
    </xf>
    <xf numFmtId="0" fontId="89" fillId="83" borderId="179" xfId="0" applyFont="1" applyFill="1" applyBorder="1" applyAlignment="1" applyProtection="1">
      <alignment horizontal="center"/>
      <protection locked="0"/>
    </xf>
    <xf numFmtId="0" fontId="57" fillId="61" borderId="177" xfId="0" applyFont="1" applyFill="1" applyBorder="1" applyAlignment="1" applyProtection="1">
      <alignment horizontal="center"/>
      <protection locked="0"/>
    </xf>
    <xf numFmtId="0" fontId="57" fillId="61" borderId="178" xfId="0" applyFont="1" applyFill="1" applyBorder="1" applyAlignment="1" applyProtection="1">
      <alignment horizontal="center"/>
      <protection locked="0"/>
    </xf>
    <xf numFmtId="0" fontId="9" fillId="61" borderId="178" xfId="0" applyFont="1" applyFill="1" applyBorder="1" applyAlignment="1" applyProtection="1">
      <alignment horizontal="center"/>
      <protection locked="0"/>
    </xf>
    <xf numFmtId="0" fontId="57" fillId="61" borderId="179" xfId="0" applyFont="1" applyFill="1" applyBorder="1" applyAlignment="1" applyProtection="1">
      <alignment horizontal="center"/>
      <protection locked="0"/>
    </xf>
    <xf numFmtId="0" fontId="59" fillId="64" borderId="177" xfId="0" applyFont="1" applyFill="1" applyBorder="1" applyAlignment="1" applyProtection="1">
      <alignment horizontal="center"/>
      <protection locked="0"/>
    </xf>
    <xf numFmtId="0" fontId="9" fillId="64" borderId="178" xfId="0" applyFont="1" applyFill="1" applyBorder="1" applyAlignment="1" applyProtection="1">
      <alignment horizontal="center"/>
      <protection locked="0"/>
    </xf>
    <xf numFmtId="0" fontId="59" fillId="64" borderId="179" xfId="0" applyFont="1" applyFill="1" applyBorder="1" applyAlignment="1" applyProtection="1">
      <alignment horizontal="center"/>
      <protection locked="0"/>
    </xf>
    <xf numFmtId="0" fontId="106" fillId="86" borderId="177" xfId="0" applyFont="1" applyFill="1" applyBorder="1" applyAlignment="1" applyProtection="1">
      <alignment horizontal="center"/>
      <protection locked="0"/>
    </xf>
    <xf numFmtId="0" fontId="106" fillId="86" borderId="178" xfId="0" applyFont="1" applyFill="1" applyBorder="1" applyAlignment="1" applyProtection="1">
      <alignment horizontal="center"/>
      <protection locked="0"/>
    </xf>
    <xf numFmtId="0" fontId="9" fillId="86" borderId="178" xfId="0" applyFont="1" applyFill="1" applyBorder="1" applyAlignment="1" applyProtection="1">
      <alignment horizontal="center"/>
      <protection locked="0"/>
    </xf>
    <xf numFmtId="0" fontId="106" fillId="86" borderId="179" xfId="0" applyFont="1" applyFill="1" applyBorder="1" applyAlignment="1" applyProtection="1">
      <alignment horizontal="center"/>
      <protection locked="0"/>
    </xf>
    <xf numFmtId="0" fontId="0" fillId="50" borderId="39" xfId="0" applyFill="1" applyBorder="1"/>
    <xf numFmtId="0" fontId="0" fillId="50" borderId="19" xfId="0" applyFill="1" applyBorder="1"/>
    <xf numFmtId="0" fontId="42" fillId="50" borderId="19" xfId="0" applyFont="1" applyFill="1" applyBorder="1"/>
    <xf numFmtId="0" fontId="0" fillId="50" borderId="20" xfId="0" applyFill="1" applyBorder="1"/>
    <xf numFmtId="0" fontId="0" fillId="50" borderId="30" xfId="0" applyFill="1" applyBorder="1"/>
    <xf numFmtId="0" fontId="42" fillId="50" borderId="0" xfId="0" applyFont="1" applyFill="1"/>
    <xf numFmtId="0" fontId="0" fillId="50" borderId="21" xfId="0" applyFill="1" applyBorder="1"/>
    <xf numFmtId="0" fontId="0" fillId="48" borderId="244" xfId="0" applyFill="1" applyBorder="1" applyAlignment="1">
      <alignment horizontal="right"/>
    </xf>
    <xf numFmtId="0" fontId="40" fillId="50" borderId="0" xfId="0" applyFont="1" applyFill="1" applyAlignment="1">
      <alignment horizontal="center" wrapText="1"/>
    </xf>
    <xf numFmtId="0" fontId="76" fillId="50" borderId="0" xfId="0" applyFont="1" applyFill="1" applyAlignment="1">
      <alignment horizontal="center"/>
    </xf>
    <xf numFmtId="0" fontId="40" fillId="50" borderId="53" xfId="0" applyFont="1" applyFill="1" applyBorder="1" applyAlignment="1">
      <alignment horizontal="center" wrapText="1"/>
    </xf>
    <xf numFmtId="0" fontId="76" fillId="50" borderId="13" xfId="0" applyFont="1" applyFill="1" applyBorder="1" applyAlignment="1">
      <alignment horizontal="center"/>
    </xf>
    <xf numFmtId="0" fontId="0" fillId="50" borderId="22" xfId="0" applyFill="1" applyBorder="1"/>
    <xf numFmtId="0" fontId="0" fillId="44" borderId="244" xfId="0" applyFill="1" applyBorder="1" applyAlignment="1" applyProtection="1">
      <alignment horizontal="center"/>
      <protection locked="0"/>
    </xf>
    <xf numFmtId="0" fontId="0" fillId="44" borderId="0" xfId="0" applyFill="1" applyProtection="1">
      <protection locked="0"/>
    </xf>
    <xf numFmtId="0" fontId="72" fillId="44" borderId="102" xfId="0" applyFont="1" applyFill="1" applyBorder="1" applyAlignment="1" applyProtection="1">
      <alignment horizontal="center" vertical="center"/>
      <protection locked="0"/>
    </xf>
    <xf numFmtId="0" fontId="72" fillId="44" borderId="103" xfId="0" applyFont="1" applyFill="1" applyBorder="1" applyAlignment="1" applyProtection="1">
      <alignment horizontal="center" vertical="center"/>
      <protection locked="0"/>
    </xf>
    <xf numFmtId="0" fontId="72" fillId="44" borderId="104" xfId="0" applyFont="1" applyFill="1" applyBorder="1" applyAlignment="1" applyProtection="1">
      <alignment horizontal="center" vertical="center"/>
      <protection locked="0"/>
    </xf>
    <xf numFmtId="164" fontId="0" fillId="44" borderId="0" xfId="0" applyNumberFormat="1" applyFill="1" applyAlignment="1">
      <alignment horizontal="center" vertical="center"/>
    </xf>
    <xf numFmtId="0" fontId="7" fillId="49" borderId="63" xfId="0" applyFont="1" applyFill="1" applyBorder="1" applyAlignment="1">
      <alignment horizontal="center" vertical="center" wrapText="1"/>
    </xf>
    <xf numFmtId="0" fontId="7" fillId="49" borderId="231" xfId="0" applyFont="1" applyFill="1" applyBorder="1" applyAlignment="1">
      <alignment horizontal="center" vertical="center" wrapText="1"/>
    </xf>
    <xf numFmtId="0" fontId="7" fillId="49" borderId="64" xfId="0" applyFont="1" applyFill="1" applyBorder="1" applyAlignment="1">
      <alignment horizontal="center" vertical="center" wrapText="1"/>
    </xf>
    <xf numFmtId="164" fontId="7" fillId="49" borderId="65" xfId="0" applyNumberFormat="1" applyFont="1" applyFill="1" applyBorder="1" applyAlignment="1">
      <alignment horizontal="center" vertical="center" wrapText="1"/>
    </xf>
    <xf numFmtId="164" fontId="0" fillId="0" borderId="35" xfId="0" applyNumberFormat="1" applyBorder="1" applyAlignment="1" applyProtection="1">
      <alignment horizontal="center" vertical="center"/>
      <protection locked="0"/>
    </xf>
    <xf numFmtId="164" fontId="0" fillId="0" borderId="41" xfId="0" applyNumberFormat="1" applyBorder="1" applyAlignment="1" applyProtection="1">
      <alignment horizontal="center" vertical="center"/>
      <protection locked="0"/>
    </xf>
    <xf numFmtId="164" fontId="0" fillId="0" borderId="38" xfId="0" applyNumberFormat="1" applyBorder="1" applyAlignment="1" applyProtection="1">
      <alignment horizontal="center" vertical="center"/>
      <protection locked="0"/>
    </xf>
    <xf numFmtId="164" fontId="0" fillId="0" borderId="31" xfId="0" applyNumberFormat="1" applyBorder="1" applyAlignment="1" applyProtection="1">
      <alignment horizontal="center" vertical="center"/>
      <protection locked="0"/>
    </xf>
    <xf numFmtId="0" fontId="40" fillId="122" borderId="0" xfId="0" applyFont="1" applyFill="1" applyAlignment="1">
      <alignment horizontal="center" wrapText="1"/>
    </xf>
    <xf numFmtId="0" fontId="27" fillId="50" borderId="0" xfId="42" applyFont="1" applyFill="1" applyAlignment="1">
      <alignment horizontal="left"/>
    </xf>
    <xf numFmtId="0" fontId="27" fillId="50" borderId="0" xfId="42" applyFont="1" applyFill="1" applyAlignment="1">
      <alignment horizontal="right"/>
    </xf>
    <xf numFmtId="0" fontId="7" fillId="67" borderId="0" xfId="0" applyFont="1" applyFill="1"/>
    <xf numFmtId="0" fontId="0" fillId="67" borderId="0" xfId="0" applyFill="1"/>
    <xf numFmtId="168" fontId="72" fillId="44" borderId="255" xfId="0" applyNumberFormat="1" applyFont="1" applyFill="1" applyBorder="1" applyAlignment="1" applyProtection="1">
      <alignment horizontal="center" vertical="center"/>
      <protection locked="0"/>
    </xf>
    <xf numFmtId="1" fontId="72" fillId="44" borderId="255" xfId="0" applyNumberFormat="1" applyFont="1" applyFill="1" applyBorder="1" applyAlignment="1" applyProtection="1">
      <alignment horizontal="center" vertical="center"/>
      <protection locked="0"/>
    </xf>
    <xf numFmtId="1" fontId="72" fillId="44" borderId="256" xfId="0" applyNumberFormat="1" applyFont="1" applyFill="1" applyBorder="1" applyAlignment="1" applyProtection="1">
      <alignment horizontal="center" vertical="center"/>
      <protection locked="0"/>
    </xf>
    <xf numFmtId="1" fontId="72" fillId="44" borderId="149" xfId="0" applyNumberFormat="1" applyFont="1" applyFill="1" applyBorder="1" applyAlignment="1" applyProtection="1">
      <alignment horizontal="center" vertical="center"/>
      <protection locked="0"/>
    </xf>
    <xf numFmtId="1" fontId="72" fillId="44" borderId="150" xfId="0" applyNumberFormat="1" applyFont="1" applyFill="1" applyBorder="1" applyAlignment="1" applyProtection="1">
      <alignment horizontal="center" vertical="center"/>
      <protection locked="0"/>
    </xf>
    <xf numFmtId="0" fontId="74" fillId="49" borderId="12" xfId="26" applyFont="1" applyFill="1" applyBorder="1" applyAlignment="1" applyProtection="1">
      <alignment horizontal="center" vertical="center" wrapText="1"/>
    </xf>
    <xf numFmtId="0" fontId="72" fillId="44" borderId="254" xfId="0" applyFont="1" applyFill="1" applyBorder="1" applyAlignment="1" applyProtection="1">
      <alignment horizontal="center" vertical="center"/>
      <protection locked="0"/>
    </xf>
    <xf numFmtId="0" fontId="36" fillId="46" borderId="12" xfId="0" applyFont="1" applyFill="1" applyBorder="1" applyAlignment="1">
      <alignment horizontal="center"/>
    </xf>
    <xf numFmtId="1" fontId="9" fillId="43" borderId="12" xfId="0" applyNumberFormat="1" applyFont="1" applyFill="1" applyBorder="1" applyAlignment="1">
      <alignment horizontal="center" vertical="top"/>
    </xf>
    <xf numFmtId="0" fontId="9" fillId="43" borderId="12" xfId="0" applyFont="1" applyFill="1" applyBorder="1" applyAlignment="1">
      <alignment horizontal="center" vertical="top"/>
    </xf>
    <xf numFmtId="0" fontId="0" fillId="48" borderId="12" xfId="0" applyFill="1" applyBorder="1"/>
    <xf numFmtId="2" fontId="5" fillId="43" borderId="12" xfId="0" applyNumberFormat="1" applyFont="1" applyFill="1" applyBorder="1"/>
    <xf numFmtId="168" fontId="5" fillId="50" borderId="0" xfId="0" applyNumberFormat="1" applyFont="1" applyFill="1" applyProtection="1">
      <protection locked="0"/>
    </xf>
    <xf numFmtId="168" fontId="5" fillId="44" borderId="0" xfId="0" applyNumberFormat="1" applyFont="1" applyFill="1" applyProtection="1">
      <protection locked="0"/>
    </xf>
    <xf numFmtId="168" fontId="0" fillId="50" borderId="0" xfId="0" applyNumberFormat="1" applyFill="1" applyProtection="1">
      <protection locked="0"/>
    </xf>
    <xf numFmtId="168" fontId="0" fillId="44" borderId="0" xfId="0" applyNumberFormat="1" applyFill="1" applyProtection="1">
      <protection locked="0"/>
    </xf>
    <xf numFmtId="0" fontId="0" fillId="44" borderId="246" xfId="0" applyFill="1" applyBorder="1"/>
    <xf numFmtId="0" fontId="0" fillId="44" borderId="247" xfId="0" applyFill="1" applyBorder="1"/>
    <xf numFmtId="0" fontId="0" fillId="44" borderId="248" xfId="0" applyFill="1" applyBorder="1"/>
    <xf numFmtId="0" fontId="5" fillId="48" borderId="89" xfId="0" applyFont="1" applyFill="1" applyBorder="1" applyAlignment="1" applyProtection="1">
      <alignment horizontal="center"/>
      <protection locked="0"/>
    </xf>
    <xf numFmtId="0" fontId="5" fillId="48" borderId="90" xfId="0" applyFont="1" applyFill="1" applyBorder="1" applyAlignment="1">
      <alignment horizontal="center"/>
    </xf>
    <xf numFmtId="0" fontId="5" fillId="48" borderId="90" xfId="0" applyFont="1" applyFill="1" applyBorder="1" applyAlignment="1" applyProtection="1">
      <alignment horizontal="center"/>
      <protection locked="0"/>
    </xf>
    <xf numFmtId="0" fontId="5" fillId="55" borderId="89" xfId="0" applyFont="1" applyFill="1" applyBorder="1" applyAlignment="1" applyProtection="1">
      <alignment horizontal="center"/>
      <protection locked="0"/>
    </xf>
    <xf numFmtId="0" fontId="5" fillId="55" borderId="90" xfId="0" applyFont="1" applyFill="1" applyBorder="1" applyAlignment="1">
      <alignment horizontal="center"/>
    </xf>
    <xf numFmtId="0" fontId="5" fillId="55" borderId="90" xfId="0" applyFont="1" applyFill="1" applyBorder="1" applyAlignment="1" applyProtection="1">
      <alignment horizontal="center"/>
      <protection locked="0"/>
    </xf>
    <xf numFmtId="0" fontId="5" fillId="57" borderId="90" xfId="0" applyFont="1" applyFill="1" applyBorder="1" applyAlignment="1" applyProtection="1">
      <alignment horizontal="center"/>
      <protection locked="0"/>
    </xf>
    <xf numFmtId="0" fontId="5" fillId="57" borderId="89" xfId="0" applyFont="1" applyFill="1" applyBorder="1" applyAlignment="1" applyProtection="1">
      <alignment horizontal="center"/>
      <protection locked="0"/>
    </xf>
    <xf numFmtId="0" fontId="5" fillId="57" borderId="90" xfId="0" applyFont="1" applyFill="1" applyBorder="1" applyAlignment="1">
      <alignment horizontal="center"/>
    </xf>
    <xf numFmtId="2" fontId="5" fillId="24" borderId="102" xfId="39" applyNumberFormat="1" applyFont="1" applyFill="1" applyBorder="1" applyAlignment="1" applyProtection="1">
      <alignment horizontal="center" vertical="center"/>
      <protection locked="0"/>
    </xf>
    <xf numFmtId="2" fontId="5" fillId="24" borderId="103" xfId="39" applyNumberFormat="1" applyFont="1" applyFill="1" applyBorder="1" applyAlignment="1" applyProtection="1">
      <alignment horizontal="center" vertical="center"/>
      <protection locked="0"/>
    </xf>
    <xf numFmtId="2" fontId="5" fillId="24" borderId="104" xfId="39" applyNumberFormat="1" applyFont="1" applyFill="1" applyBorder="1" applyAlignment="1" applyProtection="1">
      <alignment horizontal="center" vertical="center"/>
      <protection locked="0"/>
    </xf>
    <xf numFmtId="0" fontId="5" fillId="59" borderId="89" xfId="0" applyFont="1" applyFill="1" applyBorder="1" applyAlignment="1" applyProtection="1">
      <alignment horizontal="center"/>
      <protection locked="0"/>
    </xf>
    <xf numFmtId="0" fontId="5" fillId="59" borderId="90" xfId="0" applyFont="1" applyFill="1" applyBorder="1" applyAlignment="1">
      <alignment horizontal="center"/>
    </xf>
    <xf numFmtId="0" fontId="5" fillId="59" borderId="90" xfId="0" applyFont="1" applyFill="1" applyBorder="1" applyAlignment="1" applyProtection="1">
      <alignment horizontal="center"/>
      <protection locked="0"/>
    </xf>
    <xf numFmtId="0" fontId="53" fillId="62" borderId="88" xfId="0" applyFont="1" applyFill="1" applyBorder="1" applyAlignment="1">
      <alignment horizontal="center"/>
    </xf>
    <xf numFmtId="0" fontId="53" fillId="62" borderId="90" xfId="0" applyFont="1" applyFill="1" applyBorder="1" applyAlignment="1">
      <alignment horizontal="center"/>
    </xf>
    <xf numFmtId="0" fontId="5" fillId="62" borderId="89" xfId="0" applyFont="1" applyFill="1" applyBorder="1" applyAlignment="1" applyProtection="1">
      <alignment horizontal="center"/>
      <protection locked="0"/>
    </xf>
    <xf numFmtId="0" fontId="5" fillId="62" borderId="90" xfId="0" applyFont="1" applyFill="1" applyBorder="1" applyAlignment="1">
      <alignment horizontal="center"/>
    </xf>
    <xf numFmtId="0" fontId="5" fillId="62" borderId="90" xfId="0" applyFont="1" applyFill="1" applyBorder="1" applyAlignment="1" applyProtection="1">
      <alignment horizontal="center"/>
      <protection locked="0"/>
    </xf>
    <xf numFmtId="0" fontId="53" fillId="62" borderId="92" xfId="0" applyFont="1" applyFill="1" applyBorder="1" applyAlignment="1">
      <alignment horizontal="center"/>
    </xf>
    <xf numFmtId="0" fontId="82" fillId="63" borderId="90" xfId="0" applyFont="1" applyFill="1" applyBorder="1" applyAlignment="1">
      <alignment horizontal="center"/>
    </xf>
    <xf numFmtId="0" fontId="5" fillId="63" borderId="90" xfId="0" applyFont="1" applyFill="1" applyBorder="1" applyAlignment="1" applyProtection="1">
      <alignment horizontal="center"/>
      <protection locked="0"/>
    </xf>
    <xf numFmtId="0" fontId="5" fillId="63" borderId="89" xfId="0" applyFont="1" applyFill="1" applyBorder="1" applyAlignment="1" applyProtection="1">
      <alignment horizontal="center"/>
      <protection locked="0"/>
    </xf>
    <xf numFmtId="0" fontId="5" fillId="63" borderId="90" xfId="0" applyFont="1" applyFill="1" applyBorder="1" applyAlignment="1">
      <alignment horizontal="center"/>
    </xf>
    <xf numFmtId="0" fontId="82" fillId="63" borderId="92" xfId="0" applyFont="1" applyFill="1" applyBorder="1" applyAlignment="1">
      <alignment horizontal="center"/>
    </xf>
    <xf numFmtId="0" fontId="5" fillId="54" borderId="89" xfId="0" applyFont="1" applyFill="1" applyBorder="1" applyAlignment="1" applyProtection="1">
      <alignment horizontal="center"/>
      <protection locked="0"/>
    </xf>
    <xf numFmtId="0" fontId="5" fillId="54" borderId="90" xfId="0" applyFont="1" applyFill="1" applyBorder="1" applyAlignment="1">
      <alignment horizontal="center"/>
    </xf>
    <xf numFmtId="0" fontId="5" fillId="54" borderId="90" xfId="0" applyFont="1" applyFill="1" applyBorder="1" applyAlignment="1" applyProtection="1">
      <alignment horizontal="center"/>
      <protection locked="0"/>
    </xf>
    <xf numFmtId="0" fontId="5" fillId="61" borderId="89" xfId="0" applyFont="1" applyFill="1" applyBorder="1" applyAlignment="1" applyProtection="1">
      <alignment horizontal="center"/>
      <protection locked="0"/>
    </xf>
    <xf numFmtId="0" fontId="5" fillId="61" borderId="90" xfId="0" applyFont="1" applyFill="1" applyBorder="1" applyAlignment="1">
      <alignment horizontal="center"/>
    </xf>
    <xf numFmtId="0" fontId="5" fillId="61" borderId="90" xfId="0" applyFont="1" applyFill="1" applyBorder="1" applyAlignment="1" applyProtection="1">
      <alignment horizontal="center"/>
      <protection locked="0"/>
    </xf>
    <xf numFmtId="0" fontId="5" fillId="64" borderId="90" xfId="0" applyFont="1" applyFill="1" applyBorder="1" applyAlignment="1" applyProtection="1">
      <alignment horizontal="center"/>
      <protection locked="0"/>
    </xf>
    <xf numFmtId="0" fontId="5" fillId="64" borderId="89" xfId="0" applyFont="1" applyFill="1" applyBorder="1" applyAlignment="1" applyProtection="1">
      <alignment horizontal="center"/>
      <protection locked="0"/>
    </xf>
    <xf numFmtId="0" fontId="5" fillId="64" borderId="90" xfId="0" applyFont="1" applyFill="1" applyBorder="1" applyAlignment="1">
      <alignment horizontal="center"/>
    </xf>
    <xf numFmtId="0" fontId="5" fillId="46" borderId="89" xfId="0" applyFont="1" applyFill="1" applyBorder="1" applyAlignment="1" applyProtection="1">
      <alignment horizontal="center"/>
      <protection locked="0"/>
    </xf>
    <xf numFmtId="0" fontId="5" fillId="46" borderId="90" xfId="0" applyFont="1" applyFill="1" applyBorder="1" applyAlignment="1">
      <alignment horizontal="center"/>
    </xf>
    <xf numFmtId="0" fontId="5" fillId="46" borderId="90" xfId="0" applyFont="1" applyFill="1" applyBorder="1" applyAlignment="1" applyProtection="1">
      <alignment horizontal="center"/>
      <protection locked="0"/>
    </xf>
    <xf numFmtId="0" fontId="5" fillId="60" borderId="89" xfId="0" applyFont="1" applyFill="1" applyBorder="1" applyAlignment="1" applyProtection="1">
      <alignment horizontal="center"/>
      <protection locked="0"/>
    </xf>
    <xf numFmtId="0" fontId="5" fillId="60" borderId="90" xfId="0" applyFont="1" applyFill="1" applyBorder="1" applyAlignment="1">
      <alignment horizontal="center"/>
    </xf>
    <xf numFmtId="0" fontId="5" fillId="60" borderId="90" xfId="0" applyFont="1" applyFill="1" applyBorder="1" applyAlignment="1" applyProtection="1">
      <alignment horizontal="center"/>
      <protection locked="0"/>
    </xf>
    <xf numFmtId="0" fontId="5" fillId="56" borderId="90" xfId="0" applyFont="1" applyFill="1" applyBorder="1" applyAlignment="1" applyProtection="1">
      <alignment horizontal="center"/>
      <protection locked="0"/>
    </xf>
    <xf numFmtId="0" fontId="5" fillId="56" borderId="89" xfId="0" applyFont="1" applyFill="1" applyBorder="1" applyAlignment="1" applyProtection="1">
      <alignment horizontal="center"/>
      <protection locked="0"/>
    </xf>
    <xf numFmtId="0" fontId="5" fillId="56" borderId="90" xfId="0" applyFont="1" applyFill="1" applyBorder="1" applyAlignment="1">
      <alignment horizontal="center"/>
    </xf>
    <xf numFmtId="2" fontId="36" fillId="61" borderId="102" xfId="0" quotePrefix="1" applyNumberFormat="1" applyFont="1" applyFill="1" applyBorder="1" applyAlignment="1">
      <alignment horizontal="center" vertical="center"/>
    </xf>
    <xf numFmtId="0" fontId="120" fillId="96" borderId="11" xfId="0" quotePrefix="1" applyFont="1" applyFill="1" applyBorder="1" applyAlignment="1" applyProtection="1">
      <alignment horizontal="center" vertical="center"/>
      <protection locked="0"/>
    </xf>
    <xf numFmtId="0" fontId="36" fillId="96" borderId="26" xfId="0" quotePrefix="1" applyFont="1" applyFill="1" applyBorder="1" applyAlignment="1">
      <alignment horizontal="center" vertical="center"/>
    </xf>
    <xf numFmtId="0" fontId="36" fillId="96" borderId="14" xfId="0" quotePrefix="1" applyFont="1" applyFill="1" applyBorder="1" applyAlignment="1">
      <alignment horizontal="center" vertical="center"/>
    </xf>
    <xf numFmtId="0" fontId="36" fillId="96" borderId="11" xfId="0" quotePrefix="1" applyFont="1" applyFill="1" applyBorder="1" applyAlignment="1">
      <alignment horizontal="center" vertical="center"/>
    </xf>
    <xf numFmtId="2" fontId="36" fillId="96" borderId="102" xfId="0" quotePrefix="1" applyNumberFormat="1" applyFont="1" applyFill="1" applyBorder="1" applyAlignment="1">
      <alignment horizontal="center" vertical="center"/>
    </xf>
    <xf numFmtId="0" fontId="36" fillId="96" borderId="102" xfId="0" quotePrefix="1" applyFont="1" applyFill="1" applyBorder="1" applyAlignment="1">
      <alignment horizontal="center" vertical="center"/>
    </xf>
    <xf numFmtId="0" fontId="36" fillId="96" borderId="103" xfId="0" quotePrefix="1" applyFont="1" applyFill="1" applyBorder="1" applyAlignment="1">
      <alignment horizontal="center" vertical="center"/>
    </xf>
    <xf numFmtId="0" fontId="36" fillId="96" borderId="104" xfId="0" quotePrefix="1" applyFont="1" applyFill="1" applyBorder="1" applyAlignment="1">
      <alignment horizontal="center" vertical="center"/>
    </xf>
    <xf numFmtId="0" fontId="36" fillId="59" borderId="11" xfId="0" applyFont="1" applyFill="1" applyBorder="1" applyAlignment="1">
      <alignment horizontal="center" vertical="center"/>
    </xf>
    <xf numFmtId="0" fontId="36" fillId="59" borderId="102" xfId="0" quotePrefix="1" applyFont="1" applyFill="1" applyBorder="1" applyAlignment="1">
      <alignment horizontal="center" vertical="center"/>
    </xf>
    <xf numFmtId="0" fontId="36" fillId="59" borderId="14" xfId="0" applyFont="1" applyFill="1" applyBorder="1" applyAlignment="1">
      <alignment horizontal="center" vertical="center"/>
    </xf>
    <xf numFmtId="2" fontId="36" fillId="96" borderId="102" xfId="0" applyNumberFormat="1" applyFont="1" applyFill="1" applyBorder="1" applyAlignment="1">
      <alignment horizontal="center" vertical="center" wrapText="1"/>
    </xf>
    <xf numFmtId="2" fontId="36" fillId="96" borderId="126" xfId="0" applyNumberFormat="1" applyFont="1" applyFill="1" applyBorder="1" applyAlignment="1">
      <alignment horizontal="center" vertical="center" wrapText="1"/>
    </xf>
    <xf numFmtId="2" fontId="36" fillId="96" borderId="103" xfId="0" applyNumberFormat="1" applyFont="1" applyFill="1" applyBorder="1" applyAlignment="1">
      <alignment horizontal="center" vertical="center" wrapText="1"/>
    </xf>
    <xf numFmtId="2" fontId="36" fillId="96" borderId="127" xfId="0" applyNumberFormat="1" applyFont="1" applyFill="1" applyBorder="1" applyAlignment="1">
      <alignment horizontal="center" vertical="center" wrapText="1"/>
    </xf>
    <xf numFmtId="2" fontId="36" fillId="96" borderId="104" xfId="0" applyNumberFormat="1" applyFont="1" applyFill="1" applyBorder="1" applyAlignment="1">
      <alignment horizontal="center" vertical="center" wrapText="1"/>
    </xf>
    <xf numFmtId="2" fontId="36" fillId="96" borderId="128" xfId="0" applyNumberFormat="1" applyFont="1" applyFill="1" applyBorder="1" applyAlignment="1">
      <alignment horizontal="center" vertical="center" wrapText="1"/>
    </xf>
    <xf numFmtId="0" fontId="36" fillId="100" borderId="26" xfId="0" quotePrefix="1" applyFont="1" applyFill="1" applyBorder="1" applyAlignment="1">
      <alignment horizontal="center" vertical="center"/>
    </xf>
    <xf numFmtId="0" fontId="36" fillId="100" borderId="14" xfId="0" quotePrefix="1" applyFont="1" applyFill="1" applyBorder="1" applyAlignment="1">
      <alignment horizontal="center" vertical="center"/>
    </xf>
    <xf numFmtId="0" fontId="36" fillId="100" borderId="11" xfId="0" quotePrefix="1" applyFont="1" applyFill="1" applyBorder="1" applyAlignment="1">
      <alignment horizontal="center" vertical="center"/>
    </xf>
    <xf numFmtId="0" fontId="36" fillId="102" borderId="14" xfId="0" applyFont="1" applyFill="1" applyBorder="1" applyAlignment="1">
      <alignment horizontal="center" vertical="center"/>
    </xf>
    <xf numFmtId="0" fontId="36" fillId="102" borderId="11" xfId="0" applyFont="1" applyFill="1" applyBorder="1" applyAlignment="1">
      <alignment horizontal="center" vertical="center"/>
    </xf>
    <xf numFmtId="0" fontId="36" fillId="100" borderId="102" xfId="0" quotePrefix="1" applyFont="1" applyFill="1" applyBorder="1" applyAlignment="1">
      <alignment horizontal="center" vertical="center"/>
    </xf>
    <xf numFmtId="0" fontId="36" fillId="100" borderId="103" xfId="0" quotePrefix="1" applyFont="1" applyFill="1" applyBorder="1" applyAlignment="1">
      <alignment horizontal="center" vertical="center"/>
    </xf>
    <xf numFmtId="0" fontId="36" fillId="100" borderId="104" xfId="0" quotePrefix="1" applyFont="1" applyFill="1" applyBorder="1" applyAlignment="1">
      <alignment horizontal="center" vertical="center"/>
    </xf>
    <xf numFmtId="0" fontId="36" fillId="102" borderId="102" xfId="0" quotePrefix="1" applyFont="1" applyFill="1" applyBorder="1" applyAlignment="1">
      <alignment horizontal="center" vertical="center"/>
    </xf>
    <xf numFmtId="0" fontId="36" fillId="102" borderId="103" xfId="0" applyFont="1" applyFill="1" applyBorder="1" applyAlignment="1">
      <alignment horizontal="center" vertical="center"/>
    </xf>
    <xf numFmtId="0" fontId="36" fillId="102" borderId="105" xfId="0" applyFont="1" applyFill="1" applyBorder="1" applyAlignment="1">
      <alignment horizontal="center" vertical="center"/>
    </xf>
    <xf numFmtId="1" fontId="0" fillId="84" borderId="39" xfId="0" applyNumberFormat="1" applyFill="1" applyBorder="1"/>
    <xf numFmtId="1" fontId="0" fillId="84" borderId="19" xfId="0" applyNumberFormat="1" applyFill="1" applyBorder="1"/>
    <xf numFmtId="0" fontId="0" fillId="84" borderId="19" xfId="0" applyFill="1" applyBorder="1"/>
    <xf numFmtId="1" fontId="0" fillId="84" borderId="20" xfId="0" applyNumberFormat="1" applyFill="1" applyBorder="1"/>
    <xf numFmtId="1" fontId="0" fillId="0" borderId="30" xfId="0" applyNumberFormat="1" applyBorder="1"/>
    <xf numFmtId="1" fontId="0" fillId="84" borderId="0" xfId="0" applyNumberFormat="1" applyFill="1"/>
    <xf numFmtId="0" fontId="0" fillId="84" borderId="0" xfId="0" applyFill="1"/>
    <xf numFmtId="1" fontId="0" fillId="0" borderId="0" xfId="0" applyNumberFormat="1"/>
    <xf numFmtId="0" fontId="0" fillId="0" borderId="21" xfId="0" applyBorder="1"/>
    <xf numFmtId="1" fontId="0" fillId="0" borderId="34" xfId="0" applyNumberFormat="1" applyBorder="1"/>
    <xf numFmtId="1" fontId="0" fillId="84" borderId="13" xfId="0" applyNumberFormat="1" applyFill="1" applyBorder="1"/>
    <xf numFmtId="0" fontId="0" fillId="84" borderId="13" xfId="0" applyFill="1" applyBorder="1"/>
    <xf numFmtId="1" fontId="0" fillId="0" borderId="13" xfId="0" applyNumberFormat="1" applyBorder="1"/>
    <xf numFmtId="0" fontId="0" fillId="0" borderId="22" xfId="0" applyBorder="1"/>
    <xf numFmtId="0" fontId="5" fillId="0" borderId="12" xfId="0" applyFont="1" applyBorder="1" applyAlignment="1">
      <alignment horizontal="center"/>
    </xf>
    <xf numFmtId="0" fontId="14" fillId="131" borderId="14" xfId="0" applyFont="1" applyFill="1" applyBorder="1" applyAlignment="1">
      <alignment horizontal="center" vertical="center"/>
    </xf>
    <xf numFmtId="2" fontId="151" fillId="132" borderId="14" xfId="0" applyNumberFormat="1" applyFont="1" applyFill="1" applyBorder="1" applyAlignment="1">
      <alignment horizontal="center" vertical="center"/>
    </xf>
    <xf numFmtId="0" fontId="5" fillId="114" borderId="12" xfId="0" applyFont="1" applyFill="1" applyBorder="1" applyAlignment="1">
      <alignment horizontal="center"/>
    </xf>
    <xf numFmtId="0" fontId="5" fillId="46" borderId="12" xfId="0" applyFont="1" applyFill="1" applyBorder="1" applyAlignment="1">
      <alignment horizontal="center"/>
    </xf>
    <xf numFmtId="0" fontId="28" fillId="0" borderId="252" xfId="39" applyFont="1" applyBorder="1" applyAlignment="1">
      <alignment horizontal="center" vertical="center"/>
    </xf>
    <xf numFmtId="0" fontId="28" fillId="0" borderId="246" xfId="39" applyFont="1" applyBorder="1" applyAlignment="1">
      <alignment horizontal="center" vertical="center"/>
    </xf>
    <xf numFmtId="0" fontId="9" fillId="67" borderId="252" xfId="39" applyFill="1" applyBorder="1" applyAlignment="1">
      <alignment horizontal="center" vertical="center" wrapText="1"/>
    </xf>
    <xf numFmtId="0" fontId="9" fillId="68" borderId="252" xfId="39" applyFill="1" applyBorder="1" applyAlignment="1">
      <alignment horizontal="center" vertical="center" wrapText="1"/>
    </xf>
    <xf numFmtId="0" fontId="9" fillId="66" borderId="252" xfId="39" applyFill="1" applyBorder="1" applyAlignment="1">
      <alignment horizontal="center" vertical="center" wrapText="1"/>
    </xf>
    <xf numFmtId="2" fontId="0" fillId="44" borderId="245" xfId="0" applyNumberFormat="1" applyFill="1" applyBorder="1"/>
    <xf numFmtId="1" fontId="5" fillId="50" borderId="0" xfId="0" applyNumberFormat="1" applyFont="1" applyFill="1"/>
    <xf numFmtId="1" fontId="5" fillId="44" borderId="72" xfId="0" applyNumberFormat="1" applyFont="1" applyFill="1" applyBorder="1" applyAlignment="1" applyProtection="1">
      <alignment horizontal="center"/>
      <protection locked="0"/>
    </xf>
    <xf numFmtId="1" fontId="5" fillId="46" borderId="12" xfId="0" applyNumberFormat="1" applyFont="1" applyFill="1" applyBorder="1" applyAlignment="1">
      <alignment horizontal="center"/>
    </xf>
    <xf numFmtId="1" fontId="5" fillId="44" borderId="94" xfId="0" applyNumberFormat="1" applyFont="1" applyFill="1" applyBorder="1" applyAlignment="1" applyProtection="1">
      <alignment horizontal="center"/>
      <protection locked="0"/>
    </xf>
    <xf numFmtId="1" fontId="5" fillId="44" borderId="74" xfId="0" applyNumberFormat="1" applyFont="1" applyFill="1" applyBorder="1" applyAlignment="1" applyProtection="1">
      <alignment horizontal="center"/>
      <protection locked="0"/>
    </xf>
    <xf numFmtId="1" fontId="5" fillId="44" borderId="93" xfId="0" applyNumberFormat="1" applyFont="1" applyFill="1" applyBorder="1" applyAlignment="1" applyProtection="1">
      <alignment horizontal="center"/>
      <protection locked="0"/>
    </xf>
    <xf numFmtId="1" fontId="5" fillId="44" borderId="75" xfId="0" applyNumberFormat="1" applyFont="1" applyFill="1" applyBorder="1" applyAlignment="1" applyProtection="1">
      <alignment horizontal="center"/>
      <protection locked="0"/>
    </xf>
    <xf numFmtId="1" fontId="5" fillId="44" borderId="76" xfId="0" applyNumberFormat="1" applyFont="1" applyFill="1" applyBorder="1" applyAlignment="1" applyProtection="1">
      <alignment horizontal="center"/>
      <protection locked="0"/>
    </xf>
    <xf numFmtId="1" fontId="5" fillId="43" borderId="72" xfId="0" applyNumberFormat="1" applyFont="1" applyFill="1" applyBorder="1" applyAlignment="1" applyProtection="1">
      <alignment horizontal="center"/>
      <protection locked="0"/>
    </xf>
    <xf numFmtId="1" fontId="5" fillId="43" borderId="94" xfId="0" applyNumberFormat="1" applyFont="1" applyFill="1" applyBorder="1" applyAlignment="1" applyProtection="1">
      <alignment horizontal="center"/>
      <protection locked="0"/>
    </xf>
    <xf numFmtId="1" fontId="5" fillId="43" borderId="74" xfId="0" applyNumberFormat="1" applyFont="1" applyFill="1" applyBorder="1" applyAlignment="1" applyProtection="1">
      <alignment horizontal="center"/>
      <protection locked="0"/>
    </xf>
    <xf numFmtId="1" fontId="5" fillId="43" borderId="93" xfId="0" applyNumberFormat="1" applyFont="1" applyFill="1" applyBorder="1" applyAlignment="1" applyProtection="1">
      <alignment horizontal="center"/>
      <protection locked="0"/>
    </xf>
    <xf numFmtId="1" fontId="5" fillId="43" borderId="75" xfId="0" applyNumberFormat="1" applyFont="1" applyFill="1" applyBorder="1" applyAlignment="1" applyProtection="1">
      <alignment horizontal="center"/>
      <protection locked="0"/>
    </xf>
    <xf numFmtId="1" fontId="5" fillId="43" borderId="76" xfId="0" applyNumberFormat="1" applyFont="1" applyFill="1" applyBorder="1" applyAlignment="1" applyProtection="1">
      <alignment horizontal="center"/>
      <protection locked="0"/>
    </xf>
    <xf numFmtId="1" fontId="5" fillId="44" borderId="0" xfId="0" applyNumberFormat="1" applyFont="1" applyFill="1"/>
    <xf numFmtId="168" fontId="72" fillId="0" borderId="81" xfId="0" applyNumberFormat="1" applyFont="1" applyBorder="1" applyAlignment="1" applyProtection="1">
      <alignment horizontal="center" vertical="center"/>
      <protection locked="0"/>
    </xf>
    <xf numFmtId="1" fontId="72" fillId="0" borderId="72" xfId="0" applyNumberFormat="1" applyFont="1" applyBorder="1" applyAlignment="1" applyProtection="1">
      <alignment horizontal="center" vertical="center"/>
      <protection locked="0"/>
    </xf>
    <xf numFmtId="168" fontId="0" fillId="0" borderId="12" xfId="0" applyNumberFormat="1" applyBorder="1" applyAlignment="1" applyProtection="1">
      <alignment horizontal="center"/>
      <protection locked="0"/>
    </xf>
    <xf numFmtId="1" fontId="72" fillId="0" borderId="94" xfId="0" applyNumberFormat="1" applyFont="1" applyBorder="1" applyAlignment="1" applyProtection="1">
      <alignment horizontal="center" vertical="center"/>
      <protection locked="0"/>
    </xf>
    <xf numFmtId="168" fontId="72" fillId="0" borderId="82" xfId="0" applyNumberFormat="1" applyFont="1" applyBorder="1" applyAlignment="1" applyProtection="1">
      <alignment horizontal="center" vertical="center"/>
      <protection locked="0"/>
    </xf>
    <xf numFmtId="1" fontId="72" fillId="0" borderId="74" xfId="0" applyNumberFormat="1" applyFont="1" applyBorder="1" applyAlignment="1" applyProtection="1">
      <alignment horizontal="center" vertical="center"/>
      <protection locked="0"/>
    </xf>
    <xf numFmtId="1" fontId="72" fillId="0" borderId="93" xfId="0" applyNumberFormat="1" applyFont="1" applyBorder="1" applyAlignment="1" applyProtection="1">
      <alignment horizontal="center" vertical="center"/>
      <protection locked="0"/>
    </xf>
    <xf numFmtId="168" fontId="72" fillId="0" borderId="80" xfId="0" applyNumberFormat="1" applyFont="1" applyBorder="1" applyAlignment="1" applyProtection="1">
      <alignment horizontal="center" vertical="center"/>
      <protection locked="0"/>
    </xf>
    <xf numFmtId="1" fontId="72" fillId="0" borderId="75" xfId="0" applyNumberFormat="1" applyFont="1" applyBorder="1" applyAlignment="1" applyProtection="1">
      <alignment horizontal="center" vertical="center"/>
      <protection locked="0"/>
    </xf>
    <xf numFmtId="1" fontId="72" fillId="0" borderId="76" xfId="0" applyNumberFormat="1" applyFont="1" applyBorder="1" applyAlignment="1" applyProtection="1">
      <alignment horizontal="center" vertical="center"/>
      <protection locked="0"/>
    </xf>
    <xf numFmtId="168" fontId="72" fillId="0" borderId="155" xfId="0" applyNumberFormat="1" applyFont="1" applyBorder="1" applyAlignment="1" applyProtection="1">
      <alignment horizontal="center" vertical="center"/>
      <protection locked="0"/>
    </xf>
    <xf numFmtId="1" fontId="72" fillId="0" borderId="144" xfId="0" applyNumberFormat="1" applyFont="1" applyBorder="1" applyAlignment="1" applyProtection="1">
      <alignment horizontal="center" vertical="center"/>
      <protection locked="0"/>
    </xf>
    <xf numFmtId="1" fontId="72" fillId="0" borderId="156" xfId="0" applyNumberFormat="1" applyFont="1" applyBorder="1" applyAlignment="1" applyProtection="1">
      <alignment horizontal="center" vertical="center"/>
      <protection locked="0"/>
    </xf>
    <xf numFmtId="168" fontId="72" fillId="0" borderId="157" xfId="0" applyNumberFormat="1" applyFont="1" applyBorder="1" applyAlignment="1" applyProtection="1">
      <alignment horizontal="center" vertical="center"/>
      <protection locked="0"/>
    </xf>
    <xf numFmtId="1" fontId="72" fillId="0" borderId="145" xfId="0" applyNumberFormat="1" applyFont="1" applyBorder="1" applyAlignment="1" applyProtection="1">
      <alignment horizontal="center" vertical="center"/>
      <protection locked="0"/>
    </xf>
    <xf numFmtId="1" fontId="72" fillId="0" borderId="161" xfId="0" applyNumberFormat="1" applyFont="1" applyBorder="1" applyAlignment="1" applyProtection="1">
      <alignment horizontal="center" vertical="center"/>
      <protection locked="0"/>
    </xf>
    <xf numFmtId="168" fontId="72" fillId="0" borderId="143" xfId="0" applyNumberFormat="1" applyFont="1" applyBorder="1" applyAlignment="1" applyProtection="1">
      <alignment horizontal="center" vertical="center"/>
      <protection locked="0"/>
    </xf>
    <xf numFmtId="1" fontId="72" fillId="0" borderId="92" xfId="0" applyNumberFormat="1" applyFont="1" applyBorder="1" applyAlignment="1" applyProtection="1">
      <alignment horizontal="center" vertical="center"/>
      <protection locked="0"/>
    </xf>
    <xf numFmtId="1" fontId="72" fillId="0" borderId="148" xfId="0" applyNumberFormat="1" applyFont="1" applyBorder="1" applyAlignment="1" applyProtection="1">
      <alignment horizontal="center" vertical="center"/>
      <protection locked="0"/>
    </xf>
    <xf numFmtId="168" fontId="72" fillId="0" borderId="210" xfId="0" applyNumberFormat="1" applyFont="1" applyBorder="1" applyAlignment="1" applyProtection="1">
      <alignment horizontal="center" vertical="center"/>
      <protection locked="0"/>
    </xf>
    <xf numFmtId="1" fontId="72" fillId="0" borderId="86" xfId="0" applyNumberFormat="1" applyFont="1" applyBorder="1" applyAlignment="1" applyProtection="1">
      <alignment horizontal="center" vertical="center"/>
      <protection locked="0"/>
    </xf>
    <xf numFmtId="1" fontId="72" fillId="0" borderId="95" xfId="0" applyNumberFormat="1" applyFont="1" applyBorder="1" applyAlignment="1" applyProtection="1">
      <alignment horizontal="center" vertical="center"/>
      <protection locked="0"/>
    </xf>
    <xf numFmtId="168" fontId="72" fillId="0" borderId="142" xfId="0" applyNumberFormat="1" applyFont="1" applyBorder="1" applyAlignment="1" applyProtection="1">
      <alignment horizontal="center" vertical="center"/>
      <protection locked="0"/>
    </xf>
    <xf numFmtId="1" fontId="72" fillId="0" borderId="90" xfId="0" applyNumberFormat="1" applyFont="1" applyBorder="1" applyAlignment="1" applyProtection="1">
      <alignment horizontal="center" vertical="center"/>
      <protection locked="0"/>
    </xf>
    <xf numFmtId="1" fontId="72" fillId="0" borderId="147" xfId="0" applyNumberFormat="1" applyFont="1" applyBorder="1" applyAlignment="1" applyProtection="1">
      <alignment horizontal="center" vertical="center"/>
      <protection locked="0"/>
    </xf>
    <xf numFmtId="168" fontId="7" fillId="46" borderId="244" xfId="0" applyNumberFormat="1" applyFont="1" applyFill="1" applyBorder="1" applyAlignment="1" applyProtection="1">
      <alignment horizontal="center" vertical="center" wrapText="1"/>
      <protection locked="0"/>
    </xf>
    <xf numFmtId="1" fontId="7" fillId="46" borderId="12" xfId="0" applyNumberFormat="1" applyFont="1" applyFill="1" applyBorder="1" applyAlignment="1">
      <alignment horizontal="center" vertical="center" wrapText="1"/>
    </xf>
    <xf numFmtId="1" fontId="151" fillId="133" borderId="14" xfId="0" applyNumberFormat="1" applyFont="1" applyFill="1" applyBorder="1" applyAlignment="1">
      <alignment horizontal="center" vertical="center"/>
    </xf>
    <xf numFmtId="0" fontId="7" fillId="46" borderId="12" xfId="0" applyFont="1" applyFill="1" applyBorder="1" applyAlignment="1">
      <alignment horizontal="center" vertical="center" wrapText="1"/>
    </xf>
    <xf numFmtId="2" fontId="74" fillId="46" borderId="14" xfId="26" applyNumberFormat="1" applyFont="1" applyFill="1" applyBorder="1" applyAlignment="1" applyProtection="1">
      <alignment horizontal="center" vertical="center" wrapText="1"/>
    </xf>
    <xf numFmtId="1" fontId="74" fillId="46" borderId="244" xfId="26" applyNumberFormat="1" applyFont="1" applyFill="1" applyBorder="1" applyAlignment="1" applyProtection="1">
      <alignment horizontal="center" vertical="center" wrapText="1"/>
    </xf>
    <xf numFmtId="1" fontId="74" fillId="46" borderId="12" xfId="26" applyNumberFormat="1" applyFont="1" applyFill="1" applyBorder="1" applyAlignment="1" applyProtection="1">
      <alignment horizontal="center" vertical="center" wrapText="1"/>
    </xf>
    <xf numFmtId="2" fontId="34" fillId="26" borderId="251" xfId="0" applyNumberFormat="1" applyFont="1" applyFill="1" applyBorder="1" applyAlignment="1">
      <alignment horizontal="center" vertical="center" wrapText="1"/>
    </xf>
    <xf numFmtId="0" fontId="152" fillId="42" borderId="0" xfId="35" applyFont="1" applyProtection="1"/>
    <xf numFmtId="168" fontId="25" fillId="134" borderId="14" xfId="40" applyNumberFormat="1" applyFont="1" applyFill="1" applyBorder="1" applyAlignment="1">
      <alignment horizontal="center" vertical="center"/>
    </xf>
    <xf numFmtId="0" fontId="25" fillId="134" borderId="14" xfId="40" applyFont="1" applyFill="1" applyBorder="1" applyAlignment="1">
      <alignment horizontal="center" vertical="center"/>
    </xf>
    <xf numFmtId="1" fontId="74" fillId="46" borderId="14" xfId="26" applyNumberFormat="1" applyFont="1" applyFill="1" applyBorder="1" applyAlignment="1" applyProtection="1">
      <alignment horizontal="center" vertical="center" wrapText="1"/>
    </xf>
    <xf numFmtId="1" fontId="74" fillId="46" borderId="251" xfId="26" applyNumberFormat="1" applyFont="1" applyFill="1" applyBorder="1" applyAlignment="1" applyProtection="1">
      <alignment horizontal="center" vertical="center" wrapText="1"/>
    </xf>
    <xf numFmtId="0" fontId="5" fillId="0" borderId="165" xfId="0" applyFont="1" applyBorder="1" applyAlignment="1">
      <alignment horizontal="center"/>
    </xf>
    <xf numFmtId="1" fontId="9" fillId="0" borderId="83" xfId="0" applyNumberFormat="1" applyFont="1" applyBorder="1" applyAlignment="1">
      <alignment horizontal="center"/>
    </xf>
    <xf numFmtId="1" fontId="9" fillId="0" borderId="85" xfId="0" applyNumberFormat="1" applyFont="1" applyBorder="1" applyAlignment="1">
      <alignment horizontal="center"/>
    </xf>
    <xf numFmtId="1" fontId="9" fillId="0" borderId="96" xfId="0" applyNumberFormat="1" applyFont="1" applyBorder="1" applyAlignment="1">
      <alignment horizontal="center"/>
    </xf>
    <xf numFmtId="1" fontId="5" fillId="0" borderId="96" xfId="0" applyNumberFormat="1" applyFont="1" applyBorder="1" applyAlignment="1">
      <alignment horizontal="center"/>
    </xf>
    <xf numFmtId="1" fontId="5" fillId="0" borderId="83" xfId="0" applyNumberFormat="1" applyFont="1" applyBorder="1" applyAlignment="1">
      <alignment horizontal="center"/>
    </xf>
    <xf numFmtId="1" fontId="5" fillId="0" borderId="85" xfId="0" applyNumberFormat="1" applyFont="1" applyBorder="1" applyAlignment="1">
      <alignment horizontal="center"/>
    </xf>
    <xf numFmtId="0" fontId="7" fillId="67" borderId="0" xfId="0" applyFont="1" applyFill="1" applyAlignment="1">
      <alignment horizontal="center" vertical="center" wrapText="1"/>
    </xf>
    <xf numFmtId="1" fontId="74" fillId="118" borderId="12" xfId="26" applyNumberFormat="1" applyFont="1" applyFill="1" applyBorder="1" applyAlignment="1" applyProtection="1">
      <alignment horizontal="center" vertical="center" wrapText="1"/>
    </xf>
    <xf numFmtId="49" fontId="36" fillId="44" borderId="0" xfId="0" applyNumberFormat="1" applyFont="1" applyFill="1" applyAlignment="1">
      <alignment horizontal="center" vertical="center"/>
    </xf>
    <xf numFmtId="165" fontId="0" fillId="54" borderId="12" xfId="0" applyNumberFormat="1" applyFill="1" applyBorder="1" applyAlignment="1">
      <alignment horizontal="center"/>
    </xf>
    <xf numFmtId="165" fontId="5" fillId="54" borderId="12" xfId="0" applyNumberFormat="1" applyFont="1" applyFill="1" applyBorder="1"/>
    <xf numFmtId="165" fontId="0" fillId="46" borderId="12" xfId="0" applyNumberFormat="1" applyFill="1" applyBorder="1" applyAlignment="1">
      <alignment horizontal="center"/>
    </xf>
    <xf numFmtId="165" fontId="5" fillId="48" borderId="12" xfId="0" applyNumberFormat="1" applyFont="1" applyFill="1" applyBorder="1"/>
    <xf numFmtId="0" fontId="0" fillId="55" borderId="39" xfId="0" applyFill="1" applyBorder="1"/>
    <xf numFmtId="0" fontId="71" fillId="55" borderId="19" xfId="41" applyFont="1" applyFill="1" applyBorder="1" applyAlignment="1">
      <alignment vertical="center"/>
    </xf>
    <xf numFmtId="0" fontId="0" fillId="55" borderId="19" xfId="0" applyFill="1" applyBorder="1"/>
    <xf numFmtId="0" fontId="0" fillId="55" borderId="20" xfId="0" applyFill="1" applyBorder="1"/>
    <xf numFmtId="0" fontId="0" fillId="55" borderId="30" xfId="0" applyFill="1" applyBorder="1"/>
    <xf numFmtId="0" fontId="0" fillId="55" borderId="0" xfId="0" applyFill="1"/>
    <xf numFmtId="0" fontId="0" fillId="55" borderId="21" xfId="0" applyFill="1" applyBorder="1"/>
    <xf numFmtId="0" fontId="0" fillId="55" borderId="34" xfId="0" applyFill="1" applyBorder="1"/>
    <xf numFmtId="0" fontId="0" fillId="55" borderId="13" xfId="0" applyFill="1" applyBorder="1"/>
    <xf numFmtId="0" fontId="0" fillId="55" borderId="22" xfId="0" applyFill="1" applyBorder="1"/>
    <xf numFmtId="0" fontId="75" fillId="67" borderId="12" xfId="41" applyFont="1" applyFill="1" applyBorder="1" applyAlignment="1" applyProtection="1">
      <alignment horizontal="center" vertical="center"/>
      <protection locked="0"/>
    </xf>
    <xf numFmtId="14" fontId="75" fillId="67" borderId="12" xfId="41" applyNumberFormat="1" applyFont="1" applyFill="1" applyBorder="1" applyAlignment="1" applyProtection="1">
      <alignment horizontal="center" vertical="center"/>
      <protection locked="0"/>
    </xf>
    <xf numFmtId="0" fontId="0" fillId="0" borderId="12" xfId="0" applyBorder="1" applyAlignment="1" applyProtection="1">
      <alignment horizontal="center" vertical="top"/>
      <protection locked="0"/>
    </xf>
    <xf numFmtId="49" fontId="0" fillId="48" borderId="12" xfId="0" applyNumberFormat="1" applyFill="1" applyBorder="1" applyAlignment="1" applyProtection="1">
      <alignment horizontal="center"/>
      <protection locked="0"/>
    </xf>
    <xf numFmtId="49" fontId="0" fillId="43" borderId="12" xfId="0" applyNumberFormat="1" applyFill="1" applyBorder="1" applyAlignment="1" applyProtection="1">
      <alignment horizontal="center" vertical="top"/>
      <protection locked="0"/>
    </xf>
    <xf numFmtId="0" fontId="0" fillId="43" borderId="12" xfId="0" applyFill="1" applyBorder="1" applyAlignment="1" applyProtection="1">
      <alignment horizontal="center" vertical="top"/>
      <protection locked="0"/>
    </xf>
    <xf numFmtId="1" fontId="0" fillId="43" borderId="12" xfId="0" applyNumberFormat="1" applyFill="1" applyBorder="1" applyProtection="1">
      <protection locked="0"/>
    </xf>
    <xf numFmtId="2" fontId="0" fillId="43" borderId="12" xfId="0" applyNumberFormat="1" applyFill="1" applyBorder="1" applyAlignment="1" applyProtection="1">
      <alignment horizontal="center"/>
      <protection locked="0"/>
    </xf>
    <xf numFmtId="0" fontId="5" fillId="48" borderId="12" xfId="0" applyFont="1" applyFill="1" applyBorder="1" applyProtection="1">
      <protection locked="0"/>
    </xf>
    <xf numFmtId="0" fontId="0" fillId="43" borderId="12" xfId="0" applyFill="1" applyBorder="1" applyProtection="1">
      <protection locked="0"/>
    </xf>
    <xf numFmtId="2" fontId="77" fillId="66" borderId="0" xfId="0" applyNumberFormat="1" applyFont="1" applyFill="1" applyAlignment="1">
      <alignment horizontal="center"/>
    </xf>
    <xf numFmtId="164" fontId="77" fillId="66" borderId="17" xfId="0" applyNumberFormat="1" applyFont="1" applyFill="1" applyBorder="1" applyAlignment="1">
      <alignment horizontal="center"/>
    </xf>
    <xf numFmtId="49" fontId="0" fillId="50" borderId="53" xfId="0" applyNumberFormat="1" applyFill="1" applyBorder="1" applyAlignment="1">
      <alignment horizontal="center"/>
    </xf>
    <xf numFmtId="49" fontId="5" fillId="107" borderId="72" xfId="0" applyNumberFormat="1" applyFont="1" applyFill="1" applyBorder="1" applyAlignment="1">
      <alignment horizontal="center"/>
    </xf>
    <xf numFmtId="49" fontId="5" fillId="107" borderId="74" xfId="0" applyNumberFormat="1" applyFont="1" applyFill="1" applyBorder="1" applyAlignment="1">
      <alignment horizontal="center"/>
    </xf>
    <xf numFmtId="49" fontId="5" fillId="107" borderId="75" xfId="0" applyNumberFormat="1" applyFont="1" applyFill="1" applyBorder="1" applyAlignment="1">
      <alignment horizontal="center"/>
    </xf>
    <xf numFmtId="49" fontId="5" fillId="54" borderId="72" xfId="0" applyNumberFormat="1" applyFont="1" applyFill="1" applyBorder="1" applyAlignment="1">
      <alignment horizontal="center"/>
    </xf>
    <xf numFmtId="49" fontId="5" fillId="54" borderId="74" xfId="0" applyNumberFormat="1" applyFont="1" applyFill="1" applyBorder="1" applyAlignment="1">
      <alignment horizontal="center"/>
    </xf>
    <xf numFmtId="49" fontId="5" fillId="48" borderId="74" xfId="0" applyNumberFormat="1" applyFont="1" applyFill="1" applyBorder="1" applyAlignment="1">
      <alignment horizontal="center"/>
    </xf>
    <xf numFmtId="49" fontId="5" fillId="45" borderId="74" xfId="0" applyNumberFormat="1" applyFont="1" applyFill="1" applyBorder="1" applyAlignment="1">
      <alignment horizontal="center"/>
    </xf>
    <xf numFmtId="49" fontId="5" fillId="46" borderId="74" xfId="0" applyNumberFormat="1" applyFont="1" applyFill="1" applyBorder="1" applyAlignment="1">
      <alignment horizontal="center"/>
    </xf>
    <xf numFmtId="49" fontId="0" fillId="49" borderId="74" xfId="0" applyNumberFormat="1" applyFill="1" applyBorder="1" applyAlignment="1">
      <alignment horizontal="center"/>
    </xf>
    <xf numFmtId="49" fontId="5" fillId="55" borderId="74" xfId="0" applyNumberFormat="1" applyFont="1" applyFill="1" applyBorder="1" applyAlignment="1">
      <alignment horizontal="center"/>
    </xf>
    <xf numFmtId="49" fontId="5" fillId="84" borderId="74" xfId="0" applyNumberFormat="1" applyFont="1" applyFill="1" applyBorder="1" applyAlignment="1">
      <alignment horizontal="center"/>
    </xf>
    <xf numFmtId="49" fontId="5" fillId="76" borderId="74" xfId="0" applyNumberFormat="1" applyFont="1" applyFill="1" applyBorder="1" applyAlignment="1">
      <alignment horizontal="center"/>
    </xf>
    <xf numFmtId="49" fontId="5" fillId="76" borderId="75" xfId="0" applyNumberFormat="1" applyFont="1" applyFill="1" applyBorder="1" applyAlignment="1">
      <alignment horizontal="center"/>
    </xf>
    <xf numFmtId="49" fontId="0" fillId="49" borderId="72" xfId="0" applyNumberFormat="1" applyFill="1" applyBorder="1" applyAlignment="1">
      <alignment horizontal="center"/>
    </xf>
    <xf numFmtId="49" fontId="0" fillId="49" borderId="158" xfId="0" applyNumberFormat="1" applyFill="1" applyBorder="1" applyAlignment="1">
      <alignment horizontal="center"/>
    </xf>
    <xf numFmtId="0" fontId="5" fillId="107" borderId="94" xfId="41" applyFont="1" applyFill="1" applyBorder="1"/>
    <xf numFmtId="0" fontId="5" fillId="50" borderId="0" xfId="48" applyFill="1"/>
    <xf numFmtId="49" fontId="5" fillId="50" borderId="0" xfId="48" applyNumberFormat="1" applyFill="1"/>
    <xf numFmtId="0" fontId="153" fillId="50" borderId="257" xfId="47" applyFont="1" applyFill="1" applyBorder="1" applyProtection="1"/>
    <xf numFmtId="0" fontId="148" fillId="50" borderId="0" xfId="47" applyFont="1" applyFill="1" applyBorder="1" applyProtection="1"/>
    <xf numFmtId="168" fontId="5" fillId="50" borderId="0" xfId="48" applyNumberFormat="1" applyFill="1" applyProtection="1">
      <protection locked="0"/>
    </xf>
    <xf numFmtId="1" fontId="5" fillId="50" borderId="0" xfId="48" applyNumberFormat="1" applyFill="1"/>
    <xf numFmtId="0" fontId="5" fillId="44" borderId="0" xfId="48" applyFill="1"/>
    <xf numFmtId="0" fontId="39" fillId="44" borderId="0" xfId="48" applyFont="1" applyFill="1" applyAlignment="1">
      <alignment vertical="center"/>
    </xf>
    <xf numFmtId="49" fontId="7" fillId="49" borderId="258" xfId="48" applyNumberFormat="1" applyFont="1" applyFill="1" applyBorder="1" applyAlignment="1">
      <alignment horizontal="center" vertical="center" wrapText="1"/>
    </xf>
    <xf numFmtId="0" fontId="14" fillId="51" borderId="258" xfId="48" applyFont="1" applyFill="1" applyBorder="1" applyAlignment="1">
      <alignment horizontal="center" vertical="center"/>
    </xf>
    <xf numFmtId="49" fontId="14" fillId="51" borderId="258" xfId="48" applyNumberFormat="1" applyFont="1" applyFill="1" applyBorder="1" applyAlignment="1">
      <alignment horizontal="center" vertical="center"/>
    </xf>
    <xf numFmtId="0" fontId="7" fillId="49" borderId="258" xfId="48" applyFont="1" applyFill="1" applyBorder="1" applyAlignment="1">
      <alignment horizontal="center" vertical="center" wrapText="1"/>
    </xf>
    <xf numFmtId="0" fontId="154" fillId="49" borderId="258" xfId="48" applyFont="1" applyFill="1" applyBorder="1" applyAlignment="1">
      <alignment horizontal="center" vertical="center" wrapText="1"/>
    </xf>
    <xf numFmtId="0" fontId="7" fillId="49" borderId="259" xfId="48" applyFont="1" applyFill="1" applyBorder="1" applyAlignment="1">
      <alignment horizontal="center" vertical="center" wrapText="1"/>
    </xf>
    <xf numFmtId="0" fontId="7" fillId="49" borderId="260" xfId="48" applyFont="1" applyFill="1" applyBorder="1" applyAlignment="1">
      <alignment horizontal="center" vertical="center" wrapText="1"/>
    </xf>
    <xf numFmtId="2" fontId="14" fillId="52" borderId="258" xfId="48" applyNumberFormat="1" applyFont="1" applyFill="1" applyBorder="1" applyAlignment="1">
      <alignment horizontal="center" vertical="center"/>
    </xf>
    <xf numFmtId="168" fontId="7" fillId="46" borderId="258" xfId="48" applyNumberFormat="1" applyFont="1" applyFill="1" applyBorder="1" applyAlignment="1" applyProtection="1">
      <alignment horizontal="center" vertical="center" wrapText="1"/>
      <protection locked="0"/>
    </xf>
    <xf numFmtId="1" fontId="7" fillId="46" borderId="258" xfId="48" applyNumberFormat="1" applyFont="1" applyFill="1" applyBorder="1" applyAlignment="1">
      <alignment horizontal="center" vertical="center" wrapText="1"/>
    </xf>
    <xf numFmtId="1" fontId="151" fillId="133" borderId="258" xfId="48" applyNumberFormat="1" applyFont="1" applyFill="1" applyBorder="1" applyAlignment="1">
      <alignment horizontal="center" vertical="center"/>
    </xf>
    <xf numFmtId="0" fontId="7" fillId="46" borderId="258" xfId="48" applyFont="1" applyFill="1" applyBorder="1" applyAlignment="1">
      <alignment horizontal="center" vertical="center" wrapText="1"/>
    </xf>
    <xf numFmtId="2" fontId="151" fillId="132" borderId="258" xfId="48" applyNumberFormat="1" applyFont="1" applyFill="1" applyBorder="1" applyAlignment="1">
      <alignment horizontal="center" vertical="center"/>
    </xf>
    <xf numFmtId="0" fontId="7" fillId="61" borderId="258" xfId="48" applyFont="1" applyFill="1" applyBorder="1" applyAlignment="1">
      <alignment horizontal="center" vertical="center" wrapText="1"/>
    </xf>
    <xf numFmtId="2" fontId="7" fillId="50" borderId="258" xfId="48" applyNumberFormat="1" applyFont="1" applyFill="1" applyBorder="1" applyAlignment="1">
      <alignment horizontal="center" vertical="center" wrapText="1"/>
    </xf>
    <xf numFmtId="1" fontId="7" fillId="50" borderId="261" xfId="48" applyNumberFormat="1" applyFont="1" applyFill="1" applyBorder="1" applyAlignment="1">
      <alignment horizontal="center" vertical="center" wrapText="1"/>
    </xf>
    <xf numFmtId="1" fontId="7" fillId="135" borderId="258" xfId="48" applyNumberFormat="1" applyFont="1" applyFill="1" applyBorder="1" applyAlignment="1">
      <alignment horizontal="center" vertical="center" wrapText="1"/>
    </xf>
    <xf numFmtId="1" fontId="7" fillId="58" borderId="258" xfId="48" applyNumberFormat="1" applyFont="1" applyFill="1" applyBorder="1" applyAlignment="1">
      <alignment horizontal="center" vertical="center" wrapText="1"/>
    </xf>
    <xf numFmtId="1" fontId="7" fillId="86" borderId="258" xfId="48" applyNumberFormat="1" applyFont="1" applyFill="1" applyBorder="1" applyAlignment="1">
      <alignment horizontal="center" vertical="center" wrapText="1"/>
    </xf>
    <xf numFmtId="1" fontId="7" fillId="64" borderId="258" xfId="48" applyNumberFormat="1" applyFont="1" applyFill="1" applyBorder="1" applyAlignment="1">
      <alignment horizontal="center" vertical="center" wrapText="1"/>
    </xf>
    <xf numFmtId="0" fontId="52" fillId="48" borderId="262" xfId="48" applyFont="1" applyFill="1" applyBorder="1" applyAlignment="1" applyProtection="1">
      <alignment horizontal="center"/>
      <protection locked="0"/>
    </xf>
    <xf numFmtId="0" fontId="5" fillId="114" borderId="261" xfId="48" applyFill="1" applyBorder="1" applyAlignment="1">
      <alignment horizontal="center"/>
    </xf>
    <xf numFmtId="0" fontId="52" fillId="48" borderId="263" xfId="48" applyFont="1" applyFill="1" applyBorder="1" applyAlignment="1" applyProtection="1">
      <alignment horizontal="center"/>
      <protection locked="0"/>
    </xf>
    <xf numFmtId="0" fontId="52" fillId="48" borderId="264" xfId="48" applyFont="1" applyFill="1" applyBorder="1" applyAlignment="1" applyProtection="1">
      <alignment horizontal="center" vertical="center"/>
      <protection locked="0"/>
    </xf>
    <xf numFmtId="0" fontId="47" fillId="44" borderId="99" xfId="48" applyFont="1" applyFill="1" applyBorder="1" applyAlignment="1" applyProtection="1">
      <alignment horizontal="center"/>
      <protection locked="0"/>
    </xf>
    <xf numFmtId="0" fontId="5" fillId="44" borderId="265" xfId="48" applyFill="1" applyBorder="1" applyAlignment="1" applyProtection="1">
      <alignment horizontal="center"/>
      <protection locked="0"/>
    </xf>
    <xf numFmtId="0" fontId="5" fillId="48" borderId="266" xfId="48" applyFill="1" applyBorder="1" applyAlignment="1" applyProtection="1">
      <alignment horizontal="center" vertical="center"/>
      <protection locked="0"/>
    </xf>
    <xf numFmtId="0" fontId="5" fillId="48" borderId="267" xfId="48" applyFill="1" applyBorder="1" applyAlignment="1" applyProtection="1">
      <alignment horizontal="center" vertical="center"/>
      <protection locked="0"/>
    </xf>
    <xf numFmtId="0" fontId="52" fillId="48" borderId="88" xfId="48" applyFont="1" applyFill="1" applyBorder="1" applyAlignment="1" applyProtection="1">
      <alignment horizontal="center"/>
      <protection locked="0"/>
    </xf>
    <xf numFmtId="0" fontId="5" fillId="114" borderId="251" xfId="48" applyFill="1" applyBorder="1" applyAlignment="1">
      <alignment horizontal="center"/>
    </xf>
    <xf numFmtId="0" fontId="5" fillId="114" borderId="253" xfId="48" applyFill="1" applyBorder="1" applyAlignment="1">
      <alignment horizontal="center"/>
    </xf>
    <xf numFmtId="0" fontId="5" fillId="114" borderId="252" xfId="48" applyFill="1" applyBorder="1" applyAlignment="1">
      <alignment horizontal="center"/>
    </xf>
    <xf numFmtId="0" fontId="5" fillId="0" borderId="258" xfId="48" applyBorder="1" applyAlignment="1">
      <alignment horizontal="center" vertical="center"/>
    </xf>
    <xf numFmtId="1" fontId="5" fillId="44" borderId="81" xfId="48" applyNumberFormat="1" applyFill="1" applyBorder="1" applyAlignment="1" applyProtection="1">
      <alignment horizontal="center"/>
      <protection locked="0"/>
    </xf>
    <xf numFmtId="1" fontId="5" fillId="46" borderId="251" xfId="48" applyNumberFormat="1" applyFill="1" applyBorder="1" applyAlignment="1">
      <alignment horizontal="center"/>
    </xf>
    <xf numFmtId="1" fontId="5" fillId="44" borderId="94" xfId="48" applyNumberFormat="1" applyFill="1" applyBorder="1" applyAlignment="1" applyProtection="1">
      <alignment horizontal="center"/>
      <protection locked="0"/>
    </xf>
    <xf numFmtId="1" fontId="5" fillId="0" borderId="96" xfId="48" applyNumberFormat="1" applyBorder="1" applyAlignment="1" applyProtection="1">
      <alignment horizontal="center"/>
      <protection locked="0"/>
    </xf>
    <xf numFmtId="0" fontId="5" fillId="46" borderId="251" xfId="48" applyFill="1" applyBorder="1" applyAlignment="1">
      <alignment horizontal="center"/>
    </xf>
    <xf numFmtId="0" fontId="5" fillId="0" borderId="165" xfId="48" applyBorder="1" applyAlignment="1">
      <alignment horizontal="center"/>
    </xf>
    <xf numFmtId="0" fontId="5" fillId="48" borderId="251" xfId="48" applyFill="1" applyBorder="1" applyAlignment="1">
      <alignment horizontal="center" vertical="top"/>
    </xf>
    <xf numFmtId="0" fontId="5" fillId="54" borderId="71" xfId="48" applyFill="1" applyBorder="1" applyAlignment="1">
      <alignment horizontal="center" vertical="center"/>
    </xf>
    <xf numFmtId="0" fontId="5" fillId="54" borderId="96" xfId="48" applyFill="1" applyBorder="1" applyAlignment="1">
      <alignment horizontal="center" vertical="center"/>
    </xf>
    <xf numFmtId="0" fontId="5" fillId="65" borderId="251" xfId="49" applyFill="1" applyBorder="1" applyAlignment="1">
      <alignment horizontal="center" vertical="center" wrapText="1"/>
    </xf>
    <xf numFmtId="2" fontId="5" fillId="49" borderId="258" xfId="48" applyNumberFormat="1" applyFill="1" applyBorder="1"/>
    <xf numFmtId="0" fontId="5" fillId="49" borderId="260" xfId="48" applyFill="1" applyBorder="1"/>
    <xf numFmtId="0" fontId="5" fillId="49" borderId="259" xfId="48" applyFill="1" applyBorder="1"/>
    <xf numFmtId="0" fontId="5" fillId="49" borderId="268" xfId="48" applyFill="1" applyBorder="1"/>
    <xf numFmtId="0" fontId="5" fillId="55" borderId="251" xfId="48" applyFill="1" applyBorder="1"/>
    <xf numFmtId="2" fontId="5" fillId="55" borderId="253" xfId="48" applyNumberFormat="1" applyFill="1" applyBorder="1"/>
    <xf numFmtId="0" fontId="5" fillId="48" borderId="251" xfId="48" applyFill="1" applyBorder="1"/>
    <xf numFmtId="2" fontId="5" fillId="61" borderId="253" xfId="48" applyNumberFormat="1" applyFill="1" applyBorder="1"/>
    <xf numFmtId="2" fontId="5" fillId="54" borderId="253" xfId="48" applyNumberFormat="1" applyFill="1" applyBorder="1"/>
    <xf numFmtId="2" fontId="5" fillId="55" borderId="251" xfId="48" applyNumberFormat="1" applyFill="1" applyBorder="1"/>
    <xf numFmtId="0" fontId="52" fillId="48" borderId="89" xfId="48" applyFont="1" applyFill="1" applyBorder="1" applyAlignment="1" applyProtection="1">
      <alignment horizontal="center"/>
      <protection locked="0"/>
    </xf>
    <xf numFmtId="0" fontId="52" fillId="48" borderId="90" xfId="48" applyFont="1" applyFill="1" applyBorder="1" applyAlignment="1">
      <alignment horizontal="center"/>
    </xf>
    <xf numFmtId="0" fontId="52" fillId="48" borderId="90" xfId="48" applyFont="1" applyFill="1" applyBorder="1" applyAlignment="1" applyProtection="1">
      <alignment horizontal="center"/>
      <protection locked="0"/>
    </xf>
    <xf numFmtId="0" fontId="52" fillId="48" borderId="147" xfId="48" applyFont="1" applyFill="1" applyBorder="1" applyAlignment="1" applyProtection="1">
      <alignment horizontal="center" vertical="center"/>
      <protection locked="0"/>
    </xf>
    <xf numFmtId="0" fontId="47" fillId="44" borderId="100" xfId="48" applyFont="1" applyFill="1" applyBorder="1" applyAlignment="1" applyProtection="1">
      <alignment horizontal="center"/>
      <protection locked="0"/>
    </xf>
    <xf numFmtId="0" fontId="5" fillId="44" borderId="269" xfId="48" applyFill="1" applyBorder="1" applyAlignment="1" applyProtection="1">
      <alignment horizontal="center"/>
      <protection locked="0"/>
    </xf>
    <xf numFmtId="0" fontId="5" fillId="48" borderId="270" xfId="48" applyFill="1" applyBorder="1" applyAlignment="1" applyProtection="1">
      <alignment horizontal="center"/>
      <protection locked="0"/>
    </xf>
    <xf numFmtId="0" fontId="5" fillId="48" borderId="271" xfId="48" applyFill="1" applyBorder="1" applyAlignment="1" applyProtection="1">
      <alignment horizontal="center"/>
      <protection locked="0"/>
    </xf>
    <xf numFmtId="0" fontId="5" fillId="0" borderId="26" xfId="48" applyBorder="1" applyAlignment="1">
      <alignment horizontal="center" vertical="center"/>
    </xf>
    <xf numFmtId="1" fontId="5" fillId="44" borderId="82" xfId="48" applyNumberFormat="1" applyFill="1" applyBorder="1" applyAlignment="1" applyProtection="1">
      <alignment horizontal="center"/>
      <protection locked="0"/>
    </xf>
    <xf numFmtId="1" fontId="5" fillId="44" borderId="93" xfId="48" applyNumberFormat="1" applyFill="1" applyBorder="1" applyAlignment="1" applyProtection="1">
      <alignment horizontal="center"/>
      <protection locked="0"/>
    </xf>
    <xf numFmtId="1" fontId="5" fillId="0" borderId="83" xfId="48" applyNumberFormat="1" applyBorder="1" applyAlignment="1" applyProtection="1">
      <alignment horizontal="center"/>
      <protection locked="0"/>
    </xf>
    <xf numFmtId="1" fontId="5" fillId="0" borderId="83" xfId="48" applyNumberFormat="1" applyBorder="1" applyAlignment="1">
      <alignment horizontal="center"/>
    </xf>
    <xf numFmtId="0" fontId="5" fillId="54" borderId="73" xfId="48" applyFill="1" applyBorder="1" applyAlignment="1">
      <alignment horizontal="center" vertical="center"/>
    </xf>
    <xf numFmtId="0" fontId="5" fillId="54" borderId="83" xfId="48" applyFill="1" applyBorder="1" applyAlignment="1">
      <alignment horizontal="center" vertical="center"/>
    </xf>
    <xf numFmtId="2" fontId="5" fillId="49" borderId="26" xfId="48" applyNumberFormat="1" applyFill="1" applyBorder="1"/>
    <xf numFmtId="0" fontId="5" fillId="49" borderId="18" xfId="48" applyFill="1" applyBorder="1"/>
    <xf numFmtId="0" fontId="5" fillId="49" borderId="0" xfId="48" applyFill="1"/>
    <xf numFmtId="0" fontId="5" fillId="49" borderId="29" xfId="48" applyFill="1" applyBorder="1"/>
    <xf numFmtId="0" fontId="5" fillId="44" borderId="260" xfId="48" applyFill="1" applyBorder="1"/>
    <xf numFmtId="0" fontId="5" fillId="44" borderId="259" xfId="48" applyFill="1" applyBorder="1"/>
    <xf numFmtId="0" fontId="5" fillId="44" borderId="268" xfId="48" applyFill="1" applyBorder="1"/>
    <xf numFmtId="0" fontId="5" fillId="48" borderId="147" xfId="48" applyFill="1" applyBorder="1" applyAlignment="1" applyProtection="1">
      <alignment horizontal="center" vertical="center"/>
      <protection locked="0"/>
    </xf>
    <xf numFmtId="0" fontId="5" fillId="44" borderId="18" xfId="48" applyFill="1" applyBorder="1"/>
    <xf numFmtId="0" fontId="5" fillId="44" borderId="29" xfId="48" applyFill="1" applyBorder="1"/>
    <xf numFmtId="0" fontId="5" fillId="47" borderId="251" xfId="49" applyFill="1" applyBorder="1" applyAlignment="1">
      <alignment horizontal="center" vertical="center" wrapText="1"/>
    </xf>
    <xf numFmtId="0" fontId="28" fillId="0" borderId="251" xfId="49" applyFont="1" applyBorder="1" applyAlignment="1">
      <alignment horizontal="center" vertical="center"/>
    </xf>
    <xf numFmtId="0" fontId="28" fillId="0" borderId="252" xfId="49" applyFont="1" applyBorder="1" applyAlignment="1">
      <alignment horizontal="center" vertical="center"/>
    </xf>
    <xf numFmtId="0" fontId="5" fillId="48" borderId="89" xfId="48" applyFill="1" applyBorder="1" applyAlignment="1" applyProtection="1">
      <alignment horizontal="center"/>
      <protection locked="0"/>
    </xf>
    <xf numFmtId="0" fontId="5" fillId="48" borderId="90" xfId="48" applyFill="1" applyBorder="1" applyAlignment="1">
      <alignment horizontal="center"/>
    </xf>
    <xf numFmtId="0" fontId="5" fillId="48" borderId="90" xfId="48" applyFill="1" applyBorder="1" applyAlignment="1" applyProtection="1">
      <alignment horizontal="center"/>
      <protection locked="0"/>
    </xf>
    <xf numFmtId="0" fontId="52" fillId="48" borderId="272" xfId="48" applyFont="1" applyFill="1" applyBorder="1" applyAlignment="1" applyProtection="1">
      <alignment horizontal="center" vertical="center"/>
      <protection locked="0"/>
    </xf>
    <xf numFmtId="0" fontId="5" fillId="66" borderId="251" xfId="49" applyFill="1" applyBorder="1" applyAlignment="1">
      <alignment horizontal="center" vertical="center" wrapText="1"/>
    </xf>
    <xf numFmtId="0" fontId="28" fillId="0" borderId="258" xfId="49" applyFont="1" applyBorder="1" applyAlignment="1">
      <alignment horizontal="center" vertical="center"/>
    </xf>
    <xf numFmtId="0" fontId="28" fillId="0" borderId="260" xfId="49" applyFont="1" applyBorder="1" applyAlignment="1">
      <alignment horizontal="center" vertical="center"/>
    </xf>
    <xf numFmtId="0" fontId="52" fillId="48" borderId="91" xfId="48" applyFont="1" applyFill="1" applyBorder="1" applyAlignment="1" applyProtection="1">
      <alignment horizontal="center"/>
      <protection locked="0"/>
    </xf>
    <xf numFmtId="0" fontId="52" fillId="48" borderId="92" xfId="48" applyFont="1" applyFill="1" applyBorder="1" applyAlignment="1">
      <alignment horizontal="center"/>
    </xf>
    <xf numFmtId="0" fontId="52" fillId="48" borderId="92" xfId="48" applyFont="1" applyFill="1" applyBorder="1" applyAlignment="1" applyProtection="1">
      <alignment horizontal="center"/>
      <protection locked="0"/>
    </xf>
    <xf numFmtId="0" fontId="52" fillId="48" borderId="148" xfId="48" applyFont="1" applyFill="1" applyBorder="1" applyAlignment="1" applyProtection="1">
      <alignment horizontal="center" vertical="center"/>
      <protection locked="0"/>
    </xf>
    <xf numFmtId="0" fontId="47" fillId="44" borderId="101" xfId="48" applyFont="1" applyFill="1" applyBorder="1" applyAlignment="1" applyProtection="1">
      <alignment horizontal="center"/>
      <protection locked="0"/>
    </xf>
    <xf numFmtId="0" fontId="5" fillId="44" borderId="273" xfId="48" applyFill="1" applyBorder="1" applyAlignment="1" applyProtection="1">
      <alignment horizontal="center"/>
      <protection locked="0"/>
    </xf>
    <xf numFmtId="0" fontId="5" fillId="48" borderId="274" xfId="48" applyFill="1" applyBorder="1" applyAlignment="1" applyProtection="1">
      <alignment horizontal="center"/>
      <protection locked="0"/>
    </xf>
    <xf numFmtId="0" fontId="5" fillId="48" borderId="275" xfId="48" applyFill="1" applyBorder="1" applyAlignment="1" applyProtection="1">
      <alignment horizontal="center"/>
      <protection locked="0"/>
    </xf>
    <xf numFmtId="0" fontId="5" fillId="0" borderId="11" xfId="48" applyBorder="1" applyAlignment="1">
      <alignment horizontal="center" vertical="center"/>
    </xf>
    <xf numFmtId="1" fontId="5" fillId="44" borderId="80" xfId="48" applyNumberFormat="1" applyFill="1" applyBorder="1" applyAlignment="1" applyProtection="1">
      <alignment horizontal="center"/>
      <protection locked="0"/>
    </xf>
    <xf numFmtId="1" fontId="5" fillId="44" borderId="76" xfId="48" applyNumberFormat="1" applyFill="1" applyBorder="1" applyAlignment="1" applyProtection="1">
      <alignment horizontal="center"/>
      <protection locked="0"/>
    </xf>
    <xf numFmtId="1" fontId="5" fillId="0" borderId="85" xfId="48" applyNumberFormat="1" applyBorder="1" applyAlignment="1" applyProtection="1">
      <alignment horizontal="center"/>
      <protection locked="0"/>
    </xf>
    <xf numFmtId="1" fontId="5" fillId="0" borderId="85" xfId="48" applyNumberFormat="1" applyBorder="1" applyAlignment="1">
      <alignment horizontal="center"/>
    </xf>
    <xf numFmtId="0" fontId="5" fillId="54" borderId="84" xfId="48" applyFill="1" applyBorder="1" applyAlignment="1">
      <alignment horizontal="center" vertical="center"/>
    </xf>
    <xf numFmtId="0" fontId="5" fillId="54" borderId="85" xfId="48" applyFill="1" applyBorder="1" applyAlignment="1">
      <alignment horizontal="center" vertical="center"/>
    </xf>
    <xf numFmtId="0" fontId="5" fillId="67" borderId="252" xfId="49" applyFill="1" applyBorder="1" applyAlignment="1">
      <alignment horizontal="center" vertical="center" wrapText="1"/>
    </xf>
    <xf numFmtId="0" fontId="50" fillId="55" borderId="89" xfId="48" applyFont="1" applyFill="1" applyBorder="1" applyAlignment="1" applyProtection="1">
      <alignment horizontal="center"/>
      <protection locked="0"/>
    </xf>
    <xf numFmtId="0" fontId="5" fillId="46" borderId="11" xfId="48" applyFill="1" applyBorder="1" applyAlignment="1">
      <alignment horizontal="center"/>
    </xf>
    <xf numFmtId="0" fontId="50" fillId="55" borderId="90" xfId="48" applyFont="1" applyFill="1" applyBorder="1" applyAlignment="1">
      <alignment horizontal="center"/>
    </xf>
    <xf numFmtId="0" fontId="5" fillId="114" borderId="11" xfId="48" applyFill="1" applyBorder="1" applyAlignment="1">
      <alignment horizontal="center"/>
    </xf>
    <xf numFmtId="0" fontId="50" fillId="55" borderId="90" xfId="48" applyFont="1" applyFill="1" applyBorder="1" applyAlignment="1" applyProtection="1">
      <alignment horizontal="center"/>
      <protection locked="0"/>
    </xf>
    <xf numFmtId="0" fontId="50" fillId="55" borderId="147" xfId="48" applyFont="1" applyFill="1" applyBorder="1" applyAlignment="1" applyProtection="1">
      <alignment horizontal="center"/>
      <protection locked="0"/>
    </xf>
    <xf numFmtId="0" fontId="47" fillId="44" borderId="276" xfId="48" applyFont="1" applyFill="1" applyBorder="1" applyAlignment="1" applyProtection="1">
      <alignment horizontal="center"/>
      <protection locked="0"/>
    </xf>
    <xf numFmtId="0" fontId="5" fillId="44" borderId="277" xfId="48" applyFill="1" applyBorder="1" applyAlignment="1" applyProtection="1">
      <alignment horizontal="center"/>
      <protection locked="0"/>
    </xf>
    <xf numFmtId="0" fontId="5" fillId="136" borderId="278" xfId="48" applyFill="1" applyBorder="1" applyAlignment="1" applyProtection="1">
      <alignment horizontal="center"/>
      <protection locked="0"/>
    </xf>
    <xf numFmtId="0" fontId="5" fillId="136" borderId="279" xfId="48" applyFill="1" applyBorder="1" applyAlignment="1" applyProtection="1">
      <alignment horizontal="center"/>
      <protection locked="0"/>
    </xf>
    <xf numFmtId="0" fontId="5" fillId="48" borderId="24" xfId="48" applyFill="1" applyBorder="1"/>
    <xf numFmtId="0" fontId="5" fillId="114" borderId="68" xfId="48" applyFill="1" applyBorder="1" applyAlignment="1">
      <alignment horizontal="center"/>
    </xf>
    <xf numFmtId="0" fontId="5" fillId="114" borderId="24" xfId="48" applyFill="1" applyBorder="1" applyAlignment="1">
      <alignment horizontal="center"/>
    </xf>
    <xf numFmtId="1" fontId="5" fillId="44" borderId="210" xfId="48" applyNumberFormat="1" applyFill="1" applyBorder="1" applyAlignment="1" applyProtection="1">
      <alignment horizontal="center"/>
      <protection locked="0"/>
    </xf>
    <xf numFmtId="1" fontId="5" fillId="46" borderId="11" xfId="48" applyNumberFormat="1" applyFill="1" applyBorder="1" applyAlignment="1">
      <alignment horizontal="center"/>
    </xf>
    <xf numFmtId="1" fontId="5" fillId="44" borderId="95" xfId="48" applyNumberFormat="1" applyFill="1" applyBorder="1" applyAlignment="1" applyProtection="1">
      <alignment horizontal="center"/>
      <protection locked="0"/>
    </xf>
    <xf numFmtId="1" fontId="5" fillId="0" borderId="98" xfId="48" applyNumberFormat="1" applyBorder="1" applyAlignment="1" applyProtection="1">
      <alignment horizontal="center"/>
      <protection locked="0"/>
    </xf>
    <xf numFmtId="1" fontId="5" fillId="0" borderId="98" xfId="48" applyNumberFormat="1" applyBorder="1" applyAlignment="1">
      <alignment horizontal="center"/>
    </xf>
    <xf numFmtId="0" fontId="5" fillId="48" borderId="11" xfId="48" applyFill="1" applyBorder="1" applyAlignment="1">
      <alignment horizontal="center" vertical="top"/>
    </xf>
    <xf numFmtId="0" fontId="5" fillId="54" borderId="97" xfId="48" applyFill="1" applyBorder="1" applyAlignment="1">
      <alignment horizontal="center" vertical="center"/>
    </xf>
    <xf numFmtId="0" fontId="5" fillId="54" borderId="98" xfId="48" applyFill="1" applyBorder="1" applyAlignment="1">
      <alignment horizontal="center" vertical="center"/>
    </xf>
    <xf numFmtId="0" fontId="5" fillId="136" borderId="270" xfId="48" applyFill="1" applyBorder="1" applyAlignment="1" applyProtection="1">
      <alignment horizontal="center"/>
      <protection locked="0"/>
    </xf>
    <xf numFmtId="0" fontId="5" fillId="136" borderId="271" xfId="48" applyFill="1" applyBorder="1" applyAlignment="1" applyProtection="1">
      <alignment horizontal="center"/>
      <protection locked="0"/>
    </xf>
    <xf numFmtId="2" fontId="5" fillId="50" borderId="0" xfId="48" applyNumberFormat="1" applyFill="1"/>
    <xf numFmtId="0" fontId="5" fillId="55" borderId="147" xfId="48" applyFill="1" applyBorder="1" applyAlignment="1" applyProtection="1">
      <alignment horizontal="center"/>
      <protection locked="0"/>
    </xf>
    <xf numFmtId="0" fontId="5" fillId="68" borderId="252" xfId="49" applyFill="1" applyBorder="1" applyAlignment="1">
      <alignment horizontal="center" vertical="center" wrapText="1"/>
    </xf>
    <xf numFmtId="0" fontId="5" fillId="55" borderId="89" xfId="48" applyFill="1" applyBorder="1" applyAlignment="1" applyProtection="1">
      <alignment horizontal="center"/>
      <protection locked="0"/>
    </xf>
    <xf numFmtId="0" fontId="5" fillId="55" borderId="90" xfId="48" applyFill="1" applyBorder="1" applyAlignment="1">
      <alignment horizontal="center"/>
    </xf>
    <xf numFmtId="0" fontId="5" fillId="55" borderId="90" xfId="48" applyFill="1" applyBorder="1" applyAlignment="1" applyProtection="1">
      <alignment horizontal="center"/>
      <protection locked="0"/>
    </xf>
    <xf numFmtId="0" fontId="50" fillId="55" borderId="280" xfId="48" applyFont="1" applyFill="1" applyBorder="1" applyAlignment="1" applyProtection="1">
      <alignment horizontal="center"/>
      <protection locked="0"/>
    </xf>
    <xf numFmtId="0" fontId="5" fillId="66" borderId="252" xfId="49" applyFill="1" applyBorder="1" applyAlignment="1">
      <alignment horizontal="center" vertical="center" wrapText="1"/>
    </xf>
    <xf numFmtId="0" fontId="5" fillId="46" borderId="258" xfId="48" applyFill="1" applyBorder="1" applyAlignment="1">
      <alignment horizontal="center"/>
    </xf>
    <xf numFmtId="0" fontId="5" fillId="114" borderId="258" xfId="48" applyFill="1" applyBorder="1" applyAlignment="1">
      <alignment horizontal="center"/>
    </xf>
    <xf numFmtId="0" fontId="47" fillId="44" borderId="250" xfId="48" applyFont="1" applyFill="1" applyBorder="1" applyAlignment="1" applyProtection="1">
      <alignment horizontal="center"/>
      <protection locked="0"/>
    </xf>
    <xf numFmtId="0" fontId="5" fillId="44" borderId="281" xfId="48" applyFill="1" applyBorder="1" applyAlignment="1" applyProtection="1">
      <alignment horizontal="center"/>
      <protection locked="0"/>
    </xf>
    <xf numFmtId="0" fontId="5" fillId="136" borderId="282" xfId="48" applyFill="1" applyBorder="1" applyAlignment="1" applyProtection="1">
      <alignment horizontal="center"/>
      <protection locked="0"/>
    </xf>
    <xf numFmtId="0" fontId="5" fillId="136" borderId="283" xfId="48" applyFill="1" applyBorder="1" applyAlignment="1" applyProtection="1">
      <alignment horizontal="center"/>
      <protection locked="0"/>
    </xf>
    <xf numFmtId="0" fontId="5" fillId="114" borderId="268" xfId="48" applyFill="1" applyBorder="1" applyAlignment="1">
      <alignment horizontal="center"/>
    </xf>
    <xf numFmtId="0" fontId="5" fillId="114" borderId="260" xfId="48" applyFill="1" applyBorder="1" applyAlignment="1">
      <alignment horizontal="center"/>
    </xf>
    <xf numFmtId="1" fontId="5" fillId="44" borderId="284" xfId="48" applyNumberFormat="1" applyFill="1" applyBorder="1" applyAlignment="1" applyProtection="1">
      <alignment horizontal="center"/>
      <protection locked="0"/>
    </xf>
    <xf numFmtId="1" fontId="5" fillId="46" borderId="258" xfId="48" applyNumberFormat="1" applyFill="1" applyBorder="1" applyAlignment="1">
      <alignment horizontal="center"/>
    </xf>
    <xf numFmtId="1" fontId="5" fillId="44" borderId="249" xfId="48" applyNumberFormat="1" applyFill="1" applyBorder="1" applyAlignment="1" applyProtection="1">
      <alignment horizontal="center"/>
      <protection locked="0"/>
    </xf>
    <xf numFmtId="1" fontId="5" fillId="0" borderId="160" xfId="48" applyNumberFormat="1" applyBorder="1" applyAlignment="1" applyProtection="1">
      <alignment horizontal="center"/>
      <protection locked="0"/>
    </xf>
    <xf numFmtId="1" fontId="5" fillId="0" borderId="160" xfId="48" applyNumberFormat="1" applyBorder="1" applyAlignment="1">
      <alignment horizontal="center"/>
    </xf>
    <xf numFmtId="0" fontId="5" fillId="48" borderId="258" xfId="48" applyFill="1" applyBorder="1" applyAlignment="1">
      <alignment horizontal="center" vertical="top"/>
    </xf>
    <xf numFmtId="0" fontId="5" fillId="54" borderId="159" xfId="48" applyFill="1" applyBorder="1" applyAlignment="1">
      <alignment horizontal="center" vertical="center"/>
    </xf>
    <xf numFmtId="0" fontId="5" fillId="54" borderId="160" xfId="48" applyFill="1" applyBorder="1" applyAlignment="1">
      <alignment horizontal="center" vertical="center"/>
    </xf>
    <xf numFmtId="0" fontId="51" fillId="57" borderId="87" xfId="48" applyFont="1" applyFill="1" applyBorder="1" applyAlignment="1" applyProtection="1">
      <alignment horizontal="center"/>
      <protection locked="0"/>
    </xf>
    <xf numFmtId="0" fontId="51" fillId="57" borderId="88" xfId="48" applyFont="1" applyFill="1" applyBorder="1" applyAlignment="1" applyProtection="1">
      <alignment horizontal="center"/>
      <protection locked="0"/>
    </xf>
    <xf numFmtId="0" fontId="51" fillId="57" borderId="146" xfId="48" applyFont="1" applyFill="1" applyBorder="1" applyAlignment="1" applyProtection="1">
      <alignment horizontal="center"/>
      <protection locked="0"/>
    </xf>
    <xf numFmtId="0" fontId="5" fillId="57" borderId="285" xfId="48" applyFill="1" applyBorder="1" applyAlignment="1" applyProtection="1">
      <alignment horizontal="center"/>
      <protection locked="0"/>
    </xf>
    <xf numFmtId="0" fontId="5" fillId="57" borderId="267" xfId="48" applyFill="1" applyBorder="1" applyAlignment="1" applyProtection="1">
      <alignment horizontal="center"/>
      <protection locked="0"/>
    </xf>
    <xf numFmtId="1" fontId="5" fillId="0" borderId="96" xfId="48" applyNumberFormat="1" applyBorder="1" applyAlignment="1">
      <alignment horizontal="center"/>
    </xf>
    <xf numFmtId="0" fontId="51" fillId="57" borderId="89" xfId="48" applyFont="1" applyFill="1" applyBorder="1" applyAlignment="1" applyProtection="1">
      <alignment horizontal="center"/>
      <protection locked="0"/>
    </xf>
    <xf numFmtId="0" fontId="51" fillId="57" borderId="90" xfId="48" applyFont="1" applyFill="1" applyBorder="1" applyAlignment="1">
      <alignment horizontal="center"/>
    </xf>
    <xf numFmtId="0" fontId="51" fillId="57" borderId="90" xfId="48" applyFont="1" applyFill="1" applyBorder="1" applyAlignment="1" applyProtection="1">
      <alignment horizontal="center"/>
      <protection locked="0"/>
    </xf>
    <xf numFmtId="0" fontId="51" fillId="57" borderId="147" xfId="48" applyFont="1" applyFill="1" applyBorder="1" applyAlignment="1" applyProtection="1">
      <alignment horizontal="center"/>
      <protection locked="0"/>
    </xf>
    <xf numFmtId="0" fontId="5" fillId="57" borderId="270" xfId="48" applyFill="1" applyBorder="1" applyAlignment="1" applyProtection="1">
      <alignment horizontal="center"/>
      <protection locked="0"/>
    </xf>
    <xf numFmtId="0" fontId="5" fillId="57" borderId="271" xfId="48" applyFill="1" applyBorder="1" applyAlignment="1" applyProtection="1">
      <alignment horizontal="center"/>
      <protection locked="0"/>
    </xf>
    <xf numFmtId="0" fontId="5" fillId="57" borderId="270" xfId="48" applyFill="1" applyBorder="1" applyAlignment="1" applyProtection="1">
      <alignment horizontal="center" vertical="center"/>
      <protection locked="0"/>
    </xf>
    <xf numFmtId="0" fontId="5" fillId="57" borderId="271" xfId="48" applyFill="1" applyBorder="1" applyAlignment="1" applyProtection="1">
      <alignment horizontal="center" vertical="center"/>
      <protection locked="0"/>
    </xf>
    <xf numFmtId="0" fontId="5" fillId="57" borderId="147" xfId="48" applyFill="1" applyBorder="1" applyAlignment="1" applyProtection="1">
      <alignment horizontal="center"/>
      <protection locked="0"/>
    </xf>
    <xf numFmtId="0" fontId="5" fillId="57" borderId="89" xfId="48" applyFill="1" applyBorder="1" applyAlignment="1" applyProtection="1">
      <alignment horizontal="center"/>
      <protection locked="0"/>
    </xf>
    <xf numFmtId="0" fontId="5" fillId="57" borderId="90" xfId="48" applyFill="1" applyBorder="1" applyAlignment="1">
      <alignment horizontal="center"/>
    </xf>
    <xf numFmtId="0" fontId="5" fillId="57" borderId="90" xfId="48" applyFill="1" applyBorder="1" applyAlignment="1" applyProtection="1">
      <alignment horizontal="center"/>
      <protection locked="0"/>
    </xf>
    <xf numFmtId="0" fontId="51" fillId="57" borderId="280" xfId="48" applyFont="1" applyFill="1" applyBorder="1" applyAlignment="1" applyProtection="1">
      <alignment horizontal="center"/>
      <protection locked="0"/>
    </xf>
    <xf numFmtId="0" fontId="51" fillId="57" borderId="91" xfId="48" applyFont="1" applyFill="1" applyBorder="1" applyAlignment="1" applyProtection="1">
      <alignment horizontal="center"/>
      <protection locked="0"/>
    </xf>
    <xf numFmtId="0" fontId="51" fillId="57" borderId="92" xfId="48" applyFont="1" applyFill="1" applyBorder="1" applyAlignment="1">
      <alignment horizontal="center"/>
    </xf>
    <xf numFmtId="0" fontId="51" fillId="57" borderId="92" xfId="48" applyFont="1" applyFill="1" applyBorder="1" applyAlignment="1" applyProtection="1">
      <alignment horizontal="center"/>
      <protection locked="0"/>
    </xf>
    <xf numFmtId="0" fontId="51" fillId="57" borderId="148" xfId="48" applyFont="1" applyFill="1" applyBorder="1" applyAlignment="1" applyProtection="1">
      <alignment horizontal="center"/>
      <protection locked="0"/>
    </xf>
    <xf numFmtId="0" fontId="5" fillId="57" borderId="274" xfId="48" applyFill="1" applyBorder="1" applyAlignment="1" applyProtection="1">
      <alignment horizontal="center"/>
      <protection locked="0"/>
    </xf>
    <xf numFmtId="0" fontId="5" fillId="57" borderId="275" xfId="48" applyFill="1" applyBorder="1" applyAlignment="1" applyProtection="1">
      <alignment horizontal="center"/>
      <protection locked="0"/>
    </xf>
    <xf numFmtId="0" fontId="51" fillId="57" borderId="286" xfId="48" applyFont="1" applyFill="1" applyBorder="1" applyAlignment="1" applyProtection="1">
      <alignment horizontal="center"/>
      <protection locked="0"/>
    </xf>
    <xf numFmtId="0" fontId="51" fillId="57" borderId="153" xfId="48" applyFont="1" applyFill="1" applyBorder="1" applyAlignment="1" applyProtection="1">
      <alignment horizontal="center"/>
      <protection locked="0"/>
    </xf>
    <xf numFmtId="2" fontId="5" fillId="49" borderId="11" xfId="48" applyNumberFormat="1" applyFill="1" applyBorder="1"/>
    <xf numFmtId="0" fontId="5" fillId="49" borderId="17" xfId="48" applyFill="1" applyBorder="1"/>
    <xf numFmtId="0" fontId="5" fillId="44" borderId="24" xfId="48" applyFill="1" applyBorder="1"/>
    <xf numFmtId="0" fontId="5" fillId="44" borderId="17" xfId="48" applyFill="1" applyBorder="1"/>
    <xf numFmtId="0" fontId="5" fillId="44" borderId="68" xfId="48" applyFill="1" applyBorder="1"/>
    <xf numFmtId="0" fontId="53" fillId="59" borderId="87" xfId="48" applyFont="1" applyFill="1" applyBorder="1" applyAlignment="1" applyProtection="1">
      <alignment horizontal="center"/>
      <protection locked="0"/>
    </xf>
    <xf numFmtId="0" fontId="53" fillId="59" borderId="88" xfId="48" applyFont="1" applyFill="1" applyBorder="1" applyAlignment="1" applyProtection="1">
      <alignment horizontal="center"/>
      <protection locked="0"/>
    </xf>
    <xf numFmtId="0" fontId="53" fillId="59" borderId="146" xfId="48" applyFont="1" applyFill="1" applyBorder="1" applyAlignment="1" applyProtection="1">
      <alignment horizontal="center" vertical="center"/>
      <protection locked="0"/>
    </xf>
    <xf numFmtId="0" fontId="5" fillId="137" borderId="285" xfId="48" applyFill="1" applyBorder="1" applyAlignment="1" applyProtection="1">
      <alignment horizontal="center"/>
      <protection locked="0"/>
    </xf>
    <xf numFmtId="0" fontId="5" fillId="137" borderId="267" xfId="48" applyFill="1" applyBorder="1" applyAlignment="1" applyProtection="1">
      <alignment horizontal="center"/>
      <protection locked="0"/>
    </xf>
    <xf numFmtId="0" fontId="5" fillId="59" borderId="267" xfId="48" applyFill="1" applyBorder="1" applyAlignment="1" applyProtection="1">
      <alignment horizontal="center" vertical="center"/>
      <protection locked="0"/>
    </xf>
    <xf numFmtId="0" fontId="155" fillId="137" borderId="259" xfId="48" applyFont="1" applyFill="1" applyBorder="1" applyAlignment="1" applyProtection="1">
      <alignment horizontal="center"/>
      <protection locked="0"/>
    </xf>
    <xf numFmtId="0" fontId="155" fillId="137" borderId="287" xfId="48" applyFont="1" applyFill="1" applyBorder="1" applyAlignment="1" applyProtection="1">
      <alignment horizontal="center"/>
      <protection locked="0"/>
    </xf>
    <xf numFmtId="0" fontId="53" fillId="59" borderId="89" xfId="48" applyFont="1" applyFill="1" applyBorder="1" applyAlignment="1" applyProtection="1">
      <alignment horizontal="center"/>
      <protection locked="0"/>
    </xf>
    <xf numFmtId="0" fontId="53" fillId="59" borderId="90" xfId="48" applyFont="1" applyFill="1" applyBorder="1" applyAlignment="1">
      <alignment horizontal="center"/>
    </xf>
    <xf numFmtId="0" fontId="53" fillId="59" borderId="90" xfId="48" applyFont="1" applyFill="1" applyBorder="1" applyAlignment="1" applyProtection="1">
      <alignment horizontal="center"/>
      <protection locked="0"/>
    </xf>
    <xf numFmtId="0" fontId="53" fillId="59" borderId="147" xfId="48" applyFont="1" applyFill="1" applyBorder="1" applyAlignment="1" applyProtection="1">
      <alignment horizontal="center" vertical="center"/>
      <protection locked="0"/>
    </xf>
    <xf numFmtId="0" fontId="5" fillId="137" borderId="270" xfId="48" applyFill="1" applyBorder="1" applyAlignment="1" applyProtection="1">
      <alignment horizontal="center"/>
      <protection locked="0"/>
    </xf>
    <xf numFmtId="0" fontId="5" fillId="137" borderId="271" xfId="48" applyFill="1" applyBorder="1" applyAlignment="1" applyProtection="1">
      <alignment horizontal="center"/>
      <protection locked="0"/>
    </xf>
    <xf numFmtId="0" fontId="5" fillId="59" borderId="271" xfId="48" applyFill="1" applyBorder="1" applyAlignment="1" applyProtection="1">
      <alignment horizontal="center"/>
      <protection locked="0"/>
    </xf>
    <xf numFmtId="0" fontId="155" fillId="137" borderId="0" xfId="48" applyFont="1" applyFill="1" applyAlignment="1" applyProtection="1">
      <alignment horizontal="center"/>
      <protection locked="0"/>
    </xf>
    <xf numFmtId="0" fontId="155" fillId="137" borderId="288" xfId="48" applyFont="1" applyFill="1" applyBorder="1" applyAlignment="1" applyProtection="1">
      <alignment horizontal="center"/>
      <protection locked="0"/>
    </xf>
    <xf numFmtId="0" fontId="5" fillId="59" borderId="147" xfId="48" applyFill="1" applyBorder="1" applyAlignment="1" applyProtection="1">
      <alignment horizontal="center" vertical="center"/>
      <protection locked="0"/>
    </xf>
    <xf numFmtId="0" fontId="5" fillId="59" borderId="89" xfId="48" applyFill="1" applyBorder="1" applyAlignment="1" applyProtection="1">
      <alignment horizontal="center"/>
      <protection locked="0"/>
    </xf>
    <xf numFmtId="0" fontId="5" fillId="59" borderId="90" xfId="48" applyFill="1" applyBorder="1" applyAlignment="1">
      <alignment horizontal="center"/>
    </xf>
    <xf numFmtId="0" fontId="5" fillId="59" borderId="90" xfId="48" applyFill="1" applyBorder="1" applyAlignment="1" applyProtection="1">
      <alignment horizontal="center"/>
      <protection locked="0"/>
    </xf>
    <xf numFmtId="0" fontId="53" fillId="59" borderId="280" xfId="48" applyFont="1" applyFill="1" applyBorder="1" applyAlignment="1" applyProtection="1">
      <alignment horizontal="center" vertical="center"/>
      <protection locked="0"/>
    </xf>
    <xf numFmtId="0" fontId="5" fillId="137" borderId="0" xfId="48" applyFill="1" applyAlignment="1" applyProtection="1">
      <alignment horizontal="center"/>
      <protection locked="0"/>
    </xf>
    <xf numFmtId="0" fontId="5" fillId="137" borderId="288" xfId="48" applyFill="1" applyBorder="1" applyAlignment="1" applyProtection="1">
      <alignment horizontal="center"/>
      <protection locked="0"/>
    </xf>
    <xf numFmtId="0" fontId="53" fillId="59" borderId="91" xfId="48" applyFont="1" applyFill="1" applyBorder="1" applyAlignment="1" applyProtection="1">
      <alignment horizontal="center"/>
      <protection locked="0"/>
    </xf>
    <xf numFmtId="0" fontId="53" fillId="59" borderId="92" xfId="48" applyFont="1" applyFill="1" applyBorder="1" applyAlignment="1">
      <alignment horizontal="center"/>
    </xf>
    <xf numFmtId="0" fontId="53" fillId="59" borderId="92" xfId="48" applyFont="1" applyFill="1" applyBorder="1" applyAlignment="1" applyProtection="1">
      <alignment horizontal="center"/>
      <protection locked="0"/>
    </xf>
    <xf numFmtId="0" fontId="53" fillId="59" borderId="148" xfId="48" applyFont="1" applyFill="1" applyBorder="1" applyAlignment="1" applyProtection="1">
      <alignment horizontal="center" vertical="center"/>
      <protection locked="0"/>
    </xf>
    <xf numFmtId="0" fontId="5" fillId="137" borderId="274" xfId="48" applyFill="1" applyBorder="1" applyAlignment="1" applyProtection="1">
      <alignment horizontal="center"/>
      <protection locked="0"/>
    </xf>
    <xf numFmtId="0" fontId="5" fillId="137" borderId="275" xfId="48" applyFill="1" applyBorder="1" applyAlignment="1" applyProtection="1">
      <alignment horizontal="center"/>
      <protection locked="0"/>
    </xf>
    <xf numFmtId="0" fontId="5" fillId="59" borderId="275" xfId="48" applyFill="1" applyBorder="1" applyAlignment="1" applyProtection="1">
      <alignment horizontal="center"/>
      <protection locked="0"/>
    </xf>
    <xf numFmtId="0" fontId="155" fillId="137" borderId="289" xfId="48" applyFont="1" applyFill="1" applyBorder="1" applyAlignment="1" applyProtection="1">
      <alignment horizontal="center"/>
      <protection locked="0"/>
    </xf>
    <xf numFmtId="0" fontId="55" fillId="63" borderId="290" xfId="48" applyFont="1" applyFill="1" applyBorder="1" applyAlignment="1" applyProtection="1">
      <alignment horizontal="center"/>
      <protection locked="0"/>
    </xf>
    <xf numFmtId="0" fontId="55" fillId="63" borderId="291" xfId="48" applyFont="1" applyFill="1" applyBorder="1" applyAlignment="1" applyProtection="1">
      <alignment horizontal="center"/>
      <protection locked="0"/>
    </xf>
    <xf numFmtId="0" fontId="55" fillId="63" borderId="292" xfId="48" applyFont="1" applyFill="1" applyBorder="1" applyAlignment="1" applyProtection="1">
      <alignment horizontal="center"/>
      <protection locked="0"/>
    </xf>
    <xf numFmtId="0" fontId="55" fillId="63" borderId="259" xfId="48" applyFont="1" applyFill="1" applyBorder="1" applyAlignment="1" applyProtection="1">
      <alignment horizontal="center"/>
      <protection locked="0"/>
    </xf>
    <xf numFmtId="0" fontId="5" fillId="63" borderId="285" xfId="48" applyFill="1" applyBorder="1" applyAlignment="1" applyProtection="1">
      <alignment horizontal="center"/>
      <protection locked="0"/>
    </xf>
    <xf numFmtId="0" fontId="5" fillId="63" borderId="267" xfId="48" applyFill="1" applyBorder="1" applyAlignment="1" applyProtection="1">
      <alignment horizontal="center"/>
      <protection locked="0"/>
    </xf>
    <xf numFmtId="0" fontId="5" fillId="76" borderId="267" xfId="48" applyFill="1" applyBorder="1" applyAlignment="1" applyProtection="1">
      <alignment horizontal="center" vertical="center"/>
      <protection locked="0"/>
    </xf>
    <xf numFmtId="0" fontId="55" fillId="63" borderId="293" xfId="48" applyFont="1" applyFill="1" applyBorder="1" applyAlignment="1" applyProtection="1">
      <alignment horizontal="center"/>
      <protection locked="0"/>
    </xf>
    <xf numFmtId="0" fontId="55" fillId="63" borderId="294" xfId="48" applyFont="1" applyFill="1" applyBorder="1" applyAlignment="1" applyProtection="1">
      <alignment horizontal="center"/>
      <protection locked="0"/>
    </xf>
    <xf numFmtId="0" fontId="55" fillId="63" borderId="295" xfId="48" applyFont="1" applyFill="1" applyBorder="1" applyAlignment="1" applyProtection="1">
      <alignment horizontal="center"/>
      <protection locked="0"/>
    </xf>
    <xf numFmtId="0" fontId="55" fillId="63" borderId="0" xfId="48" applyFont="1" applyFill="1" applyAlignment="1" applyProtection="1">
      <alignment horizontal="center"/>
      <protection locked="0"/>
    </xf>
    <xf numFmtId="0" fontId="5" fillId="63" borderId="278" xfId="48" applyFill="1" applyBorder="1" applyAlignment="1" applyProtection="1">
      <alignment horizontal="center"/>
      <protection locked="0"/>
    </xf>
    <xf numFmtId="0" fontId="5" fillId="63" borderId="279" xfId="48" applyFill="1" applyBorder="1" applyAlignment="1" applyProtection="1">
      <alignment horizontal="center"/>
      <protection locked="0"/>
    </xf>
    <xf numFmtId="0" fontId="5" fillId="76" borderId="271" xfId="48" applyFill="1" applyBorder="1" applyAlignment="1" applyProtection="1">
      <alignment horizontal="center"/>
      <protection locked="0"/>
    </xf>
    <xf numFmtId="0" fontId="5" fillId="63" borderId="0" xfId="48" applyFill="1" applyAlignment="1" applyProtection="1">
      <alignment horizontal="center"/>
      <protection locked="0"/>
    </xf>
    <xf numFmtId="0" fontId="5" fillId="63" borderId="293" xfId="48" applyFill="1" applyBorder="1" applyAlignment="1" applyProtection="1">
      <alignment horizontal="center"/>
      <protection locked="0"/>
    </xf>
    <xf numFmtId="0" fontId="5" fillId="63" borderId="294" xfId="48" applyFill="1" applyBorder="1" applyAlignment="1" applyProtection="1">
      <alignment horizontal="center"/>
      <protection locked="0"/>
    </xf>
    <xf numFmtId="0" fontId="5" fillId="63" borderId="295" xfId="48" applyFill="1" applyBorder="1" applyAlignment="1" applyProtection="1">
      <alignment horizontal="center"/>
      <protection locked="0"/>
    </xf>
    <xf numFmtId="0" fontId="55" fillId="63" borderId="296" xfId="48" applyFont="1" applyFill="1" applyBorder="1" applyAlignment="1" applyProtection="1">
      <alignment horizontal="center"/>
      <protection locked="0"/>
    </xf>
    <xf numFmtId="0" fontId="55" fillId="63" borderId="297" xfId="48" applyFont="1" applyFill="1" applyBorder="1" applyAlignment="1" applyProtection="1">
      <alignment horizontal="center"/>
      <protection locked="0"/>
    </xf>
    <xf numFmtId="0" fontId="55" fillId="63" borderId="298" xfId="48" applyFont="1" applyFill="1" applyBorder="1" applyAlignment="1" applyProtection="1">
      <alignment horizontal="center"/>
      <protection locked="0"/>
    </xf>
    <xf numFmtId="0" fontId="55" fillId="63" borderId="299" xfId="48" applyFont="1" applyFill="1" applyBorder="1" applyAlignment="1" applyProtection="1">
      <alignment horizontal="center"/>
      <protection locked="0"/>
    </xf>
    <xf numFmtId="0" fontId="55" fillId="63" borderId="17" xfId="48" applyFont="1" applyFill="1" applyBorder="1" applyAlignment="1" applyProtection="1">
      <alignment horizontal="center"/>
      <protection locked="0"/>
    </xf>
    <xf numFmtId="0" fontId="5" fillId="63" borderId="298" xfId="48" applyFill="1" applyBorder="1" applyAlignment="1" applyProtection="1">
      <alignment horizontal="center"/>
      <protection locked="0"/>
    </xf>
    <xf numFmtId="0" fontId="5" fillId="63" borderId="299" xfId="48" applyFill="1" applyBorder="1" applyAlignment="1" applyProtection="1">
      <alignment horizontal="center"/>
      <protection locked="0"/>
    </xf>
    <xf numFmtId="0" fontId="5" fillId="76" borderId="275" xfId="48" applyFill="1" applyBorder="1" applyAlignment="1" applyProtection="1">
      <alignment horizontal="center"/>
      <protection locked="0"/>
    </xf>
    <xf numFmtId="0" fontId="156" fillId="77" borderId="290" xfId="48" applyFont="1" applyFill="1" applyBorder="1" applyAlignment="1" applyProtection="1">
      <alignment horizontal="center"/>
      <protection locked="0"/>
    </xf>
    <xf numFmtId="0" fontId="156" fillId="77" borderId="291" xfId="48" applyFont="1" applyFill="1" applyBorder="1" applyAlignment="1" applyProtection="1">
      <alignment horizontal="center"/>
      <protection locked="0"/>
    </xf>
    <xf numFmtId="0" fontId="156" fillId="77" borderId="292" xfId="48" applyFont="1" applyFill="1" applyBorder="1" applyAlignment="1" applyProtection="1">
      <alignment horizontal="center"/>
      <protection locked="0"/>
    </xf>
    <xf numFmtId="0" fontId="156" fillId="77" borderId="259" xfId="48" applyFont="1" applyFill="1" applyBorder="1" applyAlignment="1" applyProtection="1">
      <alignment horizontal="center"/>
      <protection locked="0"/>
    </xf>
    <xf numFmtId="0" fontId="5" fillId="77" borderId="285" xfId="48" applyFill="1" applyBorder="1" applyAlignment="1" applyProtection="1">
      <alignment horizontal="center"/>
      <protection locked="0"/>
    </xf>
    <xf numFmtId="0" fontId="5" fillId="77" borderId="267" xfId="48" applyFill="1" applyBorder="1" applyAlignment="1" applyProtection="1">
      <alignment horizontal="center"/>
      <protection locked="0"/>
    </xf>
    <xf numFmtId="0" fontId="5" fillId="77" borderId="267" xfId="48" applyFill="1" applyBorder="1" applyAlignment="1" applyProtection="1">
      <alignment horizontal="center" vertical="center"/>
      <protection locked="0"/>
    </xf>
    <xf numFmtId="0" fontId="156" fillId="77" borderId="293" xfId="48" applyFont="1" applyFill="1" applyBorder="1" applyAlignment="1" applyProtection="1">
      <alignment horizontal="center"/>
      <protection locked="0"/>
    </xf>
    <xf numFmtId="0" fontId="156" fillId="77" borderId="294" xfId="48" applyFont="1" applyFill="1" applyBorder="1" applyAlignment="1" applyProtection="1">
      <alignment horizontal="center"/>
      <protection locked="0"/>
    </xf>
    <xf numFmtId="0" fontId="156" fillId="77" borderId="295" xfId="48" applyFont="1" applyFill="1" applyBorder="1" applyAlignment="1" applyProtection="1">
      <alignment horizontal="center"/>
      <protection locked="0"/>
    </xf>
    <xf numFmtId="0" fontId="156" fillId="77" borderId="0" xfId="48" applyFont="1" applyFill="1" applyAlignment="1" applyProtection="1">
      <alignment horizontal="center"/>
      <protection locked="0"/>
    </xf>
    <xf numFmtId="0" fontId="5" fillId="77" borderId="270" xfId="48" applyFill="1" applyBorder="1" applyAlignment="1" applyProtection="1">
      <alignment horizontal="center"/>
      <protection locked="0"/>
    </xf>
    <xf numFmtId="0" fontId="5" fillId="77" borderId="271" xfId="48" applyFill="1" applyBorder="1" applyAlignment="1" applyProtection="1">
      <alignment horizontal="center"/>
      <protection locked="0"/>
    </xf>
    <xf numFmtId="0" fontId="5" fillId="77" borderId="0" xfId="48" applyFill="1" applyAlignment="1" applyProtection="1">
      <alignment horizontal="center"/>
      <protection locked="0"/>
    </xf>
    <xf numFmtId="0" fontId="5" fillId="77" borderId="293" xfId="48" applyFill="1" applyBorder="1" applyAlignment="1" applyProtection="1">
      <alignment horizontal="center"/>
      <protection locked="0"/>
    </xf>
    <xf numFmtId="0" fontId="5" fillId="77" borderId="294" xfId="48" applyFill="1" applyBorder="1" applyAlignment="1" applyProtection="1">
      <alignment horizontal="center"/>
      <protection locked="0"/>
    </xf>
    <xf numFmtId="0" fontId="5" fillId="77" borderId="295" xfId="48" applyFill="1" applyBorder="1" applyAlignment="1" applyProtection="1">
      <alignment horizontal="center"/>
      <protection locked="0"/>
    </xf>
    <xf numFmtId="0" fontId="156" fillId="77" borderId="296" xfId="48" applyFont="1" applyFill="1" applyBorder="1" applyAlignment="1" applyProtection="1">
      <alignment horizontal="center"/>
      <protection locked="0"/>
    </xf>
    <xf numFmtId="0" fontId="156" fillId="77" borderId="297" xfId="48" applyFont="1" applyFill="1" applyBorder="1" applyAlignment="1" applyProtection="1">
      <alignment horizontal="center"/>
      <protection locked="0"/>
    </xf>
    <xf numFmtId="0" fontId="156" fillId="77" borderId="298" xfId="48" applyFont="1" applyFill="1" applyBorder="1" applyAlignment="1" applyProtection="1">
      <alignment horizontal="center"/>
      <protection locked="0"/>
    </xf>
    <xf numFmtId="0" fontId="156" fillId="77" borderId="299" xfId="48" applyFont="1" applyFill="1" applyBorder="1" applyAlignment="1" applyProtection="1">
      <alignment horizontal="center"/>
      <protection locked="0"/>
    </xf>
    <xf numFmtId="0" fontId="156" fillId="77" borderId="17" xfId="48" applyFont="1" applyFill="1" applyBorder="1" applyAlignment="1" applyProtection="1">
      <alignment horizontal="center"/>
      <protection locked="0"/>
    </xf>
    <xf numFmtId="0" fontId="5" fillId="77" borderId="274" xfId="48" applyFill="1" applyBorder="1" applyAlignment="1" applyProtection="1">
      <alignment horizontal="center"/>
      <protection locked="0"/>
    </xf>
    <xf numFmtId="0" fontId="5" fillId="77" borderId="275" xfId="48" applyFill="1" applyBorder="1" applyAlignment="1" applyProtection="1">
      <alignment horizontal="center"/>
      <protection locked="0"/>
    </xf>
    <xf numFmtId="0" fontId="56" fillId="54" borderId="87" xfId="48" applyFont="1" applyFill="1" applyBorder="1" applyAlignment="1" applyProtection="1">
      <alignment horizontal="center"/>
      <protection locked="0"/>
    </xf>
    <xf numFmtId="0" fontId="56" fillId="54" borderId="88" xfId="48" applyFont="1" applyFill="1" applyBorder="1" applyAlignment="1" applyProtection="1">
      <alignment horizontal="center"/>
      <protection locked="0"/>
    </xf>
    <xf numFmtId="0" fontId="56" fillId="54" borderId="146" xfId="48" applyFont="1" applyFill="1" applyBorder="1" applyAlignment="1" applyProtection="1">
      <alignment horizontal="center"/>
      <protection locked="0"/>
    </xf>
    <xf numFmtId="0" fontId="5" fillId="54" borderId="300" xfId="48" applyFill="1" applyBorder="1" applyAlignment="1" applyProtection="1">
      <alignment horizontal="center"/>
      <protection locked="0"/>
    </xf>
    <xf numFmtId="0" fontId="5" fillId="54" borderId="88" xfId="48" applyFill="1" applyBorder="1" applyAlignment="1" applyProtection="1">
      <alignment horizontal="center"/>
      <protection locked="0"/>
    </xf>
    <xf numFmtId="0" fontId="56" fillId="54" borderId="89" xfId="48" applyFont="1" applyFill="1" applyBorder="1" applyAlignment="1" applyProtection="1">
      <alignment horizontal="center"/>
      <protection locked="0"/>
    </xf>
    <xf numFmtId="0" fontId="56" fillId="54" borderId="90" xfId="48" applyFont="1" applyFill="1" applyBorder="1" applyAlignment="1" applyProtection="1">
      <alignment horizontal="center"/>
      <protection locked="0"/>
    </xf>
    <xf numFmtId="0" fontId="56" fillId="54" borderId="147" xfId="48" applyFont="1" applyFill="1" applyBorder="1" applyAlignment="1" applyProtection="1">
      <alignment horizontal="center"/>
      <protection locked="0"/>
    </xf>
    <xf numFmtId="0" fontId="5" fillId="54" borderId="142" xfId="48" applyFill="1" applyBorder="1" applyAlignment="1" applyProtection="1">
      <alignment horizontal="center"/>
      <protection locked="0"/>
    </xf>
    <xf numFmtId="0" fontId="5" fillId="54" borderId="90" xfId="48" applyFill="1" applyBorder="1" applyAlignment="1" applyProtection="1">
      <alignment horizontal="center"/>
      <protection locked="0"/>
    </xf>
    <xf numFmtId="0" fontId="5" fillId="54" borderId="147" xfId="48" applyFill="1" applyBorder="1" applyAlignment="1" applyProtection="1">
      <alignment horizontal="center"/>
      <protection locked="0"/>
    </xf>
    <xf numFmtId="0" fontId="5" fillId="54" borderId="89" xfId="48" applyFill="1" applyBorder="1" applyAlignment="1" applyProtection="1">
      <alignment horizontal="center"/>
      <protection locked="0"/>
    </xf>
    <xf numFmtId="0" fontId="56" fillId="54" borderId="280" xfId="48" applyFont="1" applyFill="1" applyBorder="1" applyAlignment="1" applyProtection="1">
      <alignment horizontal="center"/>
      <protection locked="0"/>
    </xf>
    <xf numFmtId="0" fontId="47" fillId="44" borderId="301" xfId="48" applyFont="1" applyFill="1" applyBorder="1" applyAlignment="1" applyProtection="1">
      <alignment horizontal="center"/>
      <protection locked="0"/>
    </xf>
    <xf numFmtId="0" fontId="56" fillId="54" borderId="91" xfId="48" applyFont="1" applyFill="1" applyBorder="1" applyAlignment="1" applyProtection="1">
      <alignment horizontal="center"/>
      <protection locked="0"/>
    </xf>
    <xf numFmtId="0" fontId="56" fillId="54" borderId="92" xfId="48" applyFont="1" applyFill="1" applyBorder="1" applyAlignment="1" applyProtection="1">
      <alignment horizontal="center"/>
      <protection locked="0"/>
    </xf>
    <xf numFmtId="0" fontId="56" fillId="54" borderId="148" xfId="48" applyFont="1" applyFill="1" applyBorder="1" applyAlignment="1" applyProtection="1">
      <alignment horizontal="center"/>
      <protection locked="0"/>
    </xf>
    <xf numFmtId="0" fontId="5" fillId="54" borderId="143" xfId="48" applyFill="1" applyBorder="1" applyAlignment="1" applyProtection="1">
      <alignment horizontal="center"/>
      <protection locked="0"/>
    </xf>
    <xf numFmtId="0" fontId="5" fillId="54" borderId="92" xfId="48" applyFill="1" applyBorder="1" applyAlignment="1" applyProtection="1">
      <alignment horizontal="center"/>
      <protection locked="0"/>
    </xf>
    <xf numFmtId="0" fontId="157" fillId="61" borderId="290" xfId="48" applyFont="1" applyFill="1" applyBorder="1" applyAlignment="1" applyProtection="1">
      <alignment horizontal="center"/>
      <protection locked="0"/>
    </xf>
    <xf numFmtId="0" fontId="157" fillId="61" borderId="291" xfId="48" applyFont="1" applyFill="1" applyBorder="1" applyAlignment="1">
      <alignment horizontal="center"/>
    </xf>
    <xf numFmtId="0" fontId="157" fillId="61" borderId="291" xfId="48" applyFont="1" applyFill="1" applyBorder="1" applyAlignment="1" applyProtection="1">
      <alignment horizontal="center"/>
      <protection locked="0"/>
    </xf>
    <xf numFmtId="0" fontId="157" fillId="61" borderId="292" xfId="48" applyFont="1" applyFill="1" applyBorder="1" applyAlignment="1" applyProtection="1">
      <alignment horizontal="center"/>
      <protection locked="0"/>
    </xf>
    <xf numFmtId="0" fontId="157" fillId="114" borderId="259" xfId="48" applyFont="1" applyFill="1" applyBorder="1" applyAlignment="1">
      <alignment horizontal="center"/>
    </xf>
    <xf numFmtId="0" fontId="157" fillId="61" borderId="259" xfId="48" applyFont="1" applyFill="1" applyBorder="1" applyAlignment="1" applyProtection="1">
      <alignment horizontal="center"/>
      <protection locked="0"/>
    </xf>
    <xf numFmtId="0" fontId="5" fillId="61" borderId="285" xfId="48" applyFill="1" applyBorder="1" applyAlignment="1" applyProtection="1">
      <alignment horizontal="center"/>
      <protection locked="0"/>
    </xf>
    <xf numFmtId="0" fontId="5" fillId="61" borderId="267" xfId="48" applyFill="1" applyBorder="1" applyAlignment="1" applyProtection="1">
      <alignment horizontal="center"/>
      <protection locked="0"/>
    </xf>
    <xf numFmtId="0" fontId="157" fillId="61" borderId="293" xfId="48" applyFont="1" applyFill="1" applyBorder="1" applyAlignment="1" applyProtection="1">
      <alignment horizontal="center"/>
      <protection locked="0"/>
    </xf>
    <xf numFmtId="0" fontId="157" fillId="61" borderId="294" xfId="48" applyFont="1" applyFill="1" applyBorder="1" applyAlignment="1">
      <alignment horizontal="center"/>
    </xf>
    <xf numFmtId="0" fontId="157" fillId="61" borderId="294" xfId="48" applyFont="1" applyFill="1" applyBorder="1" applyAlignment="1" applyProtection="1">
      <alignment horizontal="center"/>
      <protection locked="0"/>
    </xf>
    <xf numFmtId="0" fontId="157" fillId="61" borderId="295" xfId="48" applyFont="1" applyFill="1" applyBorder="1" applyAlignment="1" applyProtection="1">
      <alignment horizontal="center"/>
      <protection locked="0"/>
    </xf>
    <xf numFmtId="0" fontId="157" fillId="114" borderId="0" xfId="48" applyFont="1" applyFill="1" applyAlignment="1">
      <alignment horizontal="center"/>
    </xf>
    <xf numFmtId="0" fontId="157" fillId="61" borderId="0" xfId="48" applyFont="1" applyFill="1" applyAlignment="1" applyProtection="1">
      <alignment horizontal="center"/>
      <protection locked="0"/>
    </xf>
    <xf numFmtId="0" fontId="5" fillId="61" borderId="270" xfId="48" applyFill="1" applyBorder="1" applyAlignment="1" applyProtection="1">
      <alignment horizontal="center"/>
      <protection locked="0"/>
    </xf>
    <xf numFmtId="0" fontId="5" fillId="61" borderId="271" xfId="48" applyFill="1" applyBorder="1" applyAlignment="1" applyProtection="1">
      <alignment horizontal="center"/>
      <protection locked="0"/>
    </xf>
    <xf numFmtId="0" fontId="5" fillId="61" borderId="0" xfId="48" applyFill="1" applyAlignment="1" applyProtection="1">
      <alignment horizontal="center"/>
      <protection locked="0"/>
    </xf>
    <xf numFmtId="0" fontId="5" fillId="61" borderId="293" xfId="48" applyFill="1" applyBorder="1" applyAlignment="1" applyProtection="1">
      <alignment horizontal="center"/>
      <protection locked="0"/>
    </xf>
    <xf numFmtId="0" fontId="5" fillId="61" borderId="294" xfId="48" applyFill="1" applyBorder="1" applyAlignment="1">
      <alignment horizontal="center"/>
    </xf>
    <xf numFmtId="0" fontId="5" fillId="61" borderId="294" xfId="48" applyFill="1" applyBorder="1" applyAlignment="1" applyProtection="1">
      <alignment horizontal="center"/>
      <protection locked="0"/>
    </xf>
    <xf numFmtId="0" fontId="5" fillId="61" borderId="295" xfId="48" applyFill="1" applyBorder="1" applyAlignment="1" applyProtection="1">
      <alignment horizontal="center"/>
      <protection locked="0"/>
    </xf>
    <xf numFmtId="0" fontId="5" fillId="114" borderId="0" xfId="48" applyFill="1" applyAlignment="1">
      <alignment horizontal="center"/>
    </xf>
    <xf numFmtId="0" fontId="157" fillId="61" borderId="296" xfId="48" applyFont="1" applyFill="1" applyBorder="1" applyAlignment="1" applyProtection="1">
      <alignment horizontal="center"/>
      <protection locked="0"/>
    </xf>
    <xf numFmtId="0" fontId="157" fillId="61" borderId="297" xfId="48" applyFont="1" applyFill="1" applyBorder="1" applyAlignment="1" applyProtection="1">
      <alignment horizontal="center"/>
      <protection locked="0"/>
    </xf>
    <xf numFmtId="0" fontId="157" fillId="61" borderId="298" xfId="48" applyFont="1" applyFill="1" applyBorder="1" applyAlignment="1">
      <alignment horizontal="center"/>
    </xf>
    <xf numFmtId="0" fontId="157" fillId="61" borderId="298" xfId="48" applyFont="1" applyFill="1" applyBorder="1" applyAlignment="1" applyProtection="1">
      <alignment horizontal="center"/>
      <protection locked="0"/>
    </xf>
    <xf numFmtId="0" fontId="157" fillId="61" borderId="299" xfId="48" applyFont="1" applyFill="1" applyBorder="1" applyAlignment="1" applyProtection="1">
      <alignment horizontal="center"/>
      <protection locked="0"/>
    </xf>
    <xf numFmtId="0" fontId="157" fillId="114" borderId="17" xfId="48" applyFont="1" applyFill="1" applyBorder="1" applyAlignment="1">
      <alignment horizontal="center"/>
    </xf>
    <xf numFmtId="0" fontId="157" fillId="61" borderId="17" xfId="48" applyFont="1" applyFill="1" applyBorder="1" applyAlignment="1" applyProtection="1">
      <alignment horizontal="center"/>
      <protection locked="0"/>
    </xf>
    <xf numFmtId="0" fontId="5" fillId="61" borderId="274" xfId="48" applyFill="1" applyBorder="1" applyAlignment="1" applyProtection="1">
      <alignment horizontal="center"/>
      <protection locked="0"/>
    </xf>
    <xf numFmtId="0" fontId="5" fillId="61" borderId="275" xfId="48" applyFill="1" applyBorder="1" applyAlignment="1" applyProtection="1">
      <alignment horizontal="center"/>
      <protection locked="0"/>
    </xf>
    <xf numFmtId="0" fontId="158" fillId="64" borderId="290" xfId="48" applyFont="1" applyFill="1" applyBorder="1" applyAlignment="1" applyProtection="1">
      <alignment horizontal="center"/>
      <protection locked="0"/>
    </xf>
    <xf numFmtId="0" fontId="158" fillId="64" borderId="291" xfId="48" applyFont="1" applyFill="1" applyBorder="1" applyAlignment="1" applyProtection="1">
      <alignment horizontal="center"/>
      <protection locked="0"/>
    </xf>
    <xf numFmtId="0" fontId="158" fillId="64" borderId="292" xfId="48" applyFont="1" applyFill="1" applyBorder="1" applyAlignment="1" applyProtection="1">
      <alignment horizontal="center"/>
      <protection locked="0"/>
    </xf>
    <xf numFmtId="0" fontId="158" fillId="114" borderId="259" xfId="48" applyFont="1" applyFill="1" applyBorder="1" applyAlignment="1">
      <alignment horizontal="center"/>
    </xf>
    <xf numFmtId="0" fontId="158" fillId="64" borderId="259" xfId="48" applyFont="1" applyFill="1" applyBorder="1" applyAlignment="1" applyProtection="1">
      <alignment horizontal="center"/>
      <protection locked="0"/>
    </xf>
    <xf numFmtId="0" fontId="5" fillId="64" borderId="285" xfId="48" applyFill="1" applyBorder="1" applyAlignment="1" applyProtection="1">
      <alignment horizontal="center"/>
      <protection locked="0"/>
    </xf>
    <xf numFmtId="0" fontId="5" fillId="64" borderId="267" xfId="48" applyFill="1" applyBorder="1" applyAlignment="1" applyProtection="1">
      <alignment horizontal="center"/>
      <protection locked="0"/>
    </xf>
    <xf numFmtId="0" fontId="158" fillId="64" borderId="293" xfId="48" applyFont="1" applyFill="1" applyBorder="1" applyAlignment="1" applyProtection="1">
      <alignment horizontal="center"/>
      <protection locked="0"/>
    </xf>
    <xf numFmtId="0" fontId="158" fillId="64" borderId="294" xfId="48" applyFont="1" applyFill="1" applyBorder="1" applyAlignment="1" applyProtection="1">
      <alignment horizontal="center"/>
      <protection locked="0"/>
    </xf>
    <xf numFmtId="0" fontId="158" fillId="64" borderId="295" xfId="48" applyFont="1" applyFill="1" applyBorder="1" applyAlignment="1" applyProtection="1">
      <alignment horizontal="center"/>
      <protection locked="0"/>
    </xf>
    <xf numFmtId="0" fontId="158" fillId="114" borderId="0" xfId="48" applyFont="1" applyFill="1" applyAlignment="1">
      <alignment horizontal="center"/>
    </xf>
    <xf numFmtId="0" fontId="158" fillId="64" borderId="0" xfId="48" applyFont="1" applyFill="1" applyAlignment="1" applyProtection="1">
      <alignment horizontal="center"/>
      <protection locked="0"/>
    </xf>
    <xf numFmtId="0" fontId="5" fillId="64" borderId="270" xfId="48" applyFill="1" applyBorder="1" applyAlignment="1" applyProtection="1">
      <alignment horizontal="center"/>
      <protection locked="0"/>
    </xf>
    <xf numFmtId="0" fontId="5" fillId="64" borderId="271" xfId="48" applyFill="1" applyBorder="1" applyAlignment="1" applyProtection="1">
      <alignment horizontal="center"/>
      <protection locked="0"/>
    </xf>
    <xf numFmtId="0" fontId="59" fillId="64" borderId="0" xfId="48" applyFont="1" applyFill="1" applyAlignment="1" applyProtection="1">
      <alignment horizontal="center"/>
      <protection locked="0"/>
    </xf>
    <xf numFmtId="0" fontId="5" fillId="64" borderId="0" xfId="48" applyFill="1" applyAlignment="1" applyProtection="1">
      <alignment horizontal="center"/>
      <protection locked="0"/>
    </xf>
    <xf numFmtId="0" fontId="5" fillId="64" borderId="270" xfId="48" applyFill="1" applyBorder="1" applyAlignment="1" applyProtection="1">
      <alignment horizontal="center" vertical="center"/>
      <protection locked="0"/>
    </xf>
    <xf numFmtId="0" fontId="5" fillId="64" borderId="271" xfId="48" applyFill="1" applyBorder="1" applyAlignment="1" applyProtection="1">
      <alignment horizontal="center" vertical="center"/>
      <protection locked="0"/>
    </xf>
    <xf numFmtId="0" fontId="5" fillId="64" borderId="293" xfId="48" applyFill="1" applyBorder="1" applyAlignment="1" applyProtection="1">
      <alignment horizontal="center"/>
      <protection locked="0"/>
    </xf>
    <xf numFmtId="0" fontId="5" fillId="64" borderId="294" xfId="48" applyFill="1" applyBorder="1" applyAlignment="1" applyProtection="1">
      <alignment horizontal="center"/>
      <protection locked="0"/>
    </xf>
    <xf numFmtId="0" fontId="5" fillId="64" borderId="295" xfId="48" applyFill="1" applyBorder="1" applyAlignment="1" applyProtection="1">
      <alignment horizontal="center"/>
      <protection locked="0"/>
    </xf>
    <xf numFmtId="0" fontId="158" fillId="64" borderId="296" xfId="48" applyFont="1" applyFill="1" applyBorder="1" applyAlignment="1" applyProtection="1">
      <alignment horizontal="center"/>
      <protection locked="0"/>
    </xf>
    <xf numFmtId="0" fontId="158" fillId="64" borderId="297" xfId="48" applyFont="1" applyFill="1" applyBorder="1" applyAlignment="1" applyProtection="1">
      <alignment horizontal="center"/>
      <protection locked="0"/>
    </xf>
    <xf numFmtId="0" fontId="158" fillId="64" borderId="298" xfId="48" applyFont="1" applyFill="1" applyBorder="1" applyAlignment="1" applyProtection="1">
      <alignment horizontal="center"/>
      <protection locked="0"/>
    </xf>
    <xf numFmtId="0" fontId="158" fillId="64" borderId="299" xfId="48" applyFont="1" applyFill="1" applyBorder="1" applyAlignment="1" applyProtection="1">
      <alignment horizontal="center"/>
      <protection locked="0"/>
    </xf>
    <xf numFmtId="0" fontId="158" fillId="114" borderId="17" xfId="48" applyFont="1" applyFill="1" applyBorder="1" applyAlignment="1">
      <alignment horizontal="center"/>
    </xf>
    <xf numFmtId="0" fontId="158" fillId="64" borderId="17" xfId="48" applyFont="1" applyFill="1" applyBorder="1" applyAlignment="1" applyProtection="1">
      <alignment horizontal="center"/>
      <protection locked="0"/>
    </xf>
    <xf numFmtId="0" fontId="5" fillId="64" borderId="274" xfId="48" applyFill="1" applyBorder="1" applyAlignment="1" applyProtection="1">
      <alignment horizontal="center"/>
      <protection locked="0"/>
    </xf>
    <xf numFmtId="0" fontId="5" fillId="64" borderId="275" xfId="48" applyFill="1" applyBorder="1" applyAlignment="1" applyProtection="1">
      <alignment horizontal="center"/>
      <protection locked="0"/>
    </xf>
    <xf numFmtId="0" fontId="60" fillId="46" borderId="87" xfId="48" applyFont="1" applyFill="1" applyBorder="1" applyAlignment="1" applyProtection="1">
      <alignment horizontal="center"/>
      <protection locked="0"/>
    </xf>
    <xf numFmtId="0" fontId="60" fillId="46" borderId="88" xfId="48" applyFont="1" applyFill="1" applyBorder="1" applyAlignment="1" applyProtection="1">
      <alignment horizontal="center"/>
      <protection locked="0"/>
    </xf>
    <xf numFmtId="0" fontId="60" fillId="46" borderId="146" xfId="48" applyFont="1" applyFill="1" applyBorder="1" applyAlignment="1" applyProtection="1">
      <alignment horizontal="center"/>
      <protection locked="0"/>
    </xf>
    <xf numFmtId="0" fontId="5" fillId="46" borderId="285" xfId="48" applyFill="1" applyBorder="1" applyAlignment="1" applyProtection="1">
      <alignment horizontal="center"/>
      <protection locked="0"/>
    </xf>
    <xf numFmtId="0" fontId="5" fillId="46" borderId="267" xfId="48" applyFill="1" applyBorder="1" applyAlignment="1" applyProtection="1">
      <alignment horizontal="center"/>
      <protection locked="0"/>
    </xf>
    <xf numFmtId="0" fontId="60" fillId="46" borderId="300" xfId="48" applyFont="1" applyFill="1" applyBorder="1" applyAlignment="1" applyProtection="1">
      <alignment horizontal="center"/>
      <protection locked="0"/>
    </xf>
    <xf numFmtId="0" fontId="60" fillId="46" borderId="89" xfId="48" applyFont="1" applyFill="1" applyBorder="1" applyAlignment="1" applyProtection="1">
      <alignment horizontal="center"/>
      <protection locked="0"/>
    </xf>
    <xf numFmtId="0" fontId="60" fillId="46" borderId="90" xfId="48" applyFont="1" applyFill="1" applyBorder="1" applyAlignment="1" applyProtection="1">
      <alignment horizontal="center"/>
      <protection locked="0"/>
    </xf>
    <xf numFmtId="0" fontId="60" fillId="46" borderId="147" xfId="48" applyFont="1" applyFill="1" applyBorder="1" applyAlignment="1" applyProtection="1">
      <alignment horizontal="center"/>
      <protection locked="0"/>
    </xf>
    <xf numFmtId="0" fontId="5" fillId="46" borderId="270" xfId="48" applyFill="1" applyBorder="1" applyAlignment="1" applyProtection="1">
      <alignment horizontal="center"/>
      <protection locked="0"/>
    </xf>
    <xf numFmtId="0" fontId="5" fillId="46" borderId="271" xfId="48" applyFill="1" applyBorder="1" applyAlignment="1" applyProtection="1">
      <alignment horizontal="center"/>
      <protection locked="0"/>
    </xf>
    <xf numFmtId="0" fontId="60" fillId="46" borderId="142" xfId="48" applyFont="1" applyFill="1" applyBorder="1" applyAlignment="1" applyProtection="1">
      <alignment horizontal="center"/>
      <protection locked="0"/>
    </xf>
    <xf numFmtId="0" fontId="5" fillId="46" borderId="147" xfId="48" applyFill="1" applyBorder="1" applyAlignment="1" applyProtection="1">
      <alignment horizontal="center"/>
      <protection locked="0"/>
    </xf>
    <xf numFmtId="0" fontId="5" fillId="46" borderId="89" xfId="48" applyFill="1" applyBorder="1" applyAlignment="1" applyProtection="1">
      <alignment horizontal="center"/>
      <protection locked="0"/>
    </xf>
    <xf numFmtId="0" fontId="5" fillId="46" borderId="90" xfId="48" applyFill="1" applyBorder="1" applyAlignment="1" applyProtection="1">
      <alignment horizontal="center"/>
      <protection locked="0"/>
    </xf>
    <xf numFmtId="0" fontId="60" fillId="46" borderId="280" xfId="48" applyFont="1" applyFill="1" applyBorder="1" applyAlignment="1" applyProtection="1">
      <alignment horizontal="center"/>
      <protection locked="0"/>
    </xf>
    <xf numFmtId="0" fontId="5" fillId="46" borderId="142" xfId="48" applyFill="1" applyBorder="1" applyAlignment="1" applyProtection="1">
      <alignment horizontal="center"/>
      <protection locked="0"/>
    </xf>
    <xf numFmtId="0" fontId="60" fillId="46" borderId="91" xfId="48" applyFont="1" applyFill="1" applyBorder="1" applyAlignment="1" applyProtection="1">
      <alignment horizontal="center"/>
      <protection locked="0"/>
    </xf>
    <xf numFmtId="0" fontId="60" fillId="46" borderId="92" xfId="48" applyFont="1" applyFill="1" applyBorder="1" applyAlignment="1" applyProtection="1">
      <alignment horizontal="center"/>
      <protection locked="0"/>
    </xf>
    <xf numFmtId="0" fontId="60" fillId="46" borderId="148" xfId="48" applyFont="1" applyFill="1" applyBorder="1" applyAlignment="1" applyProtection="1">
      <alignment horizontal="center"/>
      <protection locked="0"/>
    </xf>
    <xf numFmtId="0" fontId="5" fillId="46" borderId="274" xfId="48" applyFill="1" applyBorder="1" applyAlignment="1" applyProtection="1">
      <alignment horizontal="center"/>
      <protection locked="0"/>
    </xf>
    <xf numFmtId="0" fontId="5" fillId="46" borderId="275" xfId="48" applyFill="1" applyBorder="1" applyAlignment="1" applyProtection="1">
      <alignment horizontal="center"/>
      <protection locked="0"/>
    </xf>
    <xf numFmtId="0" fontId="60" fillId="46" borderId="143" xfId="48" applyFont="1" applyFill="1" applyBorder="1" applyAlignment="1" applyProtection="1">
      <alignment horizontal="center"/>
      <protection locked="0"/>
    </xf>
    <xf numFmtId="0" fontId="60" fillId="46" borderId="153" xfId="48" applyFont="1" applyFill="1" applyBorder="1" applyAlignment="1" applyProtection="1">
      <alignment horizontal="center"/>
      <protection locked="0"/>
    </xf>
    <xf numFmtId="0" fontId="61" fillId="60" borderId="87" xfId="48" applyFont="1" applyFill="1" applyBorder="1" applyAlignment="1" applyProtection="1">
      <alignment horizontal="center"/>
      <protection locked="0"/>
    </xf>
    <xf numFmtId="0" fontId="61" fillId="60" borderId="88" xfId="48" applyFont="1" applyFill="1" applyBorder="1" applyAlignment="1" applyProtection="1">
      <alignment horizontal="center"/>
      <protection locked="0"/>
    </xf>
    <xf numFmtId="0" fontId="61" fillId="60" borderId="146" xfId="48" applyFont="1" applyFill="1" applyBorder="1" applyAlignment="1" applyProtection="1">
      <alignment horizontal="center"/>
      <protection locked="0"/>
    </xf>
    <xf numFmtId="0" fontId="5" fillId="60" borderId="285" xfId="48" applyFill="1" applyBorder="1" applyAlignment="1" applyProtection="1">
      <alignment horizontal="center"/>
      <protection locked="0"/>
    </xf>
    <xf numFmtId="0" fontId="5" fillId="60" borderId="267" xfId="48" applyFill="1" applyBorder="1" applyAlignment="1" applyProtection="1">
      <alignment horizontal="center"/>
      <protection locked="0"/>
    </xf>
    <xf numFmtId="0" fontId="61" fillId="60" borderId="300" xfId="48" applyFont="1" applyFill="1" applyBorder="1" applyAlignment="1" applyProtection="1">
      <alignment horizontal="center"/>
      <protection locked="0"/>
    </xf>
    <xf numFmtId="0" fontId="61" fillId="60" borderId="89" xfId="48" applyFont="1" applyFill="1" applyBorder="1" applyAlignment="1" applyProtection="1">
      <alignment horizontal="center"/>
      <protection locked="0"/>
    </xf>
    <xf numFmtId="0" fontId="61" fillId="60" borderId="90" xfId="48" applyFont="1" applyFill="1" applyBorder="1" applyAlignment="1" applyProtection="1">
      <alignment horizontal="center"/>
      <protection locked="0"/>
    </xf>
    <xf numFmtId="0" fontId="61" fillId="60" borderId="147" xfId="48" applyFont="1" applyFill="1" applyBorder="1" applyAlignment="1" applyProtection="1">
      <alignment horizontal="center"/>
      <protection locked="0"/>
    </xf>
    <xf numFmtId="0" fontId="5" fillId="60" borderId="270" xfId="48" applyFill="1" applyBorder="1" applyAlignment="1" applyProtection="1">
      <alignment horizontal="center"/>
      <protection locked="0"/>
    </xf>
    <xf numFmtId="0" fontId="5" fillId="60" borderId="271" xfId="48" applyFill="1" applyBorder="1" applyAlignment="1" applyProtection="1">
      <alignment horizontal="center"/>
      <protection locked="0"/>
    </xf>
    <xf numFmtId="0" fontId="61" fillId="60" borderId="142" xfId="48" applyFont="1" applyFill="1" applyBorder="1" applyAlignment="1" applyProtection="1">
      <alignment horizontal="center"/>
      <protection locked="0"/>
    </xf>
    <xf numFmtId="0" fontId="5" fillId="60" borderId="147" xfId="48" applyFill="1" applyBorder="1" applyAlignment="1" applyProtection="1">
      <alignment horizontal="center"/>
      <protection locked="0"/>
    </xf>
    <xf numFmtId="0" fontId="5" fillId="60" borderId="89" xfId="48" applyFill="1" applyBorder="1" applyAlignment="1" applyProtection="1">
      <alignment horizontal="center"/>
      <protection locked="0"/>
    </xf>
    <xf numFmtId="0" fontId="5" fillId="60" borderId="90" xfId="48" applyFill="1" applyBorder="1" applyAlignment="1" applyProtection="1">
      <alignment horizontal="center"/>
      <protection locked="0"/>
    </xf>
    <xf numFmtId="0" fontId="5" fillId="60" borderId="142" xfId="48" applyFill="1" applyBorder="1" applyAlignment="1" applyProtection="1">
      <alignment horizontal="center"/>
      <protection locked="0"/>
    </xf>
    <xf numFmtId="0" fontId="61" fillId="60" borderId="272" xfId="48" applyFont="1" applyFill="1" applyBorder="1" applyAlignment="1" applyProtection="1">
      <alignment horizontal="center"/>
      <protection locked="0"/>
    </xf>
    <xf numFmtId="0" fontId="61" fillId="60" borderId="91" xfId="48" applyFont="1" applyFill="1" applyBorder="1" applyAlignment="1" applyProtection="1">
      <alignment horizontal="center"/>
      <protection locked="0"/>
    </xf>
    <xf numFmtId="0" fontId="61" fillId="60" borderId="92" xfId="48" applyFont="1" applyFill="1" applyBorder="1" applyAlignment="1" applyProtection="1">
      <alignment horizontal="center"/>
      <protection locked="0"/>
    </xf>
    <xf numFmtId="0" fontId="61" fillId="60" borderId="148" xfId="48" applyFont="1" applyFill="1" applyBorder="1" applyAlignment="1" applyProtection="1">
      <alignment horizontal="center"/>
      <protection locked="0"/>
    </xf>
    <xf numFmtId="0" fontId="5" fillId="60" borderId="274" xfId="48" applyFill="1" applyBorder="1" applyAlignment="1" applyProtection="1">
      <alignment horizontal="center"/>
      <protection locked="0"/>
    </xf>
    <xf numFmtId="0" fontId="5" fillId="60" borderId="275" xfId="48" applyFill="1" applyBorder="1" applyAlignment="1" applyProtection="1">
      <alignment horizontal="center"/>
      <protection locked="0"/>
    </xf>
    <xf numFmtId="0" fontId="61" fillId="60" borderId="143" xfId="48" applyFont="1" applyFill="1" applyBorder="1" applyAlignment="1" applyProtection="1">
      <alignment horizontal="center"/>
      <protection locked="0"/>
    </xf>
    <xf numFmtId="0" fontId="61" fillId="60" borderId="153" xfId="48" applyFont="1" applyFill="1" applyBorder="1" applyAlignment="1" applyProtection="1">
      <alignment horizontal="center"/>
      <protection locked="0"/>
    </xf>
    <xf numFmtId="0" fontId="62" fillId="56" borderId="87" xfId="48" applyFont="1" applyFill="1" applyBorder="1" applyAlignment="1" applyProtection="1">
      <alignment horizontal="center"/>
      <protection locked="0"/>
    </xf>
    <xf numFmtId="0" fontId="62" fillId="56" borderId="88" xfId="48" applyFont="1" applyFill="1" applyBorder="1" applyAlignment="1" applyProtection="1">
      <alignment horizontal="center"/>
      <protection locked="0"/>
    </xf>
    <xf numFmtId="0" fontId="62" fillId="56" borderId="146" xfId="48" applyFont="1" applyFill="1" applyBorder="1" applyAlignment="1" applyProtection="1">
      <alignment horizontal="center"/>
      <protection locked="0"/>
    </xf>
    <xf numFmtId="0" fontId="5" fillId="56" borderId="285" xfId="48" applyFill="1" applyBorder="1" applyAlignment="1" applyProtection="1">
      <alignment horizontal="center"/>
      <protection locked="0"/>
    </xf>
    <xf numFmtId="0" fontId="5" fillId="56" borderId="267" xfId="48" applyFill="1" applyBorder="1" applyAlignment="1" applyProtection="1">
      <alignment horizontal="center"/>
      <protection locked="0"/>
    </xf>
    <xf numFmtId="0" fontId="62" fillId="56" borderId="300" xfId="48" applyFont="1" applyFill="1" applyBorder="1" applyAlignment="1" applyProtection="1">
      <alignment horizontal="center"/>
      <protection locked="0"/>
    </xf>
    <xf numFmtId="0" fontId="62" fillId="56" borderId="89" xfId="48" applyFont="1" applyFill="1" applyBorder="1" applyAlignment="1" applyProtection="1">
      <alignment horizontal="center"/>
      <protection locked="0"/>
    </xf>
    <xf numFmtId="0" fontId="62" fillId="56" borderId="90" xfId="48" applyFont="1" applyFill="1" applyBorder="1" applyAlignment="1" applyProtection="1">
      <alignment horizontal="center"/>
      <protection locked="0"/>
    </xf>
    <xf numFmtId="0" fontId="62" fillId="56" borderId="147" xfId="48" applyFont="1" applyFill="1" applyBorder="1" applyAlignment="1" applyProtection="1">
      <alignment horizontal="center"/>
      <protection locked="0"/>
    </xf>
    <xf numFmtId="0" fontId="5" fillId="56" borderId="270" xfId="48" applyFill="1" applyBorder="1" applyAlignment="1" applyProtection="1">
      <alignment horizontal="center"/>
      <protection locked="0"/>
    </xf>
    <xf numFmtId="0" fontId="5" fillId="56" borderId="271" xfId="48" applyFill="1" applyBorder="1" applyAlignment="1" applyProtection="1">
      <alignment horizontal="center"/>
      <protection locked="0"/>
    </xf>
    <xf numFmtId="0" fontId="62" fillId="56" borderId="142" xfId="48" applyFont="1" applyFill="1" applyBorder="1" applyAlignment="1" applyProtection="1">
      <alignment horizontal="center"/>
      <protection locked="0"/>
    </xf>
    <xf numFmtId="0" fontId="5" fillId="56" borderId="147" xfId="48" applyFill="1" applyBorder="1" applyAlignment="1" applyProtection="1">
      <alignment horizontal="center"/>
      <protection locked="0"/>
    </xf>
    <xf numFmtId="0" fontId="5" fillId="56" borderId="89" xfId="48" applyFill="1" applyBorder="1" applyAlignment="1" applyProtection="1">
      <alignment horizontal="center"/>
      <protection locked="0"/>
    </xf>
    <xf numFmtId="0" fontId="5" fillId="56" borderId="90" xfId="48" applyFill="1" applyBorder="1" applyAlignment="1" applyProtection="1">
      <alignment horizontal="center"/>
      <protection locked="0"/>
    </xf>
    <xf numFmtId="0" fontId="62" fillId="56" borderId="280" xfId="48" applyFont="1" applyFill="1" applyBorder="1" applyAlignment="1" applyProtection="1">
      <alignment horizontal="center"/>
      <protection locked="0"/>
    </xf>
    <xf numFmtId="0" fontId="5" fillId="56" borderId="142" xfId="48" applyFill="1" applyBorder="1" applyAlignment="1" applyProtection="1">
      <alignment horizontal="center"/>
      <protection locked="0"/>
    </xf>
    <xf numFmtId="0" fontId="62" fillId="56" borderId="91" xfId="48" applyFont="1" applyFill="1" applyBorder="1" applyAlignment="1" applyProtection="1">
      <alignment horizontal="center"/>
      <protection locked="0"/>
    </xf>
    <xf numFmtId="0" fontId="62" fillId="56" borderId="92" xfId="48" applyFont="1" applyFill="1" applyBorder="1" applyAlignment="1" applyProtection="1">
      <alignment horizontal="center"/>
      <protection locked="0"/>
    </xf>
    <xf numFmtId="0" fontId="62" fillId="56" borderId="148" xfId="48" applyFont="1" applyFill="1" applyBorder="1" applyAlignment="1" applyProtection="1">
      <alignment horizontal="center"/>
      <protection locked="0"/>
    </xf>
    <xf numFmtId="0" fontId="5" fillId="56" borderId="274" xfId="48" applyFill="1" applyBorder="1" applyAlignment="1" applyProtection="1">
      <alignment horizontal="center"/>
      <protection locked="0"/>
    </xf>
    <xf numFmtId="0" fontId="5" fillId="56" borderId="275" xfId="48" applyFill="1" applyBorder="1" applyAlignment="1" applyProtection="1">
      <alignment horizontal="center"/>
      <protection locked="0"/>
    </xf>
    <xf numFmtId="0" fontId="62" fillId="56" borderId="143" xfId="48" applyFont="1" applyFill="1" applyBorder="1" applyAlignment="1" applyProtection="1">
      <alignment horizontal="center"/>
      <protection locked="0"/>
    </xf>
    <xf numFmtId="0" fontId="62" fillId="56" borderId="153" xfId="48" applyFont="1" applyFill="1" applyBorder="1" applyAlignment="1" applyProtection="1">
      <alignment horizontal="center"/>
      <protection locked="0"/>
    </xf>
    <xf numFmtId="0" fontId="52" fillId="48" borderId="87" xfId="48" applyFont="1" applyFill="1" applyBorder="1" applyAlignment="1" applyProtection="1">
      <alignment horizontal="center"/>
      <protection locked="0"/>
    </xf>
    <xf numFmtId="0" fontId="52" fillId="48" borderId="88" xfId="48" applyFont="1" applyFill="1" applyBorder="1" applyAlignment="1">
      <alignment horizontal="center"/>
    </xf>
    <xf numFmtId="0" fontId="52" fillId="48" borderId="146" xfId="48" applyFont="1" applyFill="1" applyBorder="1" applyAlignment="1" applyProtection="1">
      <alignment horizontal="center" vertical="center"/>
      <protection locked="0"/>
    </xf>
    <xf numFmtId="0" fontId="5" fillId="48" borderId="285" xfId="48" applyFill="1" applyBorder="1" applyAlignment="1" applyProtection="1">
      <alignment horizontal="center" vertical="center"/>
      <protection locked="0"/>
    </xf>
    <xf numFmtId="0" fontId="50" fillId="55" borderId="87" xfId="48" applyFont="1" applyFill="1" applyBorder="1" applyAlignment="1" applyProtection="1">
      <alignment horizontal="center"/>
      <protection locked="0"/>
    </xf>
    <xf numFmtId="0" fontId="50" fillId="55" borderId="88" xfId="48" applyFont="1" applyFill="1" applyBorder="1" applyAlignment="1" applyProtection="1">
      <alignment horizontal="center"/>
      <protection locked="0"/>
    </xf>
    <xf numFmtId="0" fontId="50" fillId="55" borderId="146" xfId="48" applyFont="1" applyFill="1" applyBorder="1" applyAlignment="1" applyProtection="1">
      <alignment horizontal="center"/>
      <protection locked="0"/>
    </xf>
    <xf numFmtId="0" fontId="5" fillId="136" borderId="285" xfId="48" applyFill="1" applyBorder="1" applyAlignment="1" applyProtection="1">
      <alignment horizontal="center"/>
      <protection locked="0"/>
    </xf>
    <xf numFmtId="0" fontId="5" fillId="136" borderId="267" xfId="48" applyFill="1" applyBorder="1" applyAlignment="1" applyProtection="1">
      <alignment horizontal="center"/>
      <protection locked="0"/>
    </xf>
    <xf numFmtId="0" fontId="50" fillId="55" borderId="91" xfId="48" applyFont="1" applyFill="1" applyBorder="1" applyAlignment="1" applyProtection="1">
      <alignment horizontal="center"/>
      <protection locked="0"/>
    </xf>
    <xf numFmtId="0" fontId="50" fillId="55" borderId="92" xfId="48" applyFont="1" applyFill="1" applyBorder="1" applyAlignment="1" applyProtection="1">
      <alignment horizontal="center"/>
      <protection locked="0"/>
    </xf>
    <xf numFmtId="0" fontId="50" fillId="55" borderId="148" xfId="48" applyFont="1" applyFill="1" applyBorder="1" applyAlignment="1" applyProtection="1">
      <alignment horizontal="center"/>
      <protection locked="0"/>
    </xf>
    <xf numFmtId="0" fontId="5" fillId="136" borderId="274" xfId="48" applyFill="1" applyBorder="1" applyAlignment="1" applyProtection="1">
      <alignment horizontal="center"/>
      <protection locked="0"/>
    </xf>
    <xf numFmtId="0" fontId="5" fillId="136" borderId="275" xfId="48" applyFill="1" applyBorder="1" applyAlignment="1" applyProtection="1">
      <alignment horizontal="center"/>
      <protection locked="0"/>
    </xf>
    <xf numFmtId="0" fontId="156" fillId="114" borderId="259" xfId="48" applyFont="1" applyFill="1" applyBorder="1" applyAlignment="1">
      <alignment horizontal="center"/>
    </xf>
    <xf numFmtId="0" fontId="156" fillId="114" borderId="0" xfId="48" applyFont="1" applyFill="1" applyAlignment="1">
      <alignment horizontal="center"/>
    </xf>
    <xf numFmtId="0" fontId="5" fillId="46" borderId="0" xfId="48" applyFill="1" applyAlignment="1">
      <alignment horizontal="center"/>
    </xf>
    <xf numFmtId="49" fontId="5" fillId="48" borderId="0" xfId="48" applyNumberFormat="1" applyFill="1" applyAlignment="1">
      <alignment horizontal="center"/>
    </xf>
    <xf numFmtId="0" fontId="156" fillId="114" borderId="17" xfId="48" applyFont="1" applyFill="1" applyBorder="1" applyAlignment="1">
      <alignment horizontal="center"/>
    </xf>
    <xf numFmtId="0" fontId="5" fillId="54" borderId="0" xfId="48" applyFill="1" applyAlignment="1">
      <alignment horizontal="center"/>
    </xf>
    <xf numFmtId="0" fontId="5" fillId="54" borderId="293" xfId="48" applyFill="1" applyBorder="1" applyAlignment="1" applyProtection="1">
      <alignment horizontal="center"/>
      <protection locked="0"/>
    </xf>
    <xf numFmtId="0" fontId="5" fillId="54" borderId="251" xfId="48" applyFill="1" applyBorder="1" applyAlignment="1">
      <alignment horizontal="center"/>
    </xf>
    <xf numFmtId="0" fontId="5" fillId="54" borderId="294" xfId="48" applyFill="1" applyBorder="1" applyAlignment="1" applyProtection="1">
      <alignment horizontal="center"/>
      <protection locked="0"/>
    </xf>
    <xf numFmtId="0" fontId="5" fillId="54" borderId="295" xfId="48" applyFill="1" applyBorder="1" applyAlignment="1" applyProtection="1">
      <alignment horizontal="center"/>
      <protection locked="0"/>
    </xf>
    <xf numFmtId="0" fontId="56" fillId="54" borderId="272" xfId="48" applyFont="1" applyFill="1" applyBorder="1" applyAlignment="1" applyProtection="1">
      <alignment horizontal="center"/>
      <protection locked="0"/>
    </xf>
    <xf numFmtId="0" fontId="5" fillId="46" borderId="300" xfId="48" applyFill="1" applyBorder="1" applyAlignment="1" applyProtection="1">
      <alignment horizontal="center"/>
      <protection locked="0"/>
    </xf>
    <xf numFmtId="0" fontId="5" fillId="46" borderId="88" xfId="48" applyFill="1" applyBorder="1" applyAlignment="1" applyProtection="1">
      <alignment horizontal="center"/>
      <protection locked="0"/>
    </xf>
    <xf numFmtId="0" fontId="5" fillId="46" borderId="143" xfId="48" applyFill="1" applyBorder="1" applyAlignment="1" applyProtection="1">
      <alignment horizontal="center"/>
      <protection locked="0"/>
    </xf>
    <xf numFmtId="0" fontId="5" fillId="46" borderId="92" xfId="48" applyFill="1" applyBorder="1" applyAlignment="1" applyProtection="1">
      <alignment horizontal="center"/>
      <protection locked="0"/>
    </xf>
    <xf numFmtId="0" fontId="61" fillId="60" borderId="302" xfId="48" applyFont="1" applyFill="1" applyBorder="1" applyAlignment="1" applyProtection="1">
      <alignment horizontal="center"/>
      <protection locked="0"/>
    </xf>
    <xf numFmtId="0" fontId="5" fillId="56" borderId="300" xfId="48" applyFill="1" applyBorder="1" applyAlignment="1" applyProtection="1">
      <alignment horizontal="center"/>
      <protection locked="0"/>
    </xf>
    <xf numFmtId="0" fontId="5" fillId="56" borderId="88" xfId="48" applyFill="1" applyBorder="1" applyAlignment="1" applyProtection="1">
      <alignment horizontal="center"/>
      <protection locked="0"/>
    </xf>
    <xf numFmtId="0" fontId="60" fillId="46" borderId="90" xfId="48" applyFont="1" applyFill="1" applyBorder="1" applyAlignment="1">
      <alignment horizontal="center"/>
    </xf>
    <xf numFmtId="0" fontId="5" fillId="56" borderId="143" xfId="48" applyFill="1" applyBorder="1" applyAlignment="1" applyProtection="1">
      <alignment horizontal="center"/>
      <protection locked="0"/>
    </xf>
    <xf numFmtId="0" fontId="5" fillId="56" borderId="92" xfId="48" applyFill="1" applyBorder="1" applyAlignment="1" applyProtection="1">
      <alignment horizontal="center"/>
      <protection locked="0"/>
    </xf>
    <xf numFmtId="0" fontId="52" fillId="48" borderId="89" xfId="48" applyFont="1" applyFill="1" applyBorder="1" applyAlignment="1">
      <alignment horizontal="center"/>
    </xf>
    <xf numFmtId="0" fontId="52" fillId="48" borderId="147" xfId="48" applyFont="1" applyFill="1" applyBorder="1" applyAlignment="1">
      <alignment horizontal="center"/>
    </xf>
    <xf numFmtId="0" fontId="5" fillId="48" borderId="278" xfId="48" applyFill="1" applyBorder="1" applyAlignment="1" applyProtection="1">
      <alignment horizontal="center" vertical="center"/>
      <protection locked="0"/>
    </xf>
    <xf numFmtId="0" fontId="5" fillId="48" borderId="279" xfId="48" applyFill="1" applyBorder="1" applyAlignment="1" applyProtection="1">
      <alignment horizontal="center" vertical="center"/>
      <protection locked="0"/>
    </xf>
    <xf numFmtId="0" fontId="61" fillId="60" borderId="90" xfId="48" applyFont="1" applyFill="1" applyBorder="1" applyAlignment="1">
      <alignment horizontal="center"/>
    </xf>
    <xf numFmtId="0" fontId="62" fillId="56" borderId="90" xfId="48" applyFont="1" applyFill="1" applyBorder="1" applyAlignment="1">
      <alignment horizontal="center"/>
    </xf>
    <xf numFmtId="0" fontId="5" fillId="48" borderId="147" xfId="48" applyFill="1" applyBorder="1" applyAlignment="1">
      <alignment horizontal="center"/>
    </xf>
    <xf numFmtId="0" fontId="5" fillId="48" borderId="89" xfId="48" applyFill="1" applyBorder="1" applyAlignment="1">
      <alignment horizontal="center"/>
    </xf>
    <xf numFmtId="0" fontId="60" fillId="48" borderId="90" xfId="48" applyFont="1" applyFill="1" applyBorder="1" applyAlignment="1">
      <alignment horizontal="center"/>
    </xf>
    <xf numFmtId="0" fontId="52" fillId="48" borderId="296" xfId="48" applyFont="1" applyFill="1" applyBorder="1" applyAlignment="1" applyProtection="1">
      <alignment horizontal="center"/>
      <protection locked="0"/>
    </xf>
    <xf numFmtId="0" fontId="5" fillId="48" borderId="282" xfId="48" applyFill="1" applyBorder="1" applyAlignment="1" applyProtection="1">
      <alignment horizontal="center"/>
      <protection locked="0"/>
    </xf>
    <xf numFmtId="0" fontId="5" fillId="48" borderId="283" xfId="48" applyFill="1" applyBorder="1" applyAlignment="1" applyProtection="1">
      <alignment horizontal="center"/>
      <protection locked="0"/>
    </xf>
    <xf numFmtId="0" fontId="50" fillId="55" borderId="87" xfId="48" applyFont="1" applyFill="1" applyBorder="1" applyAlignment="1">
      <alignment horizontal="center"/>
    </xf>
    <xf numFmtId="0" fontId="50" fillId="55" borderId="88" xfId="48" applyFont="1" applyFill="1" applyBorder="1" applyAlignment="1">
      <alignment horizontal="center"/>
    </xf>
    <xf numFmtId="0" fontId="50" fillId="55" borderId="146" xfId="48" applyFont="1" applyFill="1" applyBorder="1" applyAlignment="1">
      <alignment horizontal="center"/>
    </xf>
    <xf numFmtId="0" fontId="5" fillId="55" borderId="285" xfId="48" applyFill="1" applyBorder="1" applyAlignment="1" applyProtection="1">
      <alignment horizontal="center"/>
      <protection locked="0"/>
    </xf>
    <xf numFmtId="0" fontId="5" fillId="55" borderId="267" xfId="48" applyFill="1" applyBorder="1" applyAlignment="1" applyProtection="1">
      <alignment horizontal="center"/>
      <protection locked="0"/>
    </xf>
    <xf numFmtId="0" fontId="50" fillId="55" borderId="89" xfId="48" applyFont="1" applyFill="1" applyBorder="1" applyAlignment="1">
      <alignment horizontal="center"/>
    </xf>
    <xf numFmtId="0" fontId="50" fillId="55" borderId="147" xfId="48" applyFont="1" applyFill="1" applyBorder="1" applyAlignment="1">
      <alignment horizontal="center"/>
    </xf>
    <xf numFmtId="0" fontId="5" fillId="55" borderId="270" xfId="48" applyFill="1" applyBorder="1" applyAlignment="1" applyProtection="1">
      <alignment horizontal="center"/>
      <protection locked="0"/>
    </xf>
    <xf numFmtId="0" fontId="5" fillId="55" borderId="271" xfId="48" applyFill="1" applyBorder="1" applyAlignment="1" applyProtection="1">
      <alignment horizontal="center"/>
      <protection locked="0"/>
    </xf>
    <xf numFmtId="0" fontId="5" fillId="55" borderId="147" xfId="48" applyFill="1" applyBorder="1" applyAlignment="1">
      <alignment horizontal="center"/>
    </xf>
    <xf numFmtId="0" fontId="5" fillId="55" borderId="89" xfId="48" applyFill="1" applyBorder="1" applyAlignment="1">
      <alignment horizontal="center"/>
    </xf>
    <xf numFmtId="0" fontId="50" fillId="55" borderId="296" xfId="48" applyFont="1" applyFill="1" applyBorder="1" applyAlignment="1" applyProtection="1">
      <alignment horizontal="center"/>
      <protection locked="0"/>
    </xf>
    <xf numFmtId="0" fontId="50" fillId="55" borderId="91" xfId="48" applyFont="1" applyFill="1" applyBorder="1" applyAlignment="1">
      <alignment horizontal="center"/>
    </xf>
    <xf numFmtId="0" fontId="50" fillId="55" borderId="92" xfId="48" applyFont="1" applyFill="1" applyBorder="1" applyAlignment="1">
      <alignment horizontal="center"/>
    </xf>
    <xf numFmtId="0" fontId="50" fillId="55" borderId="148" xfId="48" applyFont="1" applyFill="1" applyBorder="1" applyAlignment="1">
      <alignment horizontal="center"/>
    </xf>
    <xf numFmtId="0" fontId="5" fillId="55" borderId="274" xfId="48" applyFill="1" applyBorder="1" applyAlignment="1" applyProtection="1">
      <alignment horizontal="center"/>
      <protection locked="0"/>
    </xf>
    <xf numFmtId="0" fontId="5" fillId="55" borderId="275" xfId="48" applyFill="1" applyBorder="1" applyAlignment="1" applyProtection="1">
      <alignment horizontal="center"/>
      <protection locked="0"/>
    </xf>
    <xf numFmtId="0" fontId="80" fillId="58" borderId="89" xfId="48" applyFont="1" applyFill="1" applyBorder="1" applyAlignment="1" applyProtection="1">
      <alignment horizontal="center"/>
      <protection locked="0"/>
    </xf>
    <xf numFmtId="0" fontId="80" fillId="58" borderId="11" xfId="48" applyFont="1" applyFill="1" applyBorder="1" applyAlignment="1">
      <alignment horizontal="center"/>
    </xf>
    <xf numFmtId="0" fontId="80" fillId="58" borderId="90" xfId="48" applyFont="1" applyFill="1" applyBorder="1" applyAlignment="1">
      <alignment horizontal="center"/>
    </xf>
    <xf numFmtId="0" fontId="80" fillId="58" borderId="90" xfId="48" applyFont="1" applyFill="1" applyBorder="1" applyAlignment="1" applyProtection="1">
      <alignment horizontal="center"/>
      <protection locked="0"/>
    </xf>
    <xf numFmtId="0" fontId="80" fillId="58" borderId="147" xfId="48" applyFont="1" applyFill="1" applyBorder="1" applyAlignment="1" applyProtection="1">
      <alignment horizontal="center"/>
      <protection locked="0"/>
    </xf>
    <xf numFmtId="0" fontId="5" fillId="58" borderId="278" xfId="48" applyFill="1" applyBorder="1" applyAlignment="1" applyProtection="1">
      <alignment horizontal="center"/>
      <protection locked="0"/>
    </xf>
    <xf numFmtId="0" fontId="5" fillId="58" borderId="279" xfId="48" applyFill="1" applyBorder="1" applyAlignment="1" applyProtection="1">
      <alignment horizontal="center"/>
      <protection locked="0"/>
    </xf>
    <xf numFmtId="0" fontId="80" fillId="58" borderId="251" xfId="48" applyFont="1" applyFill="1" applyBorder="1" applyAlignment="1">
      <alignment horizontal="center"/>
    </xf>
    <xf numFmtId="0" fontId="5" fillId="58" borderId="270" xfId="48" applyFill="1" applyBorder="1" applyAlignment="1" applyProtection="1">
      <alignment horizontal="center"/>
      <protection locked="0"/>
    </xf>
    <xf numFmtId="0" fontId="5" fillId="58" borderId="271" xfId="48" applyFill="1" applyBorder="1" applyAlignment="1" applyProtection="1">
      <alignment horizontal="center"/>
      <protection locked="0"/>
    </xf>
    <xf numFmtId="0" fontId="5" fillId="58" borderId="270" xfId="48" applyFill="1" applyBorder="1" applyAlignment="1" applyProtection="1">
      <alignment horizontal="center" vertical="center"/>
      <protection locked="0"/>
    </xf>
    <xf numFmtId="0" fontId="5" fillId="58" borderId="271" xfId="48" applyFill="1" applyBorder="1" applyAlignment="1" applyProtection="1">
      <alignment horizontal="center" vertical="center"/>
      <protection locked="0"/>
    </xf>
    <xf numFmtId="0" fontId="5" fillId="58" borderId="147" xfId="48" applyFill="1" applyBorder="1" applyAlignment="1" applyProtection="1">
      <alignment horizontal="center"/>
      <protection locked="0"/>
    </xf>
    <xf numFmtId="0" fontId="5" fillId="58" borderId="89" xfId="48" applyFill="1" applyBorder="1" applyAlignment="1" applyProtection="1">
      <alignment horizontal="center"/>
      <protection locked="0"/>
    </xf>
    <xf numFmtId="0" fontId="5" fillId="58" borderId="251" xfId="48" applyFill="1" applyBorder="1" applyAlignment="1">
      <alignment horizontal="center"/>
    </xf>
    <xf numFmtId="0" fontId="5" fillId="58" borderId="90" xfId="48" applyFill="1" applyBorder="1" applyAlignment="1">
      <alignment horizontal="center"/>
    </xf>
    <xf numFmtId="0" fontId="5" fillId="58" borderId="90" xfId="48" applyFill="1" applyBorder="1" applyAlignment="1" applyProtection="1">
      <alignment horizontal="center"/>
      <protection locked="0"/>
    </xf>
    <xf numFmtId="0" fontId="80" fillId="58" borderId="280" xfId="48" applyFont="1" applyFill="1" applyBorder="1" applyAlignment="1" applyProtection="1">
      <alignment horizontal="center"/>
      <protection locked="0"/>
    </xf>
    <xf numFmtId="0" fontId="80" fillId="58" borderId="258" xfId="48" applyFont="1" applyFill="1" applyBorder="1" applyAlignment="1">
      <alignment horizontal="center"/>
    </xf>
    <xf numFmtId="0" fontId="5" fillId="58" borderId="282" xfId="48" applyFill="1" applyBorder="1" applyAlignment="1" applyProtection="1">
      <alignment horizontal="center"/>
      <protection locked="0"/>
    </xf>
    <xf numFmtId="0" fontId="5" fillId="58" borderId="283" xfId="48" applyFill="1" applyBorder="1" applyAlignment="1" applyProtection="1">
      <alignment horizontal="center"/>
      <protection locked="0"/>
    </xf>
    <xf numFmtId="0" fontId="80" fillId="58" borderId="303" xfId="48" applyFont="1" applyFill="1" applyBorder="1" applyAlignment="1" applyProtection="1">
      <alignment horizontal="center"/>
      <protection locked="0"/>
    </xf>
    <xf numFmtId="0" fontId="80" fillId="58" borderId="209" xfId="48" applyFont="1" applyFill="1" applyBorder="1" applyAlignment="1" applyProtection="1">
      <alignment horizontal="center"/>
      <protection locked="0"/>
    </xf>
    <xf numFmtId="0" fontId="55" fillId="114" borderId="0" xfId="48" applyFont="1" applyFill="1" applyAlignment="1">
      <alignment horizontal="center"/>
    </xf>
    <xf numFmtId="0" fontId="5" fillId="76" borderId="279" xfId="48" applyFill="1" applyBorder="1" applyAlignment="1" applyProtection="1">
      <alignment horizontal="center" vertical="center"/>
      <protection locked="0"/>
    </xf>
    <xf numFmtId="0" fontId="5" fillId="76" borderId="283" xfId="48" applyFill="1" applyBorder="1" applyAlignment="1" applyProtection="1">
      <alignment horizontal="center"/>
      <protection locked="0"/>
    </xf>
    <xf numFmtId="0" fontId="56" fillId="54" borderId="293" xfId="48" applyFont="1" applyFill="1" applyBorder="1" applyAlignment="1" applyProtection="1">
      <alignment horizontal="center"/>
      <protection locked="0"/>
    </xf>
    <xf numFmtId="0" fontId="56" fillId="54" borderId="11" xfId="48" applyFont="1" applyFill="1" applyBorder="1" applyAlignment="1">
      <alignment horizontal="center"/>
    </xf>
    <xf numFmtId="0" fontId="56" fillId="54" borderId="294" xfId="48" applyFont="1" applyFill="1" applyBorder="1" applyAlignment="1" applyProtection="1">
      <alignment horizontal="center"/>
      <protection locked="0"/>
    </xf>
    <xf numFmtId="0" fontId="56" fillId="54" borderId="295" xfId="48" applyFont="1" applyFill="1" applyBorder="1" applyAlignment="1" applyProtection="1">
      <alignment horizontal="center"/>
      <protection locked="0"/>
    </xf>
    <xf numFmtId="0" fontId="56" fillId="54" borderId="0" xfId="48" applyFont="1" applyFill="1" applyAlignment="1">
      <alignment horizontal="center"/>
    </xf>
    <xf numFmtId="0" fontId="5" fillId="54" borderId="278" xfId="48" applyFill="1" applyBorder="1" applyAlignment="1" applyProtection="1">
      <alignment horizontal="center"/>
      <protection locked="0"/>
    </xf>
    <xf numFmtId="0" fontId="5" fillId="54" borderId="279" xfId="48" applyFill="1" applyBorder="1" applyAlignment="1" applyProtection="1">
      <alignment horizontal="center"/>
      <protection locked="0"/>
    </xf>
    <xf numFmtId="0" fontId="56" fillId="54" borderId="0" xfId="48" applyFont="1" applyFill="1" applyAlignment="1" applyProtection="1">
      <alignment horizontal="center"/>
      <protection locked="0"/>
    </xf>
    <xf numFmtId="0" fontId="56" fillId="54" borderId="251" xfId="48" applyFont="1" applyFill="1" applyBorder="1" applyAlignment="1">
      <alignment horizontal="center"/>
    </xf>
    <xf numFmtId="0" fontId="5" fillId="54" borderId="270" xfId="48" applyFill="1" applyBorder="1" applyAlignment="1" applyProtection="1">
      <alignment horizontal="center"/>
      <protection locked="0"/>
    </xf>
    <xf numFmtId="0" fontId="5" fillId="54" borderId="271" xfId="48" applyFill="1" applyBorder="1" applyAlignment="1" applyProtection="1">
      <alignment horizontal="center"/>
      <protection locked="0"/>
    </xf>
    <xf numFmtId="0" fontId="56" fillId="54" borderId="304" xfId="48" applyFont="1" applyFill="1" applyBorder="1" applyAlignment="1">
      <alignment horizontal="center"/>
    </xf>
    <xf numFmtId="0" fontId="5" fillId="54" borderId="0" xfId="48" applyFill="1" applyAlignment="1" applyProtection="1">
      <alignment horizontal="center"/>
      <protection locked="0"/>
    </xf>
    <xf numFmtId="0" fontId="56" fillId="54" borderId="258" xfId="48" applyFont="1" applyFill="1" applyBorder="1" applyAlignment="1">
      <alignment horizontal="center"/>
    </xf>
    <xf numFmtId="0" fontId="5" fillId="54" borderId="282" xfId="48" applyFill="1" applyBorder="1" applyAlignment="1" applyProtection="1">
      <alignment horizontal="center"/>
      <protection locked="0"/>
    </xf>
    <xf numFmtId="0" fontId="5" fillId="54" borderId="283" xfId="48" applyFill="1" applyBorder="1" applyAlignment="1" applyProtection="1">
      <alignment horizontal="center"/>
      <protection locked="0"/>
    </xf>
    <xf numFmtId="0" fontId="5" fillId="64" borderId="278" xfId="48" applyFill="1" applyBorder="1" applyAlignment="1" applyProtection="1">
      <alignment horizontal="center"/>
      <protection locked="0"/>
    </xf>
    <xf numFmtId="0" fontId="5" fillId="64" borderId="279" xfId="48" applyFill="1" applyBorder="1" applyAlignment="1" applyProtection="1">
      <alignment horizontal="center"/>
      <protection locked="0"/>
    </xf>
    <xf numFmtId="0" fontId="5" fillId="64" borderId="282" xfId="48" applyFill="1" applyBorder="1" applyAlignment="1" applyProtection="1">
      <alignment horizontal="center"/>
      <protection locked="0"/>
    </xf>
    <xf numFmtId="0" fontId="5" fillId="64" borderId="283" xfId="48" applyFill="1" applyBorder="1" applyAlignment="1" applyProtection="1">
      <alignment horizontal="center"/>
      <protection locked="0"/>
    </xf>
    <xf numFmtId="0" fontId="60" fillId="46" borderId="290" xfId="48" applyFont="1" applyFill="1" applyBorder="1" applyAlignment="1" applyProtection="1">
      <alignment horizontal="center"/>
      <protection locked="0"/>
    </xf>
    <xf numFmtId="0" fontId="60" fillId="46" borderId="251" xfId="48" applyFont="1" applyFill="1" applyBorder="1" applyAlignment="1">
      <alignment horizontal="center"/>
    </xf>
    <xf numFmtId="0" fontId="60" fillId="46" borderId="291" xfId="48" applyFont="1" applyFill="1" applyBorder="1" applyAlignment="1" applyProtection="1">
      <alignment horizontal="center"/>
      <protection locked="0"/>
    </xf>
    <xf numFmtId="0" fontId="60" fillId="46" borderId="292" xfId="48" applyFont="1" applyFill="1" applyBorder="1" applyAlignment="1" applyProtection="1">
      <alignment horizontal="center"/>
      <protection locked="0"/>
    </xf>
    <xf numFmtId="0" fontId="60" fillId="46" borderId="259" xfId="48" applyFont="1" applyFill="1" applyBorder="1" applyAlignment="1">
      <alignment horizontal="center"/>
    </xf>
    <xf numFmtId="0" fontId="60" fillId="46" borderId="259" xfId="48" applyFont="1" applyFill="1" applyBorder="1" applyAlignment="1" applyProtection="1">
      <alignment horizontal="center"/>
      <protection locked="0"/>
    </xf>
    <xf numFmtId="0" fontId="60" fillId="46" borderId="293" xfId="48" applyFont="1" applyFill="1" applyBorder="1" applyAlignment="1" applyProtection="1">
      <alignment horizontal="center"/>
      <protection locked="0"/>
    </xf>
    <xf numFmtId="0" fontId="60" fillId="46" borderId="294" xfId="48" applyFont="1" applyFill="1" applyBorder="1" applyAlignment="1" applyProtection="1">
      <alignment horizontal="center"/>
      <protection locked="0"/>
    </xf>
    <xf numFmtId="0" fontId="60" fillId="46" borderId="295" xfId="48" applyFont="1" applyFill="1" applyBorder="1" applyAlignment="1" applyProtection="1">
      <alignment horizontal="center"/>
      <protection locked="0"/>
    </xf>
    <xf numFmtId="0" fontId="60" fillId="46" borderId="0" xfId="48" applyFont="1" applyFill="1" applyAlignment="1">
      <alignment horizontal="center"/>
    </xf>
    <xf numFmtId="0" fontId="60" fillId="46" borderId="0" xfId="48" applyFont="1" applyFill="1" applyAlignment="1" applyProtection="1">
      <alignment horizontal="center"/>
      <protection locked="0"/>
    </xf>
    <xf numFmtId="0" fontId="5" fillId="46" borderId="293" xfId="48" applyFill="1" applyBorder="1" applyAlignment="1" applyProtection="1">
      <alignment horizontal="center"/>
      <protection locked="0"/>
    </xf>
    <xf numFmtId="0" fontId="5" fillId="46" borderId="294" xfId="48" applyFill="1" applyBorder="1" applyAlignment="1" applyProtection="1">
      <alignment horizontal="center"/>
      <protection locked="0"/>
    </xf>
    <xf numFmtId="0" fontId="5" fillId="46" borderId="295" xfId="48" applyFill="1" applyBorder="1" applyAlignment="1" applyProtection="1">
      <alignment horizontal="center"/>
      <protection locked="0"/>
    </xf>
    <xf numFmtId="0" fontId="60" fillId="46" borderId="296" xfId="48" applyFont="1" applyFill="1" applyBorder="1" applyAlignment="1">
      <alignment horizontal="center"/>
    </xf>
    <xf numFmtId="0" fontId="5" fillId="46" borderId="0" xfId="48" applyFill="1" applyAlignment="1" applyProtection="1">
      <alignment horizontal="center"/>
      <protection locked="0"/>
    </xf>
    <xf numFmtId="0" fontId="60" fillId="46" borderId="297" xfId="48" applyFont="1" applyFill="1" applyBorder="1" applyAlignment="1" applyProtection="1">
      <alignment horizontal="center"/>
      <protection locked="0"/>
    </xf>
    <xf numFmtId="0" fontId="60" fillId="46" borderId="298" xfId="48" applyFont="1" applyFill="1" applyBorder="1" applyAlignment="1" applyProtection="1">
      <alignment horizontal="center"/>
      <protection locked="0"/>
    </xf>
    <xf numFmtId="0" fontId="60" fillId="46" borderId="299" xfId="48" applyFont="1" applyFill="1" applyBorder="1" applyAlignment="1" applyProtection="1">
      <alignment horizontal="center"/>
      <protection locked="0"/>
    </xf>
    <xf numFmtId="0" fontId="60" fillId="46" borderId="17" xfId="48" applyFont="1" applyFill="1" applyBorder="1" applyAlignment="1">
      <alignment horizontal="center"/>
    </xf>
    <xf numFmtId="0" fontId="60" fillId="46" borderId="17" xfId="48" applyFont="1" applyFill="1" applyBorder="1" applyAlignment="1" applyProtection="1">
      <alignment horizontal="center"/>
      <protection locked="0"/>
    </xf>
    <xf numFmtId="0" fontId="61" fillId="60" borderId="293" xfId="48" applyFont="1" applyFill="1" applyBorder="1" applyAlignment="1" applyProtection="1">
      <alignment horizontal="center"/>
      <protection locked="0"/>
    </xf>
    <xf numFmtId="0" fontId="61" fillId="60" borderId="11" xfId="48" applyFont="1" applyFill="1" applyBorder="1" applyAlignment="1">
      <alignment horizontal="center"/>
    </xf>
    <xf numFmtId="0" fontId="61" fillId="60" borderId="294" xfId="48" applyFont="1" applyFill="1" applyBorder="1" applyAlignment="1" applyProtection="1">
      <alignment horizontal="center"/>
      <protection locked="0"/>
    </xf>
    <xf numFmtId="0" fontId="61" fillId="60" borderId="295" xfId="48" applyFont="1" applyFill="1" applyBorder="1" applyAlignment="1" applyProtection="1">
      <alignment horizontal="center"/>
      <protection locked="0"/>
    </xf>
    <xf numFmtId="0" fontId="61" fillId="60" borderId="0" xfId="48" applyFont="1" applyFill="1" applyAlignment="1">
      <alignment horizontal="center"/>
    </xf>
    <xf numFmtId="0" fontId="61" fillId="60" borderId="0" xfId="48" applyFont="1" applyFill="1" applyAlignment="1" applyProtection="1">
      <alignment horizontal="center"/>
      <protection locked="0"/>
    </xf>
    <xf numFmtId="0" fontId="5" fillId="60" borderId="278" xfId="48" applyFill="1" applyBorder="1" applyAlignment="1">
      <alignment horizontal="center"/>
    </xf>
    <xf numFmtId="0" fontId="5" fillId="60" borderId="279" xfId="48" applyFill="1" applyBorder="1" applyAlignment="1" applyProtection="1">
      <alignment horizontal="center"/>
      <protection locked="0"/>
    </xf>
    <xf numFmtId="0" fontId="61" fillId="60" borderId="251" xfId="48" applyFont="1" applyFill="1" applyBorder="1" applyAlignment="1">
      <alignment horizontal="center"/>
    </xf>
    <xf numFmtId="0" fontId="5" fillId="60" borderId="270" xfId="48" applyFill="1" applyBorder="1" applyAlignment="1">
      <alignment horizontal="center"/>
    </xf>
    <xf numFmtId="0" fontId="5" fillId="60" borderId="0" xfId="48" applyFill="1" applyAlignment="1" applyProtection="1">
      <alignment horizontal="center"/>
      <protection locked="0"/>
    </xf>
    <xf numFmtId="0" fontId="5" fillId="60" borderId="293" xfId="48" applyFill="1" applyBorder="1" applyAlignment="1" applyProtection="1">
      <alignment horizontal="center"/>
      <protection locked="0"/>
    </xf>
    <xf numFmtId="0" fontId="5" fillId="60" borderId="251" xfId="48" applyFill="1" applyBorder="1" applyAlignment="1">
      <alignment horizontal="center"/>
    </xf>
    <xf numFmtId="0" fontId="5" fillId="60" borderId="294" xfId="48" applyFill="1" applyBorder="1" applyAlignment="1" applyProtection="1">
      <alignment horizontal="center"/>
      <protection locked="0"/>
    </xf>
    <xf numFmtId="0" fontId="5" fillId="60" borderId="295" xfId="48" applyFill="1" applyBorder="1" applyAlignment="1" applyProtection="1">
      <alignment horizontal="center"/>
      <protection locked="0"/>
    </xf>
    <xf numFmtId="0" fontId="5" fillId="60" borderId="0" xfId="48" applyFill="1" applyAlignment="1">
      <alignment horizontal="center"/>
    </xf>
    <xf numFmtId="0" fontId="61" fillId="60" borderId="296" xfId="48" applyFont="1" applyFill="1" applyBorder="1" applyAlignment="1" applyProtection="1">
      <alignment horizontal="center"/>
      <protection locked="0"/>
    </xf>
    <xf numFmtId="0" fontId="61" fillId="60" borderId="258" xfId="48" applyFont="1" applyFill="1" applyBorder="1" applyAlignment="1">
      <alignment horizontal="center"/>
    </xf>
    <xf numFmtId="0" fontId="5" fillId="60" borderId="282" xfId="48" applyFill="1" applyBorder="1" applyAlignment="1">
      <alignment horizontal="center"/>
    </xf>
    <xf numFmtId="0" fontId="5" fillId="60" borderId="283" xfId="48" applyFill="1" applyBorder="1" applyAlignment="1" applyProtection="1">
      <alignment horizontal="center"/>
      <protection locked="0"/>
    </xf>
    <xf numFmtId="0" fontId="62" fillId="56" borderId="290" xfId="48" applyFont="1" applyFill="1" applyBorder="1" applyAlignment="1" applyProtection="1">
      <alignment horizontal="center"/>
      <protection locked="0"/>
    </xf>
    <xf numFmtId="0" fontId="62" fillId="56" borderId="251" xfId="48" applyFont="1" applyFill="1" applyBorder="1" applyAlignment="1">
      <alignment horizontal="center"/>
    </xf>
    <xf numFmtId="0" fontId="62" fillId="56" borderId="291" xfId="48" applyFont="1" applyFill="1" applyBorder="1" applyAlignment="1" applyProtection="1">
      <alignment horizontal="center"/>
      <protection locked="0"/>
    </xf>
    <xf numFmtId="0" fontId="62" fillId="56" borderId="292" xfId="48" applyFont="1" applyFill="1" applyBorder="1" applyAlignment="1" applyProtection="1">
      <alignment horizontal="center"/>
      <protection locked="0"/>
    </xf>
    <xf numFmtId="0" fontId="62" fillId="56" borderId="259" xfId="48" applyFont="1" applyFill="1" applyBorder="1" applyAlignment="1">
      <alignment horizontal="center"/>
    </xf>
    <xf numFmtId="0" fontId="62" fillId="56" borderId="259" xfId="48" applyFont="1" applyFill="1" applyBorder="1" applyAlignment="1" applyProtection="1">
      <alignment horizontal="center"/>
      <protection locked="0"/>
    </xf>
    <xf numFmtId="0" fontId="62" fillId="56" borderId="293" xfId="48" applyFont="1" applyFill="1" applyBorder="1" applyAlignment="1" applyProtection="1">
      <alignment horizontal="center"/>
      <protection locked="0"/>
    </xf>
    <xf numFmtId="0" fontId="62" fillId="56" borderId="294" xfId="48" applyFont="1" applyFill="1" applyBorder="1" applyAlignment="1" applyProtection="1">
      <alignment horizontal="center"/>
      <protection locked="0"/>
    </xf>
    <xf numFmtId="0" fontId="62" fillId="56" borderId="295" xfId="48" applyFont="1" applyFill="1" applyBorder="1" applyAlignment="1" applyProtection="1">
      <alignment horizontal="center"/>
      <protection locked="0"/>
    </xf>
    <xf numFmtId="0" fontId="62" fillId="56" borderId="0" xfId="48" applyFont="1" applyFill="1" applyAlignment="1">
      <alignment horizontal="center"/>
    </xf>
    <xf numFmtId="0" fontId="62" fillId="56" borderId="0" xfId="48" applyFont="1" applyFill="1" applyAlignment="1" applyProtection="1">
      <alignment horizontal="center"/>
      <protection locked="0"/>
    </xf>
    <xf numFmtId="0" fontId="5" fillId="56" borderId="0" xfId="48" applyFill="1" applyAlignment="1" applyProtection="1">
      <alignment horizontal="center"/>
      <protection locked="0"/>
    </xf>
    <xf numFmtId="0" fontId="5" fillId="56" borderId="293" xfId="48" applyFill="1" applyBorder="1" applyAlignment="1" applyProtection="1">
      <alignment horizontal="center"/>
      <protection locked="0"/>
    </xf>
    <xf numFmtId="0" fontId="5" fillId="56" borderId="251" xfId="48" applyFill="1" applyBorder="1" applyAlignment="1">
      <alignment horizontal="center"/>
    </xf>
    <xf numFmtId="0" fontId="5" fillId="56" borderId="294" xfId="48" applyFill="1" applyBorder="1" applyAlignment="1" applyProtection="1">
      <alignment horizontal="center"/>
      <protection locked="0"/>
    </xf>
    <xf numFmtId="0" fontId="5" fillId="56" borderId="295" xfId="48" applyFill="1" applyBorder="1" applyAlignment="1" applyProtection="1">
      <alignment horizontal="center"/>
      <protection locked="0"/>
    </xf>
    <xf numFmtId="0" fontId="5" fillId="56" borderId="0" xfId="48" applyFill="1" applyAlignment="1">
      <alignment horizontal="center"/>
    </xf>
    <xf numFmtId="0" fontId="62" fillId="56" borderId="296" xfId="48" applyFont="1" applyFill="1" applyBorder="1" applyAlignment="1" applyProtection="1">
      <alignment horizontal="center"/>
      <protection locked="0"/>
    </xf>
    <xf numFmtId="0" fontId="62" fillId="56" borderId="297" xfId="48" applyFont="1" applyFill="1" applyBorder="1" applyAlignment="1" applyProtection="1">
      <alignment horizontal="center"/>
      <protection locked="0"/>
    </xf>
    <xf numFmtId="0" fontId="62" fillId="56" borderId="298" xfId="48" applyFont="1" applyFill="1" applyBorder="1" applyAlignment="1" applyProtection="1">
      <alignment horizontal="center"/>
      <protection locked="0"/>
    </xf>
    <xf numFmtId="0" fontId="62" fillId="56" borderId="299" xfId="48" applyFont="1" applyFill="1" applyBorder="1" applyAlignment="1" applyProtection="1">
      <alignment horizontal="center"/>
      <protection locked="0"/>
    </xf>
    <xf numFmtId="0" fontId="62" fillId="56" borderId="17" xfId="48" applyFont="1" applyFill="1" applyBorder="1" applyAlignment="1">
      <alignment horizontal="center"/>
    </xf>
    <xf numFmtId="0" fontId="62" fillId="56" borderId="17" xfId="48" applyFont="1" applyFill="1" applyBorder="1" applyAlignment="1" applyProtection="1">
      <alignment horizontal="center"/>
      <protection locked="0"/>
    </xf>
    <xf numFmtId="0" fontId="52" fillId="48" borderId="11" xfId="48" applyFont="1" applyFill="1" applyBorder="1" applyAlignment="1">
      <alignment horizontal="center"/>
    </xf>
    <xf numFmtId="0" fontId="52" fillId="48" borderId="251" xfId="48" applyFont="1" applyFill="1" applyBorder="1" applyAlignment="1">
      <alignment horizontal="center"/>
    </xf>
    <xf numFmtId="0" fontId="5" fillId="48" borderId="251" xfId="48" applyFill="1" applyBorder="1" applyAlignment="1">
      <alignment horizontal="center"/>
    </xf>
    <xf numFmtId="0" fontId="52" fillId="48" borderId="258" xfId="48" applyFont="1" applyFill="1" applyBorder="1" applyAlignment="1">
      <alignment horizontal="center"/>
    </xf>
    <xf numFmtId="0" fontId="50" fillId="55" borderId="251" xfId="48" applyFont="1" applyFill="1" applyBorder="1" applyAlignment="1">
      <alignment horizontal="center"/>
    </xf>
    <xf numFmtId="0" fontId="5" fillId="55" borderId="251" xfId="48" applyFill="1" applyBorder="1" applyAlignment="1">
      <alignment horizontal="center"/>
    </xf>
    <xf numFmtId="0" fontId="5" fillId="67" borderId="251" xfId="48" applyFill="1" applyBorder="1" applyAlignment="1">
      <alignment horizontal="center"/>
    </xf>
    <xf numFmtId="0" fontId="5" fillId="67" borderId="253" xfId="48" applyFill="1" applyBorder="1" applyAlignment="1">
      <alignment horizontal="center"/>
    </xf>
    <xf numFmtId="0" fontId="5" fillId="67" borderId="252" xfId="48" applyFill="1" applyBorder="1" applyAlignment="1">
      <alignment horizontal="center"/>
    </xf>
    <xf numFmtId="1" fontId="5" fillId="67" borderId="251" xfId="48" applyNumberFormat="1" applyFill="1" applyBorder="1" applyAlignment="1">
      <alignment horizontal="center"/>
    </xf>
    <xf numFmtId="168" fontId="5" fillId="44" borderId="71" xfId="48" applyNumberFormat="1" applyFill="1" applyBorder="1" applyAlignment="1" applyProtection="1">
      <alignment horizontal="center"/>
      <protection locked="0"/>
    </xf>
    <xf numFmtId="0" fontId="5" fillId="67" borderId="251" xfId="48" applyFill="1" applyBorder="1" applyAlignment="1">
      <alignment horizontal="center" vertical="top"/>
    </xf>
    <xf numFmtId="168" fontId="5" fillId="44" borderId="73" xfId="48" applyNumberFormat="1" applyFill="1" applyBorder="1" applyAlignment="1" applyProtection="1">
      <alignment horizontal="center"/>
      <protection locked="0"/>
    </xf>
    <xf numFmtId="168" fontId="5" fillId="44" borderId="84" xfId="48" applyNumberFormat="1" applyFill="1" applyBorder="1" applyAlignment="1" applyProtection="1">
      <alignment horizontal="center"/>
      <protection locked="0"/>
    </xf>
    <xf numFmtId="1" fontId="5" fillId="0" borderId="104" xfId="48" applyNumberFormat="1" applyBorder="1" applyAlignment="1">
      <alignment horizontal="center"/>
    </xf>
    <xf numFmtId="0" fontId="83" fillId="45" borderId="293" xfId="48" applyFont="1" applyFill="1" applyBorder="1" applyAlignment="1" applyProtection="1">
      <alignment horizontal="center"/>
      <protection locked="0"/>
    </xf>
    <xf numFmtId="0" fontId="83" fillId="45" borderId="11" xfId="48" applyFont="1" applyFill="1" applyBorder="1" applyAlignment="1">
      <alignment horizontal="center"/>
    </xf>
    <xf numFmtId="0" fontId="83" fillId="45" borderId="294" xfId="48" applyFont="1" applyFill="1" applyBorder="1" applyAlignment="1" applyProtection="1">
      <alignment horizontal="center"/>
      <protection locked="0"/>
    </xf>
    <xf numFmtId="0" fontId="83" fillId="45" borderId="0" xfId="48" applyFont="1" applyFill="1" applyAlignment="1" applyProtection="1">
      <alignment horizontal="center"/>
      <protection locked="0"/>
    </xf>
    <xf numFmtId="0" fontId="106" fillId="0" borderId="305" xfId="48" applyFont="1" applyBorder="1" applyAlignment="1">
      <alignment horizontal="center" vertical="center"/>
    </xf>
    <xf numFmtId="0" fontId="5" fillId="0" borderId="277" xfId="48" applyBorder="1" applyAlignment="1">
      <alignment horizontal="center" vertical="center"/>
    </xf>
    <xf numFmtId="0" fontId="5" fillId="45" borderId="278" xfId="48" applyFill="1" applyBorder="1" applyAlignment="1" applyProtection="1">
      <alignment horizontal="center"/>
      <protection locked="0"/>
    </xf>
    <xf numFmtId="0" fontId="5" fillId="45" borderId="279" xfId="48" applyFill="1" applyBorder="1" applyAlignment="1" applyProtection="1">
      <alignment horizontal="center"/>
      <protection locked="0"/>
    </xf>
    <xf numFmtId="0" fontId="83" fillId="45" borderId="295" xfId="48" applyFont="1" applyFill="1" applyBorder="1" applyAlignment="1" applyProtection="1">
      <alignment horizontal="center"/>
      <protection locked="0"/>
    </xf>
    <xf numFmtId="168" fontId="5" fillId="44" borderId="97" xfId="48" applyNumberFormat="1" applyFill="1" applyBorder="1" applyAlignment="1" applyProtection="1">
      <alignment horizontal="center"/>
      <protection locked="0"/>
    </xf>
    <xf numFmtId="0" fontId="83" fillId="45" borderId="251" xfId="48" applyFont="1" applyFill="1" applyBorder="1" applyAlignment="1">
      <alignment horizontal="center"/>
    </xf>
    <xf numFmtId="0" fontId="106" fillId="0" borderId="306" xfId="48" applyFont="1" applyBorder="1" applyAlignment="1">
      <alignment horizontal="center" vertical="center"/>
    </xf>
    <xf numFmtId="0" fontId="5" fillId="0" borderId="269" xfId="48" applyBorder="1" applyAlignment="1">
      <alignment horizontal="center" vertical="center"/>
    </xf>
    <xf numFmtId="0" fontId="5" fillId="45" borderId="270" xfId="48" applyFill="1" applyBorder="1" applyAlignment="1" applyProtection="1">
      <alignment horizontal="center"/>
      <protection locked="0"/>
    </xf>
    <xf numFmtId="0" fontId="5" fillId="45" borderId="271" xfId="48" applyFill="1" applyBorder="1" applyAlignment="1" applyProtection="1">
      <alignment horizontal="center"/>
      <protection locked="0"/>
    </xf>
    <xf numFmtId="0" fontId="5" fillId="45" borderId="0" xfId="48" applyFill="1" applyAlignment="1" applyProtection="1">
      <alignment horizontal="center"/>
      <protection locked="0"/>
    </xf>
    <xf numFmtId="0" fontId="5" fillId="45" borderId="293" xfId="48" applyFill="1" applyBorder="1" applyAlignment="1" applyProtection="1">
      <alignment horizontal="center"/>
      <protection locked="0"/>
    </xf>
    <xf numFmtId="0" fontId="5" fillId="45" borderId="251" xfId="48" applyFill="1" applyBorder="1" applyAlignment="1">
      <alignment horizontal="center"/>
    </xf>
    <xf numFmtId="0" fontId="5" fillId="45" borderId="294" xfId="48" applyFill="1" applyBorder="1" applyAlignment="1" applyProtection="1">
      <alignment horizontal="center"/>
      <protection locked="0"/>
    </xf>
    <xf numFmtId="0" fontId="83" fillId="45" borderId="304" xfId="48" applyFont="1" applyFill="1" applyBorder="1" applyAlignment="1">
      <alignment horizontal="center"/>
    </xf>
    <xf numFmtId="0" fontId="5" fillId="45" borderId="295" xfId="48" applyFill="1" applyBorder="1" applyAlignment="1" applyProtection="1">
      <alignment horizontal="center"/>
      <protection locked="0"/>
    </xf>
    <xf numFmtId="0" fontId="83" fillId="45" borderId="288" xfId="48" applyFont="1" applyFill="1" applyBorder="1" applyAlignment="1" applyProtection="1">
      <alignment horizontal="center"/>
      <protection locked="0"/>
    </xf>
    <xf numFmtId="0" fontId="83" fillId="45" borderId="258" xfId="48" applyFont="1" applyFill="1" applyBorder="1" applyAlignment="1">
      <alignment horizontal="center"/>
    </xf>
    <xf numFmtId="0" fontId="106" fillId="0" borderId="307" xfId="48" applyFont="1" applyBorder="1" applyAlignment="1">
      <alignment horizontal="center" vertical="center"/>
    </xf>
    <xf numFmtId="0" fontId="5" fillId="0" borderId="281" xfId="48" applyBorder="1" applyAlignment="1">
      <alignment horizontal="center" vertical="center"/>
    </xf>
    <xf numFmtId="0" fontId="5" fillId="45" borderId="282" xfId="48" applyFill="1" applyBorder="1" applyAlignment="1" applyProtection="1">
      <alignment horizontal="center"/>
      <protection locked="0"/>
    </xf>
    <xf numFmtId="0" fontId="5" fillId="45" borderId="283" xfId="48" applyFill="1" applyBorder="1" applyAlignment="1" applyProtection="1">
      <alignment horizontal="center"/>
      <protection locked="0"/>
    </xf>
    <xf numFmtId="0" fontId="83" fillId="45" borderId="308" xfId="48" applyFont="1" applyFill="1" applyBorder="1" applyAlignment="1" applyProtection="1">
      <alignment horizontal="center"/>
      <protection locked="0"/>
    </xf>
    <xf numFmtId="168" fontId="5" fillId="44" borderId="159" xfId="48" applyNumberFormat="1" applyFill="1" applyBorder="1" applyAlignment="1" applyProtection="1">
      <alignment horizontal="center"/>
      <protection locked="0"/>
    </xf>
    <xf numFmtId="0" fontId="82" fillId="76" borderId="290" xfId="48" applyFont="1" applyFill="1" applyBorder="1" applyAlignment="1" applyProtection="1">
      <alignment horizontal="center"/>
      <protection locked="0"/>
    </xf>
    <xf numFmtId="0" fontId="82" fillId="76" borderId="251" xfId="48" applyFont="1" applyFill="1" applyBorder="1" applyAlignment="1">
      <alignment horizontal="center"/>
    </xf>
    <xf numFmtId="0" fontId="82" fillId="76" borderId="291" xfId="48" applyFont="1" applyFill="1" applyBorder="1" applyAlignment="1" applyProtection="1">
      <alignment horizontal="center"/>
      <protection locked="0"/>
    </xf>
    <xf numFmtId="0" fontId="82" fillId="76" borderId="259" xfId="48" applyFont="1" applyFill="1" applyBorder="1" applyAlignment="1" applyProtection="1">
      <alignment horizontal="center"/>
      <protection locked="0"/>
    </xf>
    <xf numFmtId="0" fontId="106" fillId="0" borderId="309" xfId="48" applyFont="1" applyBorder="1" applyAlignment="1">
      <alignment horizontal="center" vertical="center"/>
    </xf>
    <xf numFmtId="0" fontId="5" fillId="0" borderId="265" xfId="48" applyBorder="1" applyAlignment="1">
      <alignment horizontal="center" vertical="center"/>
    </xf>
    <xf numFmtId="0" fontId="5" fillId="76" borderId="285" xfId="48" applyFill="1" applyBorder="1" applyAlignment="1" applyProtection="1">
      <alignment horizontal="center"/>
      <protection locked="0"/>
    </xf>
    <xf numFmtId="0" fontId="5" fillId="76" borderId="267" xfId="48" applyFill="1" applyBorder="1" applyAlignment="1" applyProtection="1">
      <alignment horizontal="center"/>
      <protection locked="0"/>
    </xf>
    <xf numFmtId="0" fontId="82" fillId="76" borderId="292" xfId="48" applyFont="1" applyFill="1" applyBorder="1" applyAlignment="1" applyProtection="1">
      <alignment horizontal="center"/>
      <protection locked="0"/>
    </xf>
    <xf numFmtId="0" fontId="82" fillId="76" borderId="293" xfId="48" applyFont="1" applyFill="1" applyBorder="1" applyAlignment="1" applyProtection="1">
      <alignment horizontal="center"/>
      <protection locked="0"/>
    </xf>
    <xf numFmtId="0" fontId="82" fillId="76" borderId="294" xfId="48" applyFont="1" applyFill="1" applyBorder="1" applyAlignment="1" applyProtection="1">
      <alignment horizontal="center"/>
      <protection locked="0"/>
    </xf>
    <xf numFmtId="0" fontId="82" fillId="76" borderId="0" xfId="48" applyFont="1" applyFill="1" applyAlignment="1" applyProtection="1">
      <alignment horizontal="center"/>
      <protection locked="0"/>
    </xf>
    <xf numFmtId="0" fontId="5" fillId="76" borderId="270" xfId="48" applyFill="1" applyBorder="1" applyAlignment="1" applyProtection="1">
      <alignment horizontal="center"/>
      <protection locked="0"/>
    </xf>
    <xf numFmtId="0" fontId="82" fillId="76" borderId="295" xfId="48" applyFont="1" applyFill="1" applyBorder="1" applyAlignment="1" applyProtection="1">
      <alignment horizontal="center"/>
      <protection locked="0"/>
    </xf>
    <xf numFmtId="0" fontId="5" fillId="76" borderId="0" xfId="48" applyFill="1" applyAlignment="1" applyProtection="1">
      <alignment horizontal="center"/>
      <protection locked="0"/>
    </xf>
    <xf numFmtId="0" fontId="5" fillId="76" borderId="293" xfId="48" applyFill="1" applyBorder="1" applyAlignment="1" applyProtection="1">
      <alignment horizontal="center"/>
      <protection locked="0"/>
    </xf>
    <xf numFmtId="0" fontId="5" fillId="76" borderId="251" xfId="48" applyFill="1" applyBorder="1" applyAlignment="1">
      <alignment horizontal="center"/>
    </xf>
    <xf numFmtId="0" fontId="5" fillId="76" borderId="294" xfId="48" applyFill="1" applyBorder="1" applyAlignment="1" applyProtection="1">
      <alignment horizontal="center"/>
      <protection locked="0"/>
    </xf>
    <xf numFmtId="0" fontId="82" fillId="76" borderId="304" xfId="48" applyFont="1" applyFill="1" applyBorder="1" applyAlignment="1">
      <alignment horizontal="center"/>
    </xf>
    <xf numFmtId="0" fontId="5" fillId="76" borderId="295" xfId="48" applyFill="1" applyBorder="1" applyAlignment="1" applyProtection="1">
      <alignment horizontal="center"/>
      <protection locked="0"/>
    </xf>
    <xf numFmtId="0" fontId="82" fillId="76" borderId="288" xfId="48" applyFont="1" applyFill="1" applyBorder="1" applyAlignment="1" applyProtection="1">
      <alignment horizontal="center"/>
      <protection locked="0"/>
    </xf>
    <xf numFmtId="0" fontId="82" fillId="76" borderId="11" xfId="48" applyFont="1" applyFill="1" applyBorder="1" applyAlignment="1" applyProtection="1">
      <alignment horizontal="center"/>
      <protection locked="0"/>
    </xf>
    <xf numFmtId="0" fontId="82" fillId="76" borderId="298" xfId="48" applyFont="1" applyFill="1" applyBorder="1" applyAlignment="1" applyProtection="1">
      <alignment horizontal="center"/>
      <protection locked="0"/>
    </xf>
    <xf numFmtId="0" fontId="82" fillId="76" borderId="289" xfId="48" applyFont="1" applyFill="1" applyBorder="1" applyAlignment="1" applyProtection="1">
      <alignment horizontal="center"/>
      <protection locked="0"/>
    </xf>
    <xf numFmtId="0" fontId="106" fillId="0" borderId="310" xfId="48" applyFont="1" applyBorder="1" applyAlignment="1">
      <alignment horizontal="center" vertical="center"/>
    </xf>
    <xf numFmtId="0" fontId="5" fillId="0" borderId="273" xfId="48" applyBorder="1" applyAlignment="1">
      <alignment horizontal="center" vertical="center"/>
    </xf>
    <xf numFmtId="0" fontId="5" fillId="76" borderId="274" xfId="48" applyFill="1" applyBorder="1" applyAlignment="1" applyProtection="1">
      <alignment horizontal="center"/>
      <protection locked="0"/>
    </xf>
    <xf numFmtId="0" fontId="82" fillId="76" borderId="299" xfId="48" applyFont="1" applyFill="1" applyBorder="1" applyAlignment="1" applyProtection="1">
      <alignment horizontal="center"/>
      <protection locked="0"/>
    </xf>
    <xf numFmtId="0" fontId="82" fillId="76" borderId="311" xfId="48" applyFont="1" applyFill="1" applyBorder="1" applyAlignment="1" applyProtection="1">
      <alignment horizontal="center"/>
      <protection locked="0"/>
    </xf>
    <xf numFmtId="0" fontId="81" fillId="77" borderId="293" xfId="48" applyFont="1" applyFill="1" applyBorder="1" applyAlignment="1" applyProtection="1">
      <alignment horizontal="center"/>
      <protection locked="0"/>
    </xf>
    <xf numFmtId="0" fontId="81" fillId="77" borderId="11" xfId="48" applyFont="1" applyFill="1" applyBorder="1" applyAlignment="1">
      <alignment horizontal="center"/>
    </xf>
    <xf numFmtId="0" fontId="81" fillId="77" borderId="294" xfId="48" applyFont="1" applyFill="1" applyBorder="1" applyAlignment="1" applyProtection="1">
      <alignment horizontal="center"/>
      <protection locked="0"/>
    </xf>
    <xf numFmtId="0" fontId="81" fillId="77" borderId="0" xfId="48" applyFont="1" applyFill="1" applyAlignment="1" applyProtection="1">
      <alignment horizontal="center"/>
      <protection locked="0"/>
    </xf>
    <xf numFmtId="0" fontId="47" fillId="0" borderId="305" xfId="48" applyFont="1" applyBorder="1" applyAlignment="1">
      <alignment horizontal="center" vertical="center"/>
    </xf>
    <xf numFmtId="0" fontId="5" fillId="77" borderId="278" xfId="48" applyFill="1" applyBorder="1" applyAlignment="1" applyProtection="1">
      <alignment horizontal="center"/>
      <protection locked="0"/>
    </xf>
    <xf numFmtId="0" fontId="5" fillId="77" borderId="279" xfId="48" applyFill="1" applyBorder="1" applyAlignment="1" applyProtection="1">
      <alignment horizontal="center"/>
      <protection locked="0"/>
    </xf>
    <xf numFmtId="0" fontId="81" fillId="77" borderId="295" xfId="48" applyFont="1" applyFill="1" applyBorder="1" applyAlignment="1" applyProtection="1">
      <alignment horizontal="center"/>
      <protection locked="0"/>
    </xf>
    <xf numFmtId="0" fontId="81" fillId="77" borderId="251" xfId="48" applyFont="1" applyFill="1" applyBorder="1" applyAlignment="1">
      <alignment horizontal="center"/>
    </xf>
    <xf numFmtId="0" fontId="47" fillId="0" borderId="306" xfId="48" applyFont="1" applyBorder="1" applyAlignment="1">
      <alignment horizontal="center" vertical="center"/>
    </xf>
    <xf numFmtId="0" fontId="5" fillId="77" borderId="251" xfId="48" applyFill="1" applyBorder="1" applyAlignment="1">
      <alignment horizontal="center"/>
    </xf>
    <xf numFmtId="0" fontId="81" fillId="77" borderId="304" xfId="48" applyFont="1" applyFill="1" applyBorder="1" applyAlignment="1">
      <alignment horizontal="center"/>
    </xf>
    <xf numFmtId="0" fontId="81" fillId="77" borderId="288" xfId="48" applyFont="1" applyFill="1" applyBorder="1" applyAlignment="1" applyProtection="1">
      <alignment horizontal="center"/>
      <protection locked="0"/>
    </xf>
    <xf numFmtId="0" fontId="81" fillId="77" borderId="11" xfId="48" applyFont="1" applyFill="1" applyBorder="1" applyAlignment="1" applyProtection="1">
      <alignment horizontal="center"/>
      <protection locked="0"/>
    </xf>
    <xf numFmtId="0" fontId="81" fillId="77" borderId="298" xfId="48" applyFont="1" applyFill="1" applyBorder="1" applyAlignment="1" applyProtection="1">
      <alignment horizontal="center"/>
      <protection locked="0"/>
    </xf>
    <xf numFmtId="0" fontId="81" fillId="77" borderId="289" xfId="48" applyFont="1" applyFill="1" applyBorder="1" applyAlignment="1" applyProtection="1">
      <alignment horizontal="center"/>
      <protection locked="0"/>
    </xf>
    <xf numFmtId="0" fontId="47" fillId="0" borderId="310" xfId="48" applyFont="1" applyBorder="1" applyAlignment="1">
      <alignment horizontal="center" vertical="center"/>
    </xf>
    <xf numFmtId="0" fontId="5" fillId="77" borderId="282" xfId="48" applyFill="1" applyBorder="1" applyAlignment="1" applyProtection="1">
      <alignment horizontal="center"/>
      <protection locked="0"/>
    </xf>
    <xf numFmtId="0" fontId="5" fillId="77" borderId="283" xfId="48" applyFill="1" applyBorder="1" applyAlignment="1" applyProtection="1">
      <alignment horizontal="center"/>
      <protection locked="0"/>
    </xf>
    <xf numFmtId="0" fontId="81" fillId="77" borderId="308" xfId="48" applyFont="1" applyFill="1" applyBorder="1" applyAlignment="1" applyProtection="1">
      <alignment horizontal="center"/>
      <protection locked="0"/>
    </xf>
    <xf numFmtId="0" fontId="67" fillId="72" borderId="89" xfId="48" applyFont="1" applyFill="1" applyBorder="1" applyAlignment="1" applyProtection="1">
      <alignment horizontal="center"/>
      <protection locked="0"/>
    </xf>
    <xf numFmtId="0" fontId="67" fillId="72" borderId="90" xfId="48" applyFont="1" applyFill="1" applyBorder="1" applyAlignment="1" applyProtection="1">
      <alignment horizontal="center"/>
      <protection locked="0"/>
    </xf>
    <xf numFmtId="0" fontId="67" fillId="72" borderId="147" xfId="48" applyFont="1" applyFill="1" applyBorder="1" applyAlignment="1" applyProtection="1">
      <alignment horizontal="center"/>
      <protection locked="0"/>
    </xf>
    <xf numFmtId="0" fontId="5" fillId="0" borderId="305" xfId="48" applyBorder="1" applyAlignment="1">
      <alignment horizontal="center" vertical="center"/>
    </xf>
    <xf numFmtId="0" fontId="5" fillId="72" borderId="300" xfId="48" applyFill="1" applyBorder="1" applyAlignment="1" applyProtection="1">
      <alignment horizontal="center"/>
      <protection locked="0"/>
    </xf>
    <xf numFmtId="0" fontId="5" fillId="72" borderId="88" xfId="48" applyFill="1" applyBorder="1" applyAlignment="1" applyProtection="1">
      <alignment horizontal="center"/>
      <protection locked="0"/>
    </xf>
    <xf numFmtId="0" fontId="67" fillId="72" borderId="88" xfId="48" applyFont="1" applyFill="1" applyBorder="1" applyAlignment="1" applyProtection="1">
      <alignment horizontal="center"/>
      <protection locked="0"/>
    </xf>
    <xf numFmtId="0" fontId="67" fillId="72" borderId="154" xfId="48" applyFont="1" applyFill="1" applyBorder="1" applyAlignment="1" applyProtection="1">
      <alignment horizontal="center"/>
      <protection locked="0"/>
    </xf>
    <xf numFmtId="0" fontId="5" fillId="0" borderId="306" xfId="48" applyBorder="1" applyAlignment="1">
      <alignment horizontal="center" vertical="center"/>
    </xf>
    <xf numFmtId="0" fontId="5" fillId="72" borderId="142" xfId="48" applyFill="1" applyBorder="1" applyAlignment="1" applyProtection="1">
      <alignment horizontal="center"/>
      <protection locked="0"/>
    </xf>
    <xf numFmtId="0" fontId="5" fillId="72" borderId="90" xfId="48" applyFill="1" applyBorder="1" applyAlignment="1" applyProtection="1">
      <alignment horizontal="center"/>
      <protection locked="0"/>
    </xf>
    <xf numFmtId="0" fontId="67" fillId="72" borderId="209" xfId="48" applyFont="1" applyFill="1" applyBorder="1" applyAlignment="1" applyProtection="1">
      <alignment horizontal="center"/>
      <protection locked="0"/>
    </xf>
    <xf numFmtId="0" fontId="5" fillId="0" borderId="270" xfId="48" applyBorder="1" applyAlignment="1">
      <alignment horizontal="center" vertical="center"/>
    </xf>
    <xf numFmtId="0" fontId="5" fillId="0" borderId="271" xfId="48" applyBorder="1" applyAlignment="1">
      <alignment horizontal="center" vertical="center"/>
    </xf>
    <xf numFmtId="2" fontId="5" fillId="0" borderId="251" xfId="49" applyNumberFormat="1" applyBorder="1" applyAlignment="1">
      <alignment horizontal="center" vertical="center" wrapText="1"/>
    </xf>
    <xf numFmtId="0" fontId="5" fillId="72" borderId="147" xfId="48" applyFill="1" applyBorder="1" applyAlignment="1" applyProtection="1">
      <alignment horizontal="center"/>
      <protection locked="0"/>
    </xf>
    <xf numFmtId="0" fontId="5" fillId="72" borderId="89" xfId="48" applyFill="1" applyBorder="1" applyAlignment="1" applyProtection="1">
      <alignment horizontal="center"/>
      <protection locked="0"/>
    </xf>
    <xf numFmtId="0" fontId="67" fillId="72" borderId="280" xfId="48" applyFont="1" applyFill="1" applyBorder="1" applyAlignment="1" applyProtection="1">
      <alignment horizontal="center"/>
      <protection locked="0"/>
    </xf>
    <xf numFmtId="0" fontId="5" fillId="72" borderId="209" xfId="48" applyFill="1" applyBorder="1" applyAlignment="1" applyProtection="1">
      <alignment horizontal="center"/>
      <protection locked="0"/>
    </xf>
    <xf numFmtId="0" fontId="67" fillId="72" borderId="91" xfId="48" applyFont="1" applyFill="1" applyBorder="1" applyAlignment="1" applyProtection="1">
      <alignment horizontal="center"/>
      <protection locked="0"/>
    </xf>
    <xf numFmtId="0" fontId="67" fillId="72" borderId="92" xfId="48" applyFont="1" applyFill="1" applyBorder="1" applyAlignment="1" applyProtection="1">
      <alignment horizontal="center"/>
      <protection locked="0"/>
    </xf>
    <xf numFmtId="0" fontId="67" fillId="72" borderId="148" xfId="48" applyFont="1" applyFill="1" applyBorder="1" applyAlignment="1" applyProtection="1">
      <alignment horizontal="center"/>
      <protection locked="0"/>
    </xf>
    <xf numFmtId="0" fontId="5" fillId="0" borderId="310" xfId="48" applyBorder="1" applyAlignment="1">
      <alignment horizontal="center" vertical="center"/>
    </xf>
    <xf numFmtId="0" fontId="5" fillId="72" borderId="143" xfId="48" applyFill="1" applyBorder="1" applyAlignment="1" applyProtection="1">
      <alignment horizontal="center"/>
      <protection locked="0"/>
    </xf>
    <xf numFmtId="0" fontId="5" fillId="72" borderId="92" xfId="48" applyFill="1" applyBorder="1" applyAlignment="1" applyProtection="1">
      <alignment horizontal="center"/>
      <protection locked="0"/>
    </xf>
    <xf numFmtId="0" fontId="67" fillId="72" borderId="153" xfId="48" applyFont="1" applyFill="1" applyBorder="1" applyAlignment="1" applyProtection="1">
      <alignment horizontal="center"/>
      <protection locked="0"/>
    </xf>
    <xf numFmtId="0" fontId="5" fillId="0" borderId="282" xfId="48" applyBorder="1" applyAlignment="1">
      <alignment horizontal="center" vertical="center"/>
    </xf>
    <xf numFmtId="0" fontId="5" fillId="0" borderId="283" xfId="48" applyBorder="1" applyAlignment="1">
      <alignment horizontal="center" vertical="center"/>
    </xf>
    <xf numFmtId="0" fontId="66" fillId="73" borderId="89" xfId="48" applyFont="1" applyFill="1" applyBorder="1" applyAlignment="1" applyProtection="1">
      <alignment horizontal="center"/>
      <protection locked="0"/>
    </xf>
    <xf numFmtId="0" fontId="66" fillId="73" borderId="18" xfId="48" applyFont="1" applyFill="1" applyBorder="1" applyAlignment="1" applyProtection="1">
      <alignment horizontal="center"/>
      <protection locked="0"/>
    </xf>
    <xf numFmtId="0" fontId="5" fillId="73" borderId="142" xfId="48" applyFill="1" applyBorder="1" applyAlignment="1" applyProtection="1">
      <alignment horizontal="center"/>
      <protection locked="0"/>
    </xf>
    <xf numFmtId="0" fontId="5" fillId="73" borderId="89" xfId="48" applyFill="1" applyBorder="1" applyAlignment="1" applyProtection="1">
      <alignment horizontal="center"/>
      <protection locked="0"/>
    </xf>
    <xf numFmtId="0" fontId="5" fillId="73" borderId="18" xfId="48" applyFill="1" applyBorder="1" applyAlignment="1" applyProtection="1">
      <alignment horizontal="center"/>
      <protection locked="0"/>
    </xf>
    <xf numFmtId="0" fontId="66" fillId="73" borderId="24" xfId="48" applyFont="1" applyFill="1" applyBorder="1" applyAlignment="1" applyProtection="1">
      <alignment horizontal="center"/>
      <protection locked="0"/>
    </xf>
    <xf numFmtId="0" fontId="66" fillId="73" borderId="91" xfId="48" applyFont="1" applyFill="1" applyBorder="1" applyAlignment="1" applyProtection="1">
      <alignment horizontal="center"/>
      <protection locked="0"/>
    </xf>
    <xf numFmtId="0" fontId="5" fillId="73" borderId="143" xfId="48" applyFill="1" applyBorder="1" applyAlignment="1" applyProtection="1">
      <alignment horizontal="center"/>
      <protection locked="0"/>
    </xf>
    <xf numFmtId="0" fontId="5" fillId="73" borderId="91" xfId="48" applyFill="1" applyBorder="1" applyAlignment="1" applyProtection="1">
      <alignment horizontal="center"/>
      <protection locked="0"/>
    </xf>
    <xf numFmtId="0" fontId="66" fillId="73" borderId="11" xfId="48" applyFont="1" applyFill="1" applyBorder="1" applyAlignment="1" applyProtection="1">
      <alignment horizontal="center"/>
      <protection locked="0"/>
    </xf>
    <xf numFmtId="0" fontId="5" fillId="0" borderId="274" xfId="48" applyBorder="1" applyAlignment="1">
      <alignment horizontal="center" vertical="center"/>
    </xf>
    <xf numFmtId="0" fontId="5" fillId="0" borderId="275" xfId="48" applyBorder="1" applyAlignment="1">
      <alignment horizontal="center" vertical="center"/>
    </xf>
    <xf numFmtId="0" fontId="68" fillId="74" borderId="89" xfId="48" applyFont="1" applyFill="1" applyBorder="1" applyAlignment="1" applyProtection="1">
      <alignment horizontal="center"/>
      <protection locked="0"/>
    </xf>
    <xf numFmtId="0" fontId="68" fillId="74" borderId="18" xfId="48" applyFont="1" applyFill="1" applyBorder="1" applyAlignment="1" applyProtection="1">
      <alignment horizontal="center"/>
      <protection locked="0"/>
    </xf>
    <xf numFmtId="0" fontId="5" fillId="74" borderId="142" xfId="48" applyFill="1" applyBorder="1" applyAlignment="1" applyProtection="1">
      <alignment horizontal="center"/>
      <protection locked="0"/>
    </xf>
    <xf numFmtId="0" fontId="5" fillId="74" borderId="89" xfId="48" applyFill="1" applyBorder="1" applyAlignment="1" applyProtection="1">
      <alignment horizontal="center"/>
      <protection locked="0"/>
    </xf>
    <xf numFmtId="0" fontId="5" fillId="0" borderId="278" xfId="48" applyBorder="1" applyAlignment="1">
      <alignment horizontal="center" vertical="center"/>
    </xf>
    <xf numFmtId="0" fontId="5" fillId="0" borderId="279" xfId="48" applyBorder="1" applyAlignment="1">
      <alignment horizontal="center" vertical="center"/>
    </xf>
    <xf numFmtId="0" fontId="5" fillId="74" borderId="18" xfId="48" applyFill="1" applyBorder="1" applyAlignment="1" applyProtection="1">
      <alignment horizontal="center"/>
      <protection locked="0"/>
    </xf>
    <xf numFmtId="0" fontId="5" fillId="67" borderId="251" xfId="49" applyFill="1" applyBorder="1" applyAlignment="1">
      <alignment horizontal="center" vertical="center" wrapText="1"/>
    </xf>
    <xf numFmtId="2" fontId="5" fillId="49" borderId="29" xfId="48" applyNumberFormat="1" applyFill="1" applyBorder="1"/>
    <xf numFmtId="0" fontId="5" fillId="68" borderId="251" xfId="49" applyFill="1" applyBorder="1" applyAlignment="1">
      <alignment horizontal="center" vertical="center" wrapText="1"/>
    </xf>
    <xf numFmtId="0" fontId="68" fillId="74" borderId="91" xfId="48" applyFont="1" applyFill="1" applyBorder="1" applyAlignment="1" applyProtection="1">
      <alignment horizontal="center"/>
      <protection locked="0"/>
    </xf>
    <xf numFmtId="0" fontId="68" fillId="74" borderId="24" xfId="48" applyFont="1" applyFill="1" applyBorder="1" applyAlignment="1" applyProtection="1">
      <alignment horizontal="center"/>
      <protection locked="0"/>
    </xf>
    <xf numFmtId="0" fontId="5" fillId="74" borderId="143" xfId="48" applyFill="1" applyBorder="1" applyAlignment="1" applyProtection="1">
      <alignment horizontal="center"/>
      <protection locked="0"/>
    </xf>
    <xf numFmtId="0" fontId="5" fillId="74" borderId="91" xfId="48" applyFill="1" applyBorder="1" applyAlignment="1" applyProtection="1">
      <alignment horizontal="center"/>
      <protection locked="0"/>
    </xf>
    <xf numFmtId="0" fontId="68" fillId="74" borderId="11" xfId="48" applyFont="1" applyFill="1" applyBorder="1" applyAlignment="1" applyProtection="1">
      <alignment horizontal="center"/>
      <protection locked="0"/>
    </xf>
    <xf numFmtId="2" fontId="5" fillId="49" borderId="68" xfId="48" applyNumberFormat="1" applyFill="1" applyBorder="1"/>
    <xf numFmtId="0" fontId="5" fillId="49" borderId="24" xfId="48" applyFill="1" applyBorder="1"/>
    <xf numFmtId="0" fontId="5" fillId="49" borderId="68" xfId="48" applyFill="1" applyBorder="1"/>
    <xf numFmtId="0" fontId="52" fillId="48" borderId="87" xfId="48" applyFont="1" applyFill="1" applyBorder="1" applyAlignment="1">
      <alignment horizontal="center"/>
    </xf>
    <xf numFmtId="0" fontId="5" fillId="58" borderId="296" xfId="48" applyFill="1" applyBorder="1" applyAlignment="1" applyProtection="1">
      <alignment horizontal="center"/>
      <protection locked="0"/>
    </xf>
    <xf numFmtId="0" fontId="80" fillId="58" borderId="0" xfId="48" applyFont="1" applyFill="1" applyAlignment="1" applyProtection="1">
      <alignment horizontal="center"/>
      <protection locked="0"/>
    </xf>
    <xf numFmtId="0" fontId="5" fillId="58" borderId="312" xfId="48" applyFill="1" applyBorder="1" applyAlignment="1" applyProtection="1">
      <alignment horizontal="center"/>
      <protection locked="0"/>
    </xf>
    <xf numFmtId="0" fontId="5" fillId="58" borderId="312" xfId="48" applyFill="1" applyBorder="1" applyAlignment="1" applyProtection="1">
      <alignment horizontal="center" vertical="center"/>
      <protection locked="0"/>
    </xf>
    <xf numFmtId="0" fontId="83" fillId="45" borderId="68" xfId="48" applyFont="1" applyFill="1" applyBorder="1" applyAlignment="1">
      <alignment horizontal="center"/>
    </xf>
    <xf numFmtId="0" fontId="83" fillId="45" borderId="24" xfId="48" applyFont="1" applyFill="1" applyBorder="1" applyAlignment="1">
      <alignment horizontal="center"/>
    </xf>
    <xf numFmtId="0" fontId="83" fillId="45" borderId="253" xfId="48" applyFont="1" applyFill="1" applyBorder="1" applyAlignment="1">
      <alignment horizontal="center"/>
    </xf>
    <xf numFmtId="0" fontId="5" fillId="45" borderId="253" xfId="48" applyFill="1" applyBorder="1" applyAlignment="1">
      <alignment horizontal="center"/>
    </xf>
    <xf numFmtId="0" fontId="83" fillId="45" borderId="268" xfId="48" applyFont="1" applyFill="1" applyBorder="1" applyAlignment="1">
      <alignment horizontal="center"/>
    </xf>
    <xf numFmtId="0" fontId="81" fillId="77" borderId="26" xfId="48" applyFont="1" applyFill="1" applyBorder="1" applyAlignment="1" applyProtection="1">
      <alignment horizontal="center"/>
      <protection locked="0"/>
    </xf>
    <xf numFmtId="0" fontId="81" fillId="77" borderId="258" xfId="48" applyFont="1" applyFill="1" applyBorder="1" applyAlignment="1">
      <alignment horizontal="center"/>
    </xf>
    <xf numFmtId="0" fontId="47" fillId="0" borderId="307" xfId="48" applyFont="1" applyBorder="1" applyAlignment="1">
      <alignment horizontal="center" vertical="center"/>
    </xf>
    <xf numFmtId="0" fontId="159" fillId="138" borderId="290" xfId="48" applyFont="1" applyFill="1" applyBorder="1" applyAlignment="1" applyProtection="1">
      <alignment horizontal="center"/>
      <protection locked="0"/>
    </xf>
    <xf numFmtId="0" fontId="159" fillId="138" borderId="251" xfId="48" applyFont="1" applyFill="1" applyBorder="1" applyAlignment="1">
      <alignment horizontal="center"/>
    </xf>
    <xf numFmtId="0" fontId="159" fillId="138" borderId="291" xfId="48" applyFont="1" applyFill="1" applyBorder="1" applyAlignment="1" applyProtection="1">
      <alignment horizontal="center"/>
      <protection locked="0"/>
    </xf>
    <xf numFmtId="0" fontId="159" fillId="118" borderId="259" xfId="48" applyFont="1" applyFill="1" applyBorder="1" applyAlignment="1">
      <alignment horizontal="center"/>
    </xf>
    <xf numFmtId="0" fontId="5" fillId="0" borderId="309" xfId="48" applyBorder="1" applyAlignment="1">
      <alignment horizontal="center" vertical="center"/>
    </xf>
    <xf numFmtId="0" fontId="5" fillId="118" borderId="285" xfId="48" applyFill="1" applyBorder="1" applyAlignment="1">
      <alignment horizontal="center" vertical="center"/>
    </xf>
    <xf numFmtId="0" fontId="5" fillId="118" borderId="267" xfId="48" applyFill="1" applyBorder="1" applyAlignment="1">
      <alignment horizontal="center" vertical="center"/>
    </xf>
    <xf numFmtId="0" fontId="159" fillId="118" borderId="291" xfId="48" applyFont="1" applyFill="1" applyBorder="1" applyAlignment="1" applyProtection="1">
      <alignment horizontal="center"/>
      <protection locked="0"/>
    </xf>
    <xf numFmtId="0" fontId="159" fillId="138" borderId="293" xfId="48" applyFont="1" applyFill="1" applyBorder="1" applyAlignment="1" applyProtection="1">
      <alignment horizontal="center"/>
      <protection locked="0"/>
    </xf>
    <xf numFmtId="0" fontId="159" fillId="138" borderId="294" xfId="48" applyFont="1" applyFill="1" applyBorder="1" applyAlignment="1" applyProtection="1">
      <alignment horizontal="center"/>
      <protection locked="0"/>
    </xf>
    <xf numFmtId="0" fontId="5" fillId="118" borderId="0" xfId="48" applyFill="1" applyAlignment="1">
      <alignment horizontal="center"/>
    </xf>
    <xf numFmtId="0" fontId="5" fillId="118" borderId="270" xfId="48" applyFill="1" applyBorder="1" applyAlignment="1">
      <alignment horizontal="center" vertical="center"/>
    </xf>
    <xf numFmtId="0" fontId="5" fillId="118" borderId="271" xfId="48" applyFill="1" applyBorder="1" applyAlignment="1">
      <alignment horizontal="center" vertical="center"/>
    </xf>
    <xf numFmtId="0" fontId="159" fillId="118" borderId="294" xfId="48" applyFont="1" applyFill="1" applyBorder="1" applyAlignment="1" applyProtection="1">
      <alignment horizontal="center"/>
      <protection locked="0"/>
    </xf>
    <xf numFmtId="0" fontId="159" fillId="118" borderId="0" xfId="48" applyFont="1" applyFill="1" applyAlignment="1">
      <alignment horizontal="center"/>
    </xf>
    <xf numFmtId="0" fontId="5" fillId="118" borderId="293" xfId="48" applyFill="1" applyBorder="1" applyAlignment="1" applyProtection="1">
      <alignment horizontal="center"/>
      <protection locked="0"/>
    </xf>
    <xf numFmtId="0" fontId="5" fillId="118" borderId="251" xfId="48" applyFill="1" applyBorder="1" applyAlignment="1">
      <alignment horizontal="center"/>
    </xf>
    <xf numFmtId="0" fontId="5" fillId="118" borderId="294" xfId="48" applyFill="1" applyBorder="1" applyAlignment="1" applyProtection="1">
      <alignment horizontal="center"/>
      <protection locked="0"/>
    </xf>
    <xf numFmtId="0" fontId="159" fillId="118" borderId="304" xfId="48" applyFont="1" applyFill="1" applyBorder="1" applyAlignment="1">
      <alignment horizontal="center"/>
    </xf>
    <xf numFmtId="0" fontId="159" fillId="118" borderId="293" xfId="48" applyFont="1" applyFill="1" applyBorder="1" applyAlignment="1" applyProtection="1">
      <alignment horizontal="center"/>
      <protection locked="0"/>
    </xf>
    <xf numFmtId="0" fontId="159" fillId="118" borderId="251" xfId="48" applyFont="1" applyFill="1" applyBorder="1" applyAlignment="1">
      <alignment horizontal="center"/>
    </xf>
    <xf numFmtId="0" fontId="159" fillId="118" borderId="297" xfId="48" applyFont="1" applyFill="1" applyBorder="1" applyAlignment="1" applyProtection="1">
      <alignment horizontal="center"/>
      <protection locked="0"/>
    </xf>
    <xf numFmtId="0" fontId="159" fillId="118" borderId="298" xfId="48" applyFont="1" applyFill="1" applyBorder="1" applyAlignment="1" applyProtection="1">
      <alignment horizontal="center"/>
      <protection locked="0"/>
    </xf>
    <xf numFmtId="0" fontId="159" fillId="118" borderId="289" xfId="48" applyFont="1" applyFill="1" applyBorder="1" applyAlignment="1">
      <alignment horizontal="center"/>
    </xf>
    <xf numFmtId="0" fontId="5" fillId="118" borderId="274" xfId="48" applyFill="1" applyBorder="1" applyAlignment="1">
      <alignment horizontal="center" vertical="center"/>
    </xf>
    <xf numFmtId="0" fontId="5" fillId="118" borderId="275" xfId="48" applyFill="1" applyBorder="1" applyAlignment="1">
      <alignment horizontal="center" vertical="center"/>
    </xf>
    <xf numFmtId="0" fontId="160" fillId="139" borderId="293" xfId="48" applyFont="1" applyFill="1" applyBorder="1" applyAlignment="1" applyProtection="1">
      <alignment horizontal="center"/>
      <protection locked="0"/>
    </xf>
    <xf numFmtId="0" fontId="160" fillId="139" borderId="11" xfId="48" applyFont="1" applyFill="1" applyBorder="1" applyAlignment="1">
      <alignment horizontal="center"/>
    </xf>
    <xf numFmtId="0" fontId="160" fillId="139" borderId="294" xfId="48" applyFont="1" applyFill="1" applyBorder="1" applyAlignment="1" applyProtection="1">
      <alignment horizontal="center"/>
      <protection locked="0"/>
    </xf>
    <xf numFmtId="0" fontId="160" fillId="139" borderId="0" xfId="48" applyFont="1" applyFill="1" applyAlignment="1" applyProtection="1">
      <alignment horizontal="center"/>
      <protection locked="0"/>
    </xf>
    <xf numFmtId="0" fontId="5" fillId="139" borderId="278" xfId="48" applyFill="1" applyBorder="1" applyAlignment="1">
      <alignment horizontal="center" vertical="center"/>
    </xf>
    <xf numFmtId="0" fontId="5" fillId="139" borderId="279" xfId="48" applyFill="1" applyBorder="1" applyAlignment="1">
      <alignment horizontal="center" vertical="center"/>
    </xf>
    <xf numFmtId="0" fontId="160" fillId="139" borderId="251" xfId="48" applyFont="1" applyFill="1" applyBorder="1" applyAlignment="1">
      <alignment horizontal="center"/>
    </xf>
    <xf numFmtId="0" fontId="5" fillId="139" borderId="0" xfId="48" applyFill="1" applyAlignment="1" applyProtection="1">
      <alignment horizontal="center"/>
      <protection locked="0"/>
    </xf>
    <xf numFmtId="0" fontId="5" fillId="139" borderId="270" xfId="48" applyFill="1" applyBorder="1" applyAlignment="1">
      <alignment horizontal="center" vertical="center"/>
    </xf>
    <xf numFmtId="0" fontId="5" fillId="139" borderId="271" xfId="48" applyFill="1" applyBorder="1" applyAlignment="1">
      <alignment horizontal="center" vertical="center"/>
    </xf>
    <xf numFmtId="0" fontId="5" fillId="139" borderId="293" xfId="48" applyFill="1" applyBorder="1" applyAlignment="1" applyProtection="1">
      <alignment horizontal="center"/>
      <protection locked="0"/>
    </xf>
    <xf numFmtId="0" fontId="5" fillId="139" borderId="251" xfId="48" applyFill="1" applyBorder="1" applyAlignment="1">
      <alignment horizontal="center"/>
    </xf>
    <xf numFmtId="0" fontId="5" fillId="139" borderId="294" xfId="48" applyFill="1" applyBorder="1" applyAlignment="1" applyProtection="1">
      <alignment horizontal="center"/>
      <protection locked="0"/>
    </xf>
    <xf numFmtId="0" fontId="160" fillId="139" borderId="296" xfId="48" applyFont="1" applyFill="1" applyBorder="1" applyAlignment="1" applyProtection="1">
      <alignment horizontal="center"/>
      <protection locked="0"/>
    </xf>
    <xf numFmtId="0" fontId="160" fillId="139" borderId="258" xfId="48" applyFont="1" applyFill="1" applyBorder="1" applyAlignment="1">
      <alignment horizontal="center"/>
    </xf>
    <xf numFmtId="0" fontId="160" fillId="139" borderId="288" xfId="48" applyFont="1" applyFill="1" applyBorder="1" applyAlignment="1" applyProtection="1">
      <alignment horizontal="center"/>
      <protection locked="0"/>
    </xf>
    <xf numFmtId="0" fontId="5" fillId="0" borderId="307" xfId="48" applyBorder="1" applyAlignment="1">
      <alignment horizontal="center" vertical="center"/>
    </xf>
    <xf numFmtId="0" fontId="5" fillId="139" borderId="282" xfId="48" applyFill="1" applyBorder="1" applyAlignment="1">
      <alignment horizontal="center" vertical="center"/>
    </xf>
    <xf numFmtId="0" fontId="5" fillId="139" borderId="283" xfId="48" applyFill="1" applyBorder="1" applyAlignment="1">
      <alignment horizontal="center" vertical="center"/>
    </xf>
    <xf numFmtId="0" fontId="68" fillId="74" borderId="290" xfId="48" applyFont="1" applyFill="1" applyBorder="1" applyAlignment="1" applyProtection="1">
      <alignment horizontal="center"/>
      <protection locked="0"/>
    </xf>
    <xf numFmtId="0" fontId="68" fillId="74" borderId="251" xfId="48" applyFont="1" applyFill="1" applyBorder="1" applyAlignment="1">
      <alignment horizontal="center"/>
    </xf>
    <xf numFmtId="0" fontId="68" fillId="74" borderId="291" xfId="48" applyFont="1" applyFill="1" applyBorder="1" applyAlignment="1" applyProtection="1">
      <alignment horizontal="center"/>
      <protection locked="0"/>
    </xf>
    <xf numFmtId="0" fontId="68" fillId="74" borderId="259" xfId="48" applyFont="1" applyFill="1" applyBorder="1" applyAlignment="1" applyProtection="1">
      <alignment horizontal="center"/>
      <protection locked="0"/>
    </xf>
    <xf numFmtId="0" fontId="5" fillId="74" borderId="285" xfId="48" applyFill="1" applyBorder="1" applyAlignment="1">
      <alignment horizontal="center" vertical="center"/>
    </xf>
    <xf numFmtId="0" fontId="5" fillId="74" borderId="267" xfId="48" applyFill="1" applyBorder="1" applyAlignment="1">
      <alignment horizontal="center" vertical="center"/>
    </xf>
    <xf numFmtId="0" fontId="68" fillId="74" borderId="293" xfId="48" applyFont="1" applyFill="1" applyBorder="1" applyAlignment="1" applyProtection="1">
      <alignment horizontal="center"/>
      <protection locked="0"/>
    </xf>
    <xf numFmtId="0" fontId="68" fillId="74" borderId="294" xfId="48" applyFont="1" applyFill="1" applyBorder="1" applyAlignment="1" applyProtection="1">
      <alignment horizontal="center"/>
      <protection locked="0"/>
    </xf>
    <xf numFmtId="0" fontId="5" fillId="74" borderId="0" xfId="48" applyFill="1" applyAlignment="1" applyProtection="1">
      <alignment horizontal="center"/>
      <protection locked="0"/>
    </xf>
    <xf numFmtId="0" fontId="5" fillId="74" borderId="270" xfId="48" applyFill="1" applyBorder="1" applyAlignment="1">
      <alignment horizontal="center" vertical="center"/>
    </xf>
    <xf numFmtId="0" fontId="5" fillId="74" borderId="271" xfId="48" applyFill="1" applyBorder="1" applyAlignment="1">
      <alignment horizontal="center" vertical="center"/>
    </xf>
    <xf numFmtId="0" fontId="68" fillId="74" borderId="0" xfId="48" applyFont="1" applyFill="1" applyAlignment="1" applyProtection="1">
      <alignment horizontal="center"/>
      <protection locked="0"/>
    </xf>
    <xf numFmtId="0" fontId="5" fillId="74" borderId="293" xfId="48" applyFill="1" applyBorder="1" applyAlignment="1" applyProtection="1">
      <alignment horizontal="center"/>
      <protection locked="0"/>
    </xf>
    <xf numFmtId="0" fontId="5" fillId="74" borderId="251" xfId="48" applyFill="1" applyBorder="1" applyAlignment="1">
      <alignment horizontal="center"/>
    </xf>
    <xf numFmtId="0" fontId="5" fillId="74" borderId="294" xfId="48" applyFill="1" applyBorder="1" applyAlignment="1" applyProtection="1">
      <alignment horizontal="center"/>
      <protection locked="0"/>
    </xf>
    <xf numFmtId="0" fontId="68" fillId="74" borderId="296" xfId="48" applyFont="1" applyFill="1" applyBorder="1" applyAlignment="1" applyProtection="1">
      <alignment horizontal="center"/>
      <protection locked="0"/>
    </xf>
    <xf numFmtId="0" fontId="68" fillId="74" borderId="297" xfId="48" applyFont="1" applyFill="1" applyBorder="1" applyAlignment="1" applyProtection="1">
      <alignment horizontal="center"/>
      <protection locked="0"/>
    </xf>
    <xf numFmtId="0" fontId="68" fillId="74" borderId="298" xfId="48" applyFont="1" applyFill="1" applyBorder="1" applyAlignment="1" applyProtection="1">
      <alignment horizontal="center"/>
      <protection locked="0"/>
    </xf>
    <xf numFmtId="0" fontId="68" fillId="74" borderId="289" xfId="48" applyFont="1" applyFill="1" applyBorder="1" applyAlignment="1" applyProtection="1">
      <alignment horizontal="center"/>
      <protection locked="0"/>
    </xf>
    <xf numFmtId="0" fontId="5" fillId="74" borderId="274" xfId="48" applyFill="1" applyBorder="1" applyAlignment="1">
      <alignment horizontal="center" vertical="center"/>
    </xf>
    <xf numFmtId="0" fontId="5" fillId="74" borderId="275" xfId="48" applyFill="1" applyBorder="1" applyAlignment="1">
      <alignment horizontal="center" vertical="center"/>
    </xf>
    <xf numFmtId="0" fontId="63" fillId="69" borderId="89" xfId="48" applyFont="1" applyFill="1" applyBorder="1" applyAlignment="1" applyProtection="1">
      <alignment horizontal="center"/>
      <protection locked="0"/>
    </xf>
    <xf numFmtId="0" fontId="63" fillId="69" borderId="90" xfId="48" applyFont="1" applyFill="1" applyBorder="1" applyAlignment="1" applyProtection="1">
      <alignment horizontal="center"/>
      <protection locked="0"/>
    </xf>
    <xf numFmtId="0" fontId="63" fillId="69" borderId="147" xfId="48" applyFont="1" applyFill="1" applyBorder="1" applyAlignment="1" applyProtection="1">
      <alignment horizontal="center"/>
      <protection locked="0"/>
    </xf>
    <xf numFmtId="0" fontId="5" fillId="69" borderId="278" xfId="48" applyFill="1" applyBorder="1" applyAlignment="1" applyProtection="1">
      <alignment horizontal="center"/>
      <protection locked="0"/>
    </xf>
    <xf numFmtId="0" fontId="5" fillId="69" borderId="279" xfId="48" applyFill="1" applyBorder="1" applyAlignment="1" applyProtection="1">
      <alignment horizontal="center"/>
      <protection locked="0"/>
    </xf>
    <xf numFmtId="0" fontId="63" fillId="69" borderId="142" xfId="48" applyFont="1" applyFill="1" applyBorder="1" applyAlignment="1" applyProtection="1">
      <alignment horizontal="center"/>
      <protection locked="0"/>
    </xf>
    <xf numFmtId="0" fontId="5" fillId="69" borderId="270" xfId="48" applyFill="1" applyBorder="1" applyAlignment="1" applyProtection="1">
      <alignment horizontal="center"/>
      <protection locked="0"/>
    </xf>
    <xf numFmtId="0" fontId="5" fillId="69" borderId="271" xfId="48" applyFill="1" applyBorder="1" applyAlignment="1" applyProtection="1">
      <alignment horizontal="center"/>
      <protection locked="0"/>
    </xf>
    <xf numFmtId="0" fontId="5" fillId="69" borderId="147" xfId="48" applyFill="1" applyBorder="1" applyAlignment="1" applyProtection="1">
      <alignment horizontal="center"/>
      <protection locked="0"/>
    </xf>
    <xf numFmtId="0" fontId="5" fillId="69" borderId="89" xfId="48" applyFill="1" applyBorder="1" applyAlignment="1" applyProtection="1">
      <alignment horizontal="center"/>
      <protection locked="0"/>
    </xf>
    <xf numFmtId="0" fontId="5" fillId="69" borderId="90" xfId="48" applyFill="1" applyBorder="1" applyAlignment="1" applyProtection="1">
      <alignment horizontal="center"/>
      <protection locked="0"/>
    </xf>
    <xf numFmtId="0" fontId="63" fillId="69" borderId="280" xfId="48" applyFont="1" applyFill="1" applyBorder="1" applyAlignment="1" applyProtection="1">
      <alignment horizontal="center"/>
      <protection locked="0"/>
    </xf>
    <xf numFmtId="0" fontId="5" fillId="69" borderId="142" xfId="48" applyFill="1" applyBorder="1" applyAlignment="1" applyProtection="1">
      <alignment horizontal="center"/>
      <protection locked="0"/>
    </xf>
    <xf numFmtId="0" fontId="5" fillId="69" borderId="282" xfId="48" applyFill="1" applyBorder="1" applyAlignment="1" applyProtection="1">
      <alignment horizontal="center"/>
      <protection locked="0"/>
    </xf>
    <xf numFmtId="0" fontId="5" fillId="69" borderId="283" xfId="48" applyFill="1" applyBorder="1" applyAlignment="1" applyProtection="1">
      <alignment horizontal="center"/>
      <protection locked="0"/>
    </xf>
    <xf numFmtId="0" fontId="64" fillId="70" borderId="87" xfId="48" applyFont="1" applyFill="1" applyBorder="1" applyAlignment="1" applyProtection="1">
      <alignment horizontal="center"/>
      <protection locked="0"/>
    </xf>
    <xf numFmtId="0" fontId="64" fillId="70" borderId="88" xfId="48" applyFont="1" applyFill="1" applyBorder="1" applyAlignment="1" applyProtection="1">
      <alignment horizontal="center"/>
      <protection locked="0"/>
    </xf>
    <xf numFmtId="0" fontId="64" fillId="70" borderId="146" xfId="48" applyFont="1" applyFill="1" applyBorder="1" applyAlignment="1" applyProtection="1">
      <alignment horizontal="center"/>
      <protection locked="0"/>
    </xf>
    <xf numFmtId="0" fontId="5" fillId="70" borderId="300" xfId="48" applyFill="1" applyBorder="1" applyAlignment="1" applyProtection="1">
      <alignment horizontal="center"/>
      <protection locked="0"/>
    </xf>
    <xf numFmtId="0" fontId="5" fillId="70" borderId="88" xfId="48" applyFill="1" applyBorder="1" applyAlignment="1" applyProtection="1">
      <alignment horizontal="center"/>
      <protection locked="0"/>
    </xf>
    <xf numFmtId="0" fontId="64" fillId="70" borderId="89" xfId="48" applyFont="1" applyFill="1" applyBorder="1" applyAlignment="1" applyProtection="1">
      <alignment horizontal="center"/>
      <protection locked="0"/>
    </xf>
    <xf numFmtId="0" fontId="64" fillId="70" borderId="90" xfId="48" applyFont="1" applyFill="1" applyBorder="1" applyAlignment="1" applyProtection="1">
      <alignment horizontal="center"/>
      <protection locked="0"/>
    </xf>
    <xf numFmtId="0" fontId="64" fillId="70" borderId="147" xfId="48" applyFont="1" applyFill="1" applyBorder="1" applyAlignment="1" applyProtection="1">
      <alignment horizontal="center"/>
      <protection locked="0"/>
    </xf>
    <xf numFmtId="0" fontId="5" fillId="70" borderId="142" xfId="48" applyFill="1" applyBorder="1" applyAlignment="1" applyProtection="1">
      <alignment horizontal="center"/>
      <protection locked="0"/>
    </xf>
    <xf numFmtId="0" fontId="5" fillId="70" borderId="90" xfId="48" applyFill="1" applyBorder="1" applyAlignment="1" applyProtection="1">
      <alignment horizontal="center"/>
      <protection locked="0"/>
    </xf>
    <xf numFmtId="0" fontId="5" fillId="70" borderId="147" xfId="48" applyFill="1" applyBorder="1" applyAlignment="1" applyProtection="1">
      <alignment horizontal="center"/>
      <protection locked="0"/>
    </xf>
    <xf numFmtId="0" fontId="5" fillId="70" borderId="89" xfId="48" applyFill="1" applyBorder="1" applyAlignment="1" applyProtection="1">
      <alignment horizontal="center"/>
      <protection locked="0"/>
    </xf>
    <xf numFmtId="0" fontId="64" fillId="70" borderId="280" xfId="48" applyFont="1" applyFill="1" applyBorder="1" applyAlignment="1" applyProtection="1">
      <alignment horizontal="center"/>
      <protection locked="0"/>
    </xf>
    <xf numFmtId="0" fontId="64" fillId="70" borderId="91" xfId="48" applyFont="1" applyFill="1" applyBorder="1" applyAlignment="1" applyProtection="1">
      <alignment horizontal="center"/>
      <protection locked="0"/>
    </xf>
    <xf numFmtId="0" fontId="64" fillId="70" borderId="92" xfId="48" applyFont="1" applyFill="1" applyBorder="1" applyAlignment="1" applyProtection="1">
      <alignment horizontal="center"/>
      <protection locked="0"/>
    </xf>
    <xf numFmtId="0" fontId="64" fillId="70" borderId="148" xfId="48" applyFont="1" applyFill="1" applyBorder="1" applyAlignment="1" applyProtection="1">
      <alignment horizontal="center"/>
      <protection locked="0"/>
    </xf>
    <xf numFmtId="0" fontId="5" fillId="70" borderId="143" xfId="48" applyFill="1" applyBorder="1" applyAlignment="1" applyProtection="1">
      <alignment horizontal="center"/>
      <protection locked="0"/>
    </xf>
    <xf numFmtId="0" fontId="5" fillId="70" borderId="92" xfId="48" applyFill="1" applyBorder="1" applyAlignment="1" applyProtection="1">
      <alignment horizontal="center"/>
      <protection locked="0"/>
    </xf>
    <xf numFmtId="0" fontId="64" fillId="70" borderId="153" xfId="48" applyFont="1" applyFill="1" applyBorder="1" applyAlignment="1" applyProtection="1">
      <alignment horizontal="center"/>
      <protection locked="0"/>
    </xf>
    <xf numFmtId="0" fontId="65" fillId="71" borderId="89" xfId="48" applyFont="1" applyFill="1" applyBorder="1" applyAlignment="1" applyProtection="1">
      <alignment horizontal="center"/>
      <protection locked="0"/>
    </xf>
    <xf numFmtId="0" fontId="65" fillId="71" borderId="90" xfId="48" applyFont="1" applyFill="1" applyBorder="1" applyAlignment="1" applyProtection="1">
      <alignment horizontal="center"/>
      <protection locked="0"/>
    </xf>
    <xf numFmtId="0" fontId="65" fillId="71" borderId="147" xfId="48" applyFont="1" applyFill="1" applyBorder="1" applyAlignment="1" applyProtection="1">
      <alignment horizontal="center"/>
      <protection locked="0"/>
    </xf>
    <xf numFmtId="0" fontId="5" fillId="71" borderId="278" xfId="48" applyFill="1" applyBorder="1" applyAlignment="1" applyProtection="1">
      <alignment horizontal="center"/>
      <protection locked="0"/>
    </xf>
    <xf numFmtId="0" fontId="5" fillId="71" borderId="279" xfId="48" applyFill="1" applyBorder="1" applyAlignment="1" applyProtection="1">
      <alignment horizontal="center"/>
      <protection locked="0"/>
    </xf>
    <xf numFmtId="0" fontId="65" fillId="71" borderId="142" xfId="48" applyFont="1" applyFill="1" applyBorder="1" applyAlignment="1" applyProtection="1">
      <alignment horizontal="center"/>
      <protection locked="0"/>
    </xf>
    <xf numFmtId="0" fontId="5" fillId="71" borderId="270" xfId="48" applyFill="1" applyBorder="1" applyAlignment="1" applyProtection="1">
      <alignment horizontal="center"/>
      <protection locked="0"/>
    </xf>
    <xf numFmtId="0" fontId="5" fillId="71" borderId="271" xfId="48" applyFill="1" applyBorder="1" applyAlignment="1" applyProtection="1">
      <alignment horizontal="center"/>
      <protection locked="0"/>
    </xf>
    <xf numFmtId="0" fontId="5" fillId="71" borderId="147" xfId="48" applyFill="1" applyBorder="1" applyAlignment="1" applyProtection="1">
      <alignment horizontal="center"/>
      <protection locked="0"/>
    </xf>
    <xf numFmtId="0" fontId="5" fillId="71" borderId="89" xfId="48" applyFill="1" applyBorder="1" applyAlignment="1" applyProtection="1">
      <alignment horizontal="center"/>
      <protection locked="0"/>
    </xf>
    <xf numFmtId="0" fontId="5" fillId="71" borderId="90" xfId="48" applyFill="1" applyBorder="1" applyAlignment="1" applyProtection="1">
      <alignment horizontal="center"/>
      <protection locked="0"/>
    </xf>
    <xf numFmtId="0" fontId="65" fillId="71" borderId="280" xfId="48" applyFont="1" applyFill="1" applyBorder="1" applyAlignment="1" applyProtection="1">
      <alignment horizontal="center"/>
      <protection locked="0"/>
    </xf>
    <xf numFmtId="0" fontId="5" fillId="71" borderId="142" xfId="48" applyFill="1" applyBorder="1" applyAlignment="1" applyProtection="1">
      <alignment horizontal="center"/>
      <protection locked="0"/>
    </xf>
    <xf numFmtId="0" fontId="5" fillId="71" borderId="282" xfId="48" applyFill="1" applyBorder="1" applyAlignment="1" applyProtection="1">
      <alignment horizontal="center"/>
      <protection locked="0"/>
    </xf>
    <xf numFmtId="0" fontId="5" fillId="71" borderId="283" xfId="48" applyFill="1" applyBorder="1" applyAlignment="1" applyProtection="1">
      <alignment horizontal="center"/>
      <protection locked="0"/>
    </xf>
    <xf numFmtId="0" fontId="65" fillId="71" borderId="294" xfId="48" applyFont="1" applyFill="1" applyBorder="1" applyAlignment="1" applyProtection="1">
      <alignment horizontal="center"/>
      <protection locked="0"/>
    </xf>
    <xf numFmtId="0" fontId="65" fillId="71" borderId="313" xfId="48" applyFont="1" applyFill="1" applyBorder="1" applyAlignment="1" applyProtection="1">
      <alignment horizontal="center"/>
      <protection locked="0"/>
    </xf>
    <xf numFmtId="0" fontId="160" fillId="139" borderId="290" xfId="48" applyFont="1" applyFill="1" applyBorder="1" applyAlignment="1" applyProtection="1">
      <alignment horizontal="center"/>
      <protection locked="0"/>
    </xf>
    <xf numFmtId="0" fontId="160" fillId="139" borderId="291" xfId="48" applyFont="1" applyFill="1" applyBorder="1" applyAlignment="1" applyProtection="1">
      <alignment horizontal="center"/>
      <protection locked="0"/>
    </xf>
    <xf numFmtId="0" fontId="160" fillId="139" borderId="259" xfId="48" applyFont="1" applyFill="1" applyBorder="1" applyAlignment="1">
      <alignment horizontal="center"/>
    </xf>
    <xf numFmtId="0" fontId="5" fillId="139" borderId="285" xfId="48" applyFill="1" applyBorder="1" applyAlignment="1">
      <alignment horizontal="center" vertical="center"/>
    </xf>
    <xf numFmtId="0" fontId="5" fillId="139" borderId="267" xfId="48" applyFill="1" applyBorder="1" applyAlignment="1">
      <alignment horizontal="center" vertical="center"/>
    </xf>
    <xf numFmtId="0" fontId="5" fillId="139" borderId="0" xfId="48" applyFill="1" applyAlignment="1">
      <alignment horizontal="center"/>
    </xf>
    <xf numFmtId="0" fontId="160" fillId="139" borderId="0" xfId="48" applyFont="1" applyFill="1" applyAlignment="1">
      <alignment horizontal="center"/>
    </xf>
    <xf numFmtId="0" fontId="160" fillId="139" borderId="304" xfId="48" applyFont="1" applyFill="1" applyBorder="1" applyAlignment="1">
      <alignment horizontal="center"/>
    </xf>
    <xf numFmtId="0" fontId="160" fillId="139" borderId="297" xfId="48" applyFont="1" applyFill="1" applyBorder="1" applyAlignment="1" applyProtection="1">
      <alignment horizontal="center"/>
      <protection locked="0"/>
    </xf>
    <xf numFmtId="0" fontId="160" fillId="139" borderId="298" xfId="48" applyFont="1" applyFill="1" applyBorder="1" applyAlignment="1" applyProtection="1">
      <alignment horizontal="center"/>
      <protection locked="0"/>
    </xf>
    <xf numFmtId="0" fontId="160" fillId="139" borderId="289" xfId="48" applyFont="1" applyFill="1" applyBorder="1" applyAlignment="1">
      <alignment horizontal="center"/>
    </xf>
    <xf numFmtId="0" fontId="5" fillId="139" borderId="274" xfId="48" applyFill="1" applyBorder="1" applyAlignment="1">
      <alignment horizontal="center" vertical="center"/>
    </xf>
    <xf numFmtId="0" fontId="5" fillId="139" borderId="275" xfId="48" applyFill="1" applyBorder="1" applyAlignment="1">
      <alignment horizontal="center" vertical="center"/>
    </xf>
    <xf numFmtId="0" fontId="161" fillId="140" borderId="293" xfId="48" applyFont="1" applyFill="1" applyBorder="1" applyAlignment="1" applyProtection="1">
      <alignment horizontal="center"/>
      <protection locked="0"/>
    </xf>
    <xf numFmtId="0" fontId="161" fillId="140" borderId="11" xfId="48" applyFont="1" applyFill="1" applyBorder="1" applyAlignment="1">
      <alignment horizontal="center"/>
    </xf>
    <xf numFmtId="0" fontId="161" fillId="140" borderId="294" xfId="48" applyFont="1" applyFill="1" applyBorder="1" applyAlignment="1" applyProtection="1">
      <alignment horizontal="center"/>
      <protection locked="0"/>
    </xf>
    <xf numFmtId="0" fontId="161" fillId="140" borderId="0" xfId="48" applyFont="1" applyFill="1" applyAlignment="1" applyProtection="1">
      <alignment horizontal="center"/>
      <protection locked="0"/>
    </xf>
    <xf numFmtId="0" fontId="5" fillId="140" borderId="278" xfId="48" applyFill="1" applyBorder="1" applyAlignment="1">
      <alignment horizontal="center" vertical="center"/>
    </xf>
    <xf numFmtId="0" fontId="5" fillId="140" borderId="279" xfId="48" applyFill="1" applyBorder="1" applyAlignment="1">
      <alignment horizontal="center" vertical="center"/>
    </xf>
    <xf numFmtId="0" fontId="161" fillId="140" borderId="251" xfId="48" applyFont="1" applyFill="1" applyBorder="1" applyAlignment="1">
      <alignment horizontal="center"/>
    </xf>
    <xf numFmtId="0" fontId="5" fillId="140" borderId="0" xfId="48" applyFill="1" applyAlignment="1" applyProtection="1">
      <alignment horizontal="center"/>
      <protection locked="0"/>
    </xf>
    <xf numFmtId="0" fontId="5" fillId="140" borderId="270" xfId="48" applyFill="1" applyBorder="1" applyAlignment="1">
      <alignment horizontal="center" vertical="center"/>
    </xf>
    <xf numFmtId="0" fontId="5" fillId="140" borderId="271" xfId="48" applyFill="1" applyBorder="1" applyAlignment="1">
      <alignment horizontal="center" vertical="center"/>
    </xf>
    <xf numFmtId="0" fontId="5" fillId="140" borderId="293" xfId="48" applyFill="1" applyBorder="1" applyAlignment="1" applyProtection="1">
      <alignment horizontal="center"/>
      <protection locked="0"/>
    </xf>
    <xf numFmtId="0" fontId="5" fillId="140" borderId="251" xfId="48" applyFill="1" applyBorder="1" applyAlignment="1">
      <alignment horizontal="center"/>
    </xf>
    <xf numFmtId="0" fontId="5" fillId="140" borderId="294" xfId="48" applyFill="1" applyBorder="1" applyAlignment="1" applyProtection="1">
      <alignment horizontal="center"/>
      <protection locked="0"/>
    </xf>
    <xf numFmtId="0" fontId="161" fillId="140" borderId="296" xfId="48" applyFont="1" applyFill="1" applyBorder="1" applyAlignment="1" applyProtection="1">
      <alignment horizontal="center"/>
      <protection locked="0"/>
    </xf>
    <xf numFmtId="0" fontId="161" fillId="140" borderId="258" xfId="48" applyFont="1" applyFill="1" applyBorder="1" applyAlignment="1">
      <alignment horizontal="center"/>
    </xf>
    <xf numFmtId="0" fontId="161" fillId="140" borderId="288" xfId="48" applyFont="1" applyFill="1" applyBorder="1" applyAlignment="1" applyProtection="1">
      <alignment horizontal="center"/>
      <protection locked="0"/>
    </xf>
    <xf numFmtId="0" fontId="5" fillId="140" borderId="282" xfId="48" applyFill="1" applyBorder="1" applyAlignment="1">
      <alignment horizontal="center" vertical="center"/>
    </xf>
    <xf numFmtId="0" fontId="5" fillId="140" borderId="283" xfId="48" applyFill="1" applyBorder="1" applyAlignment="1">
      <alignment horizontal="center" vertical="center"/>
    </xf>
    <xf numFmtId="0" fontId="68" fillId="74" borderId="311" xfId="48" applyFont="1" applyFill="1" applyBorder="1" applyAlignment="1" applyProtection="1">
      <alignment horizontal="center"/>
      <protection locked="0"/>
    </xf>
    <xf numFmtId="0" fontId="47" fillId="44" borderId="305" xfId="48" applyFont="1" applyFill="1" applyBorder="1" applyAlignment="1" applyProtection="1">
      <alignment horizontal="center"/>
      <protection locked="0"/>
    </xf>
    <xf numFmtId="0" fontId="47" fillId="44" borderId="306" xfId="48" applyFont="1" applyFill="1" applyBorder="1" applyAlignment="1" applyProtection="1">
      <alignment horizontal="center"/>
      <protection locked="0"/>
    </xf>
    <xf numFmtId="0" fontId="47" fillId="44" borderId="307" xfId="48" applyFont="1" applyFill="1" applyBorder="1" applyAlignment="1" applyProtection="1">
      <alignment horizontal="center"/>
      <protection locked="0"/>
    </xf>
    <xf numFmtId="0" fontId="63" fillId="69" borderId="209" xfId="48" applyFont="1" applyFill="1" applyBorder="1" applyAlignment="1" applyProtection="1">
      <alignment horizontal="center"/>
      <protection locked="0"/>
    </xf>
    <xf numFmtId="0" fontId="160" fillId="140" borderId="290" xfId="48" applyFont="1" applyFill="1" applyBorder="1" applyAlignment="1" applyProtection="1">
      <alignment horizontal="center"/>
      <protection locked="0"/>
    </xf>
    <xf numFmtId="0" fontId="160" fillId="140" borderId="251" xfId="48" applyFont="1" applyFill="1" applyBorder="1" applyAlignment="1">
      <alignment horizontal="center"/>
    </xf>
    <xf numFmtId="0" fontId="160" fillId="140" borderId="291" xfId="48" applyFont="1" applyFill="1" applyBorder="1" applyAlignment="1" applyProtection="1">
      <alignment horizontal="center"/>
      <protection locked="0"/>
    </xf>
    <xf numFmtId="0" fontId="160" fillId="140" borderId="259" xfId="48" applyFont="1" applyFill="1" applyBorder="1" applyAlignment="1" applyProtection="1">
      <alignment horizontal="center"/>
      <protection locked="0"/>
    </xf>
    <xf numFmtId="0" fontId="5" fillId="140" borderId="285" xfId="48" applyFill="1" applyBorder="1" applyAlignment="1">
      <alignment horizontal="center" vertical="center"/>
    </xf>
    <xf numFmtId="0" fontId="5" fillId="140" borderId="267" xfId="48" applyFill="1" applyBorder="1" applyAlignment="1">
      <alignment horizontal="center" vertical="center"/>
    </xf>
    <xf numFmtId="0" fontId="160" fillId="140" borderId="293" xfId="48" applyFont="1" applyFill="1" applyBorder="1" applyAlignment="1" applyProtection="1">
      <alignment horizontal="center"/>
      <protection locked="0"/>
    </xf>
    <xf numFmtId="0" fontId="160" fillId="140" borderId="294" xfId="48" applyFont="1" applyFill="1" applyBorder="1" applyAlignment="1" applyProtection="1">
      <alignment horizontal="center"/>
      <protection locked="0"/>
    </xf>
    <xf numFmtId="0" fontId="160" fillId="140" borderId="0" xfId="48" applyFont="1" applyFill="1" applyAlignment="1" applyProtection="1">
      <alignment horizontal="center"/>
      <protection locked="0"/>
    </xf>
    <xf numFmtId="0" fontId="160" fillId="140" borderId="296" xfId="48" applyFont="1" applyFill="1" applyBorder="1" applyAlignment="1" applyProtection="1">
      <alignment horizontal="center"/>
      <protection locked="0"/>
    </xf>
    <xf numFmtId="0" fontId="160" fillId="140" borderId="297" xfId="48" applyFont="1" applyFill="1" applyBorder="1" applyAlignment="1" applyProtection="1">
      <alignment horizontal="center"/>
      <protection locked="0"/>
    </xf>
    <xf numFmtId="0" fontId="160" fillId="140" borderId="298" xfId="48" applyFont="1" applyFill="1" applyBorder="1" applyAlignment="1" applyProtection="1">
      <alignment horizontal="center"/>
      <protection locked="0"/>
    </xf>
    <xf numFmtId="0" fontId="160" fillId="140" borderId="289" xfId="48" applyFont="1" applyFill="1" applyBorder="1" applyAlignment="1" applyProtection="1">
      <alignment horizontal="center"/>
      <protection locked="0"/>
    </xf>
    <xf numFmtId="0" fontId="5" fillId="140" borderId="274" xfId="48" applyFill="1" applyBorder="1" applyAlignment="1">
      <alignment horizontal="center" vertical="center"/>
    </xf>
    <xf numFmtId="0" fontId="5" fillId="140" borderId="275" xfId="48" applyFill="1" applyBorder="1" applyAlignment="1">
      <alignment horizontal="center" vertical="center"/>
    </xf>
    <xf numFmtId="0" fontId="52" fillId="48" borderId="146" xfId="48" applyFont="1" applyFill="1" applyBorder="1" applyAlignment="1">
      <alignment horizontal="center"/>
    </xf>
    <xf numFmtId="0" fontId="52" fillId="48" borderId="91" xfId="48" applyFont="1" applyFill="1" applyBorder="1" applyAlignment="1">
      <alignment horizontal="center"/>
    </xf>
    <xf numFmtId="0" fontId="52" fillId="48" borderId="148" xfId="48" applyFont="1" applyFill="1" applyBorder="1" applyAlignment="1">
      <alignment horizontal="center"/>
    </xf>
    <xf numFmtId="0" fontId="50" fillId="55" borderId="11" xfId="48" applyFont="1" applyFill="1" applyBorder="1" applyAlignment="1">
      <alignment horizontal="center"/>
    </xf>
    <xf numFmtId="0" fontId="5" fillId="55" borderId="278" xfId="48" applyFill="1" applyBorder="1" applyAlignment="1" applyProtection="1">
      <alignment horizontal="center"/>
      <protection locked="0"/>
    </xf>
    <xf numFmtId="0" fontId="5" fillId="55" borderId="279" xfId="48" applyFill="1" applyBorder="1" applyAlignment="1" applyProtection="1">
      <alignment horizontal="center"/>
      <protection locked="0"/>
    </xf>
    <xf numFmtId="0" fontId="50" fillId="55" borderId="258" xfId="48" applyFont="1" applyFill="1" applyBorder="1" applyAlignment="1">
      <alignment horizontal="center"/>
    </xf>
    <xf numFmtId="0" fontId="5" fillId="55" borderId="282" xfId="48" applyFill="1" applyBorder="1" applyAlignment="1" applyProtection="1">
      <alignment horizontal="center"/>
      <protection locked="0"/>
    </xf>
    <xf numFmtId="0" fontId="5" fillId="55" borderId="283" xfId="48" applyFill="1" applyBorder="1" applyAlignment="1" applyProtection="1">
      <alignment horizontal="center"/>
      <protection locked="0"/>
    </xf>
    <xf numFmtId="0" fontId="80" fillId="58" borderId="87" xfId="48" applyFont="1" applyFill="1" applyBorder="1" applyAlignment="1" applyProtection="1">
      <alignment horizontal="center"/>
      <protection locked="0"/>
    </xf>
    <xf numFmtId="0" fontId="80" fillId="58" borderId="88" xfId="48" applyFont="1" applyFill="1" applyBorder="1" applyAlignment="1" applyProtection="1">
      <alignment horizontal="center"/>
      <protection locked="0"/>
    </xf>
    <xf numFmtId="0" fontId="80" fillId="58" borderId="146" xfId="48" applyFont="1" applyFill="1" applyBorder="1" applyAlignment="1" applyProtection="1">
      <alignment horizontal="center"/>
      <protection locked="0"/>
    </xf>
    <xf numFmtId="0" fontId="5" fillId="58" borderId="285" xfId="48" applyFill="1" applyBorder="1" applyAlignment="1" applyProtection="1">
      <alignment horizontal="center"/>
      <protection locked="0"/>
    </xf>
    <xf numFmtId="0" fontId="5" fillId="58" borderId="267" xfId="48" applyFill="1" applyBorder="1" applyAlignment="1" applyProtection="1">
      <alignment horizontal="center"/>
      <protection locked="0"/>
    </xf>
    <xf numFmtId="0" fontId="80" fillId="58" borderId="91" xfId="48" applyFont="1" applyFill="1" applyBorder="1" applyAlignment="1" applyProtection="1">
      <alignment horizontal="center"/>
      <protection locked="0"/>
    </xf>
    <xf numFmtId="0" fontId="80" fillId="58" borderId="92" xfId="48" applyFont="1" applyFill="1" applyBorder="1" applyAlignment="1" applyProtection="1">
      <alignment horizontal="center"/>
      <protection locked="0"/>
    </xf>
    <xf numFmtId="0" fontId="80" fillId="58" borderId="148" xfId="48" applyFont="1" applyFill="1" applyBorder="1" applyAlignment="1" applyProtection="1">
      <alignment horizontal="center"/>
      <protection locked="0"/>
    </xf>
    <xf numFmtId="0" fontId="5" fillId="58" borderId="274" xfId="48" applyFill="1" applyBorder="1" applyAlignment="1" applyProtection="1">
      <alignment horizontal="center"/>
      <protection locked="0"/>
    </xf>
    <xf numFmtId="0" fontId="5" fillId="58" borderId="275" xfId="48" applyFill="1" applyBorder="1" applyAlignment="1" applyProtection="1">
      <alignment horizontal="center"/>
      <protection locked="0"/>
    </xf>
    <xf numFmtId="0" fontId="80" fillId="58" borderId="286" xfId="48" applyFont="1" applyFill="1" applyBorder="1" applyAlignment="1" applyProtection="1">
      <alignment horizontal="center"/>
      <protection locked="0"/>
    </xf>
    <xf numFmtId="0" fontId="80" fillId="58" borderId="153" xfId="48" applyFont="1" applyFill="1" applyBorder="1" applyAlignment="1" applyProtection="1">
      <alignment horizontal="center"/>
      <protection locked="0"/>
    </xf>
    <xf numFmtId="0" fontId="5" fillId="137" borderId="278" xfId="48" applyFill="1" applyBorder="1" applyAlignment="1" applyProtection="1">
      <alignment horizontal="center"/>
      <protection locked="0"/>
    </xf>
    <xf numFmtId="0" fontId="5" fillId="137" borderId="279" xfId="48" applyFill="1" applyBorder="1" applyAlignment="1" applyProtection="1">
      <alignment horizontal="center"/>
      <protection locked="0"/>
    </xf>
    <xf numFmtId="0" fontId="5" fillId="137" borderId="282" xfId="48" applyFill="1" applyBorder="1" applyAlignment="1" applyProtection="1">
      <alignment horizontal="center"/>
      <protection locked="0"/>
    </xf>
    <xf numFmtId="0" fontId="5" fillId="137" borderId="283" xfId="48" applyFill="1" applyBorder="1" applyAlignment="1" applyProtection="1">
      <alignment horizontal="center"/>
      <protection locked="0"/>
    </xf>
    <xf numFmtId="0" fontId="55" fillId="114" borderId="259" xfId="48" applyFont="1" applyFill="1" applyBorder="1" applyAlignment="1">
      <alignment horizontal="center"/>
    </xf>
    <xf numFmtId="0" fontId="55" fillId="114" borderId="17" xfId="48" applyFont="1" applyFill="1" applyBorder="1" applyAlignment="1">
      <alignment horizontal="center"/>
    </xf>
    <xf numFmtId="0" fontId="56" fillId="54" borderId="290" xfId="48" applyFont="1" applyFill="1" applyBorder="1" applyAlignment="1" applyProtection="1">
      <alignment horizontal="center"/>
      <protection locked="0"/>
    </xf>
    <xf numFmtId="0" fontId="56" fillId="54" borderId="291" xfId="48" applyFont="1" applyFill="1" applyBorder="1" applyAlignment="1" applyProtection="1">
      <alignment horizontal="center"/>
      <protection locked="0"/>
    </xf>
    <xf numFmtId="0" fontId="56" fillId="54" borderId="292" xfId="48" applyFont="1" applyFill="1" applyBorder="1" applyAlignment="1" applyProtection="1">
      <alignment horizontal="center"/>
      <protection locked="0"/>
    </xf>
    <xf numFmtId="0" fontId="56" fillId="54" borderId="259" xfId="48" applyFont="1" applyFill="1" applyBorder="1" applyAlignment="1">
      <alignment horizontal="center"/>
    </xf>
    <xf numFmtId="0" fontId="5" fillId="54" borderId="285" xfId="48" applyFill="1" applyBorder="1" applyAlignment="1" applyProtection="1">
      <alignment horizontal="center"/>
      <protection locked="0"/>
    </xf>
    <xf numFmtId="0" fontId="5" fillId="54" borderId="267" xfId="48" applyFill="1" applyBorder="1" applyAlignment="1" applyProtection="1">
      <alignment horizontal="center"/>
      <protection locked="0"/>
    </xf>
    <xf numFmtId="0" fontId="56" fillId="54" borderId="259" xfId="48" applyFont="1" applyFill="1" applyBorder="1" applyAlignment="1" applyProtection="1">
      <alignment horizontal="center"/>
      <protection locked="0"/>
    </xf>
    <xf numFmtId="0" fontId="56" fillId="54" borderId="297" xfId="48" applyFont="1" applyFill="1" applyBorder="1" applyAlignment="1" applyProtection="1">
      <alignment horizontal="center"/>
      <protection locked="0"/>
    </xf>
    <xf numFmtId="0" fontId="56" fillId="54" borderId="298" xfId="48" applyFont="1" applyFill="1" applyBorder="1" applyAlignment="1" applyProtection="1">
      <alignment horizontal="center"/>
      <protection locked="0"/>
    </xf>
    <xf numFmtId="0" fontId="56" fillId="54" borderId="299" xfId="48" applyFont="1" applyFill="1" applyBorder="1" applyAlignment="1" applyProtection="1">
      <alignment horizontal="center"/>
      <protection locked="0"/>
    </xf>
    <xf numFmtId="0" fontId="56" fillId="54" borderId="17" xfId="48" applyFont="1" applyFill="1" applyBorder="1" applyAlignment="1">
      <alignment horizontal="center"/>
    </xf>
    <xf numFmtId="0" fontId="5" fillId="54" borderId="274" xfId="48" applyFill="1" applyBorder="1" applyAlignment="1" applyProtection="1">
      <alignment horizontal="center"/>
      <protection locked="0"/>
    </xf>
    <xf numFmtId="0" fontId="5" fillId="54" borderId="275" xfId="48" applyFill="1" applyBorder="1" applyAlignment="1" applyProtection="1">
      <alignment horizontal="center"/>
      <protection locked="0"/>
    </xf>
    <xf numFmtId="0" fontId="56" fillId="54" borderId="17" xfId="48" applyFont="1" applyFill="1" applyBorder="1" applyAlignment="1" applyProtection="1">
      <alignment horizontal="center"/>
      <protection locked="0"/>
    </xf>
    <xf numFmtId="0" fontId="5" fillId="61" borderId="278" xfId="48" applyFill="1" applyBorder="1" applyAlignment="1" applyProtection="1">
      <alignment horizontal="center"/>
      <protection locked="0"/>
    </xf>
    <xf numFmtId="0" fontId="5" fillId="61" borderId="279" xfId="48" applyFill="1" applyBorder="1" applyAlignment="1" applyProtection="1">
      <alignment horizontal="center"/>
      <protection locked="0"/>
    </xf>
    <xf numFmtId="0" fontId="5" fillId="61" borderId="282" xfId="48" applyFill="1" applyBorder="1" applyAlignment="1" applyProtection="1">
      <alignment horizontal="center"/>
      <protection locked="0"/>
    </xf>
    <xf numFmtId="0" fontId="5" fillId="61" borderId="283" xfId="48" applyFill="1" applyBorder="1" applyAlignment="1" applyProtection="1">
      <alignment horizontal="center"/>
      <protection locked="0"/>
    </xf>
    <xf numFmtId="0" fontId="60" fillId="46" borderId="11" xfId="48" applyFont="1" applyFill="1" applyBorder="1" applyAlignment="1">
      <alignment horizontal="center"/>
    </xf>
    <xf numFmtId="0" fontId="5" fillId="46" borderId="278" xfId="48" applyFill="1" applyBorder="1" applyAlignment="1" applyProtection="1">
      <alignment horizontal="center"/>
      <protection locked="0"/>
    </xf>
    <xf numFmtId="0" fontId="5" fillId="46" borderId="279" xfId="48" applyFill="1" applyBorder="1" applyAlignment="1" applyProtection="1">
      <alignment horizontal="center"/>
      <protection locked="0"/>
    </xf>
    <xf numFmtId="0" fontId="5" fillId="67" borderId="11" xfId="48" applyFill="1" applyBorder="1" applyAlignment="1">
      <alignment horizontal="center"/>
    </xf>
    <xf numFmtId="0" fontId="5" fillId="67" borderId="24" xfId="48" applyFill="1" applyBorder="1"/>
    <xf numFmtId="0" fontId="5" fillId="67" borderId="68" xfId="48" applyFill="1" applyBorder="1" applyAlignment="1">
      <alignment horizontal="center"/>
    </xf>
    <xf numFmtId="0" fontId="5" fillId="67" borderId="24" xfId="48" applyFill="1" applyBorder="1" applyAlignment="1">
      <alignment horizontal="center"/>
    </xf>
    <xf numFmtId="1" fontId="5" fillId="67" borderId="11" xfId="48" applyNumberFormat="1" applyFill="1" applyBorder="1" applyAlignment="1">
      <alignment horizontal="center"/>
    </xf>
    <xf numFmtId="0" fontId="5" fillId="67" borderId="11" xfId="48" applyFill="1" applyBorder="1" applyAlignment="1">
      <alignment horizontal="center" vertical="top"/>
    </xf>
    <xf numFmtId="0" fontId="60" fillId="46" borderId="258" xfId="48" applyFont="1" applyFill="1" applyBorder="1" applyAlignment="1">
      <alignment horizontal="center"/>
    </xf>
    <xf numFmtId="0" fontId="5" fillId="46" borderId="282" xfId="48" applyFill="1" applyBorder="1" applyAlignment="1" applyProtection="1">
      <alignment horizontal="center"/>
      <protection locked="0"/>
    </xf>
    <xf numFmtId="0" fontId="5" fillId="46" borderId="283" xfId="48" applyFill="1" applyBorder="1" applyAlignment="1" applyProtection="1">
      <alignment horizontal="center"/>
      <protection locked="0"/>
    </xf>
    <xf numFmtId="0" fontId="61" fillId="60" borderId="290" xfId="48" applyFont="1" applyFill="1" applyBorder="1" applyAlignment="1" applyProtection="1">
      <alignment horizontal="center"/>
      <protection locked="0"/>
    </xf>
    <xf numFmtId="0" fontId="61" fillId="60" borderId="291" xfId="48" applyFont="1" applyFill="1" applyBorder="1" applyAlignment="1" applyProtection="1">
      <alignment horizontal="center"/>
      <protection locked="0"/>
    </xf>
    <xf numFmtId="0" fontId="61" fillId="60" borderId="292" xfId="48" applyFont="1" applyFill="1" applyBorder="1" applyAlignment="1" applyProtection="1">
      <alignment horizontal="center"/>
      <protection locked="0"/>
    </xf>
    <xf numFmtId="0" fontId="61" fillId="60" borderId="259" xfId="48" applyFont="1" applyFill="1" applyBorder="1" applyAlignment="1" applyProtection="1">
      <alignment horizontal="center"/>
      <protection locked="0"/>
    </xf>
    <xf numFmtId="0" fontId="5" fillId="60" borderId="285" xfId="48" applyFill="1" applyBorder="1" applyAlignment="1">
      <alignment horizontal="center"/>
    </xf>
    <xf numFmtId="0" fontId="61" fillId="60" borderId="297" xfId="48" applyFont="1" applyFill="1" applyBorder="1" applyAlignment="1" applyProtection="1">
      <alignment horizontal="center"/>
      <protection locked="0"/>
    </xf>
    <xf numFmtId="0" fontId="61" fillId="60" borderId="298" xfId="48" applyFont="1" applyFill="1" applyBorder="1" applyAlignment="1" applyProtection="1">
      <alignment horizontal="center"/>
      <protection locked="0"/>
    </xf>
    <xf numFmtId="0" fontId="61" fillId="60" borderId="299" xfId="48" applyFont="1" applyFill="1" applyBorder="1" applyAlignment="1" applyProtection="1">
      <alignment horizontal="center"/>
      <protection locked="0"/>
    </xf>
    <xf numFmtId="0" fontId="61" fillId="60" borderId="17" xfId="48" applyFont="1" applyFill="1" applyBorder="1" applyAlignment="1" applyProtection="1">
      <alignment horizontal="center"/>
      <protection locked="0"/>
    </xf>
    <xf numFmtId="0" fontId="5" fillId="60" borderId="274" xfId="48" applyFill="1" applyBorder="1" applyAlignment="1">
      <alignment horizontal="center"/>
    </xf>
    <xf numFmtId="0" fontId="62" fillId="56" borderId="11" xfId="48" applyFont="1" applyFill="1" applyBorder="1" applyAlignment="1">
      <alignment horizontal="center"/>
    </xf>
    <xf numFmtId="0" fontId="5" fillId="56" borderId="278" xfId="48" applyFill="1" applyBorder="1" applyAlignment="1" applyProtection="1">
      <alignment horizontal="center"/>
      <protection locked="0"/>
    </xf>
    <xf numFmtId="0" fontId="5" fillId="56" borderId="279" xfId="48" applyFill="1" applyBorder="1" applyAlignment="1" applyProtection="1">
      <alignment horizontal="center"/>
      <protection locked="0"/>
    </xf>
    <xf numFmtId="0" fontId="62" fillId="56" borderId="258" xfId="48" applyFont="1" applyFill="1" applyBorder="1" applyAlignment="1">
      <alignment horizontal="center"/>
    </xf>
    <xf numFmtId="0" fontId="5" fillId="56" borderId="282" xfId="48" applyFill="1" applyBorder="1" applyAlignment="1" applyProtection="1">
      <alignment horizontal="center"/>
      <protection locked="0"/>
    </xf>
    <xf numFmtId="0" fontId="5" fillId="56" borderId="283" xfId="48" applyFill="1" applyBorder="1" applyAlignment="1" applyProtection="1">
      <alignment horizontal="center"/>
      <protection locked="0"/>
    </xf>
    <xf numFmtId="0" fontId="63" fillId="69" borderId="87" xfId="48" applyFont="1" applyFill="1" applyBorder="1" applyAlignment="1" applyProtection="1">
      <alignment horizontal="center"/>
      <protection locked="0"/>
    </xf>
    <xf numFmtId="0" fontId="63" fillId="69" borderId="88" xfId="48" applyFont="1" applyFill="1" applyBorder="1" applyAlignment="1" applyProtection="1">
      <alignment horizontal="center"/>
      <protection locked="0"/>
    </xf>
    <xf numFmtId="0" fontId="63" fillId="69" borderId="146" xfId="48" applyFont="1" applyFill="1" applyBorder="1" applyAlignment="1" applyProtection="1">
      <alignment horizontal="center"/>
      <protection locked="0"/>
    </xf>
    <xf numFmtId="0" fontId="5" fillId="69" borderId="285" xfId="48" applyFill="1" applyBorder="1" applyAlignment="1" applyProtection="1">
      <alignment horizontal="center"/>
      <protection locked="0"/>
    </xf>
    <xf numFmtId="0" fontId="5" fillId="69" borderId="267" xfId="48" applyFill="1" applyBorder="1" applyAlignment="1" applyProtection="1">
      <alignment horizontal="center"/>
      <protection locked="0"/>
    </xf>
    <xf numFmtId="0" fontId="63" fillId="69" borderId="300" xfId="48" applyFont="1" applyFill="1" applyBorder="1" applyAlignment="1" applyProtection="1">
      <alignment horizontal="center"/>
      <protection locked="0"/>
    </xf>
    <xf numFmtId="0" fontId="63" fillId="69" borderId="91" xfId="48" applyFont="1" applyFill="1" applyBorder="1" applyAlignment="1" applyProtection="1">
      <alignment horizontal="center"/>
      <protection locked="0"/>
    </xf>
    <xf numFmtId="0" fontId="63" fillId="69" borderId="92" xfId="48" applyFont="1" applyFill="1" applyBorder="1" applyAlignment="1" applyProtection="1">
      <alignment horizontal="center"/>
      <protection locked="0"/>
    </xf>
    <xf numFmtId="0" fontId="63" fillId="69" borderId="148" xfId="48" applyFont="1" applyFill="1" applyBorder="1" applyAlignment="1" applyProtection="1">
      <alignment horizontal="center"/>
      <protection locked="0"/>
    </xf>
    <xf numFmtId="0" fontId="5" fillId="69" borderId="274" xfId="48" applyFill="1" applyBorder="1" applyAlignment="1" applyProtection="1">
      <alignment horizontal="center"/>
      <protection locked="0"/>
    </xf>
    <xf numFmtId="0" fontId="5" fillId="69" borderId="275" xfId="48" applyFill="1" applyBorder="1" applyAlignment="1" applyProtection="1">
      <alignment horizontal="center"/>
      <protection locked="0"/>
    </xf>
    <xf numFmtId="0" fontId="63" fillId="69" borderId="143" xfId="48" applyFont="1" applyFill="1" applyBorder="1" applyAlignment="1" applyProtection="1">
      <alignment horizontal="center"/>
      <protection locked="0"/>
    </xf>
    <xf numFmtId="0" fontId="63" fillId="69" borderId="153" xfId="48" applyFont="1" applyFill="1" applyBorder="1" applyAlignment="1" applyProtection="1">
      <alignment horizontal="center"/>
      <protection locked="0"/>
    </xf>
    <xf numFmtId="0" fontId="64" fillId="70" borderId="209" xfId="48" applyFont="1" applyFill="1" applyBorder="1" applyAlignment="1" applyProtection="1">
      <alignment horizontal="center"/>
      <protection locked="0"/>
    </xf>
    <xf numFmtId="0" fontId="65" fillId="71" borderId="87" xfId="48" applyFont="1" applyFill="1" applyBorder="1" applyAlignment="1" applyProtection="1">
      <alignment horizontal="center"/>
      <protection locked="0"/>
    </xf>
    <xf numFmtId="0" fontId="65" fillId="71" borderId="88" xfId="48" applyFont="1" applyFill="1" applyBorder="1" applyAlignment="1" applyProtection="1">
      <alignment horizontal="center"/>
      <protection locked="0"/>
    </xf>
    <xf numFmtId="0" fontId="65" fillId="71" borderId="146" xfId="48" applyFont="1" applyFill="1" applyBorder="1" applyAlignment="1" applyProtection="1">
      <alignment horizontal="center"/>
      <protection locked="0"/>
    </xf>
    <xf numFmtId="0" fontId="47" fillId="0" borderId="309" xfId="48" applyFont="1" applyBorder="1" applyAlignment="1">
      <alignment horizontal="center" vertical="center"/>
    </xf>
    <xf numFmtId="0" fontId="5" fillId="71" borderId="300" xfId="48" applyFill="1" applyBorder="1" applyAlignment="1" applyProtection="1">
      <alignment horizontal="center"/>
      <protection locked="0"/>
    </xf>
    <xf numFmtId="0" fontId="5" fillId="71" borderId="88" xfId="48" applyFill="1" applyBorder="1" applyAlignment="1" applyProtection="1">
      <alignment horizontal="center"/>
      <protection locked="0"/>
    </xf>
    <xf numFmtId="0" fontId="65" fillId="71" borderId="91" xfId="48" applyFont="1" applyFill="1" applyBorder="1" applyAlignment="1" applyProtection="1">
      <alignment horizontal="center"/>
      <protection locked="0"/>
    </xf>
    <xf numFmtId="0" fontId="65" fillId="71" borderId="92" xfId="48" applyFont="1" applyFill="1" applyBorder="1" applyAlignment="1" applyProtection="1">
      <alignment horizontal="center"/>
      <protection locked="0"/>
    </xf>
    <xf numFmtId="0" fontId="65" fillId="71" borderId="148" xfId="48" applyFont="1" applyFill="1" applyBorder="1" applyAlignment="1" applyProtection="1">
      <alignment horizontal="center"/>
      <protection locked="0"/>
    </xf>
    <xf numFmtId="0" fontId="5" fillId="71" borderId="143" xfId="48" applyFill="1" applyBorder="1" applyAlignment="1" applyProtection="1">
      <alignment horizontal="center"/>
      <protection locked="0"/>
    </xf>
    <xf numFmtId="0" fontId="5" fillId="71" borderId="92" xfId="48" applyFill="1" applyBorder="1" applyAlignment="1" applyProtection="1">
      <alignment horizontal="center"/>
      <protection locked="0"/>
    </xf>
    <xf numFmtId="0" fontId="65" fillId="71" borderId="153" xfId="48" applyFont="1" applyFill="1" applyBorder="1" applyAlignment="1" applyProtection="1">
      <alignment horizontal="center"/>
      <protection locked="0"/>
    </xf>
    <xf numFmtId="0" fontId="160" fillId="139" borderId="288" xfId="48" applyFont="1" applyFill="1" applyBorder="1" applyAlignment="1">
      <alignment horizontal="center"/>
    </xf>
    <xf numFmtId="0" fontId="161" fillId="140" borderId="290" xfId="48" applyFont="1" applyFill="1" applyBorder="1" applyAlignment="1" applyProtection="1">
      <alignment horizontal="center"/>
      <protection locked="0"/>
    </xf>
    <xf numFmtId="0" fontId="161" fillId="140" borderId="291" xfId="48" applyFont="1" applyFill="1" applyBorder="1" applyAlignment="1" applyProtection="1">
      <alignment horizontal="center"/>
      <protection locked="0"/>
    </xf>
    <xf numFmtId="0" fontId="161" fillId="140" borderId="259" xfId="48" applyFont="1" applyFill="1" applyBorder="1" applyAlignment="1" applyProtection="1">
      <alignment horizontal="center"/>
      <protection locked="0"/>
    </xf>
    <xf numFmtId="0" fontId="161" fillId="140" borderId="297" xfId="48" applyFont="1" applyFill="1" applyBorder="1" applyAlignment="1" applyProtection="1">
      <alignment horizontal="center"/>
      <protection locked="0"/>
    </xf>
    <xf numFmtId="0" fontId="161" fillId="140" borderId="298" xfId="48" applyFont="1" applyFill="1" applyBorder="1" applyAlignment="1" applyProtection="1">
      <alignment horizontal="center"/>
      <protection locked="0"/>
    </xf>
    <xf numFmtId="0" fontId="161" fillId="140" borderId="289" xfId="48" applyFont="1" applyFill="1" applyBorder="1" applyAlignment="1" applyProtection="1">
      <alignment horizontal="center"/>
      <protection locked="0"/>
    </xf>
    <xf numFmtId="0" fontId="68" fillId="74" borderId="11" xfId="48" applyFont="1" applyFill="1" applyBorder="1" applyAlignment="1">
      <alignment horizontal="center"/>
    </xf>
    <xf numFmtId="0" fontId="5" fillId="74" borderId="278" xfId="48" applyFill="1" applyBorder="1" applyAlignment="1">
      <alignment horizontal="center" vertical="center"/>
    </xf>
    <xf numFmtId="0" fontId="5" fillId="74" borderId="279" xfId="48" applyFill="1" applyBorder="1" applyAlignment="1">
      <alignment horizontal="center" vertical="center"/>
    </xf>
    <xf numFmtId="0" fontId="68" fillId="74" borderId="258" xfId="48" applyFont="1" applyFill="1" applyBorder="1" applyAlignment="1">
      <alignment horizontal="center"/>
    </xf>
    <xf numFmtId="0" fontId="68" fillId="74" borderId="288" xfId="48" applyFont="1" applyFill="1" applyBorder="1" applyAlignment="1" applyProtection="1">
      <alignment horizontal="center"/>
      <protection locked="0"/>
    </xf>
    <xf numFmtId="0" fontId="5" fillId="74" borderId="282" xfId="48" applyFill="1" applyBorder="1" applyAlignment="1">
      <alignment horizontal="center" vertical="center"/>
    </xf>
    <xf numFmtId="0" fontId="5" fillId="74" borderId="283" xfId="48" applyFill="1" applyBorder="1" applyAlignment="1">
      <alignment horizontal="center" vertical="center"/>
    </xf>
    <xf numFmtId="0" fontId="5" fillId="44" borderId="305" xfId="48" applyFill="1" applyBorder="1" applyAlignment="1" applyProtection="1">
      <alignment horizontal="center"/>
      <protection locked="0"/>
    </xf>
    <xf numFmtId="0" fontId="5" fillId="44" borderId="306" xfId="48" applyFill="1" applyBorder="1" applyAlignment="1" applyProtection="1">
      <alignment horizontal="center"/>
      <protection locked="0"/>
    </xf>
    <xf numFmtId="0" fontId="5" fillId="44" borderId="307" xfId="48" applyFill="1" applyBorder="1" applyAlignment="1" applyProtection="1">
      <alignment horizontal="center"/>
      <protection locked="0"/>
    </xf>
    <xf numFmtId="0" fontId="67" fillId="72" borderId="87" xfId="48" applyFont="1" applyFill="1" applyBorder="1" applyAlignment="1" applyProtection="1">
      <alignment horizontal="center"/>
      <protection locked="0"/>
    </xf>
    <xf numFmtId="0" fontId="67" fillId="72" borderId="146" xfId="48" applyFont="1" applyFill="1" applyBorder="1" applyAlignment="1" applyProtection="1">
      <alignment horizontal="center"/>
      <protection locked="0"/>
    </xf>
    <xf numFmtId="0" fontId="66" fillId="73" borderId="90" xfId="48" applyFont="1" applyFill="1" applyBorder="1" applyAlignment="1" applyProtection="1">
      <alignment horizontal="center"/>
      <protection locked="0"/>
    </xf>
    <xf numFmtId="0" fontId="66" fillId="73" borderId="147" xfId="48" applyFont="1" applyFill="1" applyBorder="1" applyAlignment="1" applyProtection="1">
      <alignment horizontal="center"/>
      <protection locked="0"/>
    </xf>
    <xf numFmtId="0" fontId="5" fillId="73" borderId="90" xfId="48" applyFill="1" applyBorder="1" applyAlignment="1" applyProtection="1">
      <alignment horizontal="center"/>
      <protection locked="0"/>
    </xf>
    <xf numFmtId="0" fontId="5" fillId="73" borderId="147" xfId="48" applyFill="1" applyBorder="1" applyAlignment="1" applyProtection="1">
      <alignment horizontal="center"/>
      <protection locked="0"/>
    </xf>
    <xf numFmtId="0" fontId="66" fillId="73" borderId="209" xfId="48" applyFont="1" applyFill="1" applyBorder="1" applyAlignment="1" applyProtection="1">
      <alignment horizontal="center"/>
      <protection locked="0"/>
    </xf>
    <xf numFmtId="0" fontId="68" fillId="74" borderId="87" xfId="48" applyFont="1" applyFill="1" applyBorder="1" applyAlignment="1" applyProtection="1">
      <alignment horizontal="center"/>
      <protection locked="0"/>
    </xf>
    <xf numFmtId="0" fontId="68" fillId="74" borderId="88" xfId="48" applyFont="1" applyFill="1" applyBorder="1" applyAlignment="1" applyProtection="1">
      <alignment horizontal="center"/>
      <protection locked="0"/>
    </xf>
    <xf numFmtId="0" fontId="68" fillId="74" borderId="146" xfId="48" applyFont="1" applyFill="1" applyBorder="1" applyAlignment="1" applyProtection="1">
      <alignment horizontal="center"/>
      <protection locked="0"/>
    </xf>
    <xf numFmtId="0" fontId="5" fillId="74" borderId="300" xfId="48" applyFill="1" applyBorder="1" applyAlignment="1" applyProtection="1">
      <alignment horizontal="center"/>
      <protection locked="0"/>
    </xf>
    <xf numFmtId="0" fontId="5" fillId="74" borderId="88" xfId="48" applyFill="1" applyBorder="1" applyAlignment="1" applyProtection="1">
      <alignment horizontal="center"/>
      <protection locked="0"/>
    </xf>
    <xf numFmtId="0" fontId="68" fillId="74" borderId="90" xfId="48" applyFont="1" applyFill="1" applyBorder="1" applyAlignment="1" applyProtection="1">
      <alignment horizontal="center"/>
      <protection locked="0"/>
    </xf>
    <xf numFmtId="0" fontId="5" fillId="74" borderId="147" xfId="48" applyFill="1" applyBorder="1" applyAlignment="1" applyProtection="1">
      <alignment horizontal="center"/>
      <protection locked="0"/>
    </xf>
    <xf numFmtId="0" fontId="5" fillId="74" borderId="90" xfId="48" applyFill="1" applyBorder="1" applyAlignment="1" applyProtection="1">
      <alignment horizontal="center"/>
      <protection locked="0"/>
    </xf>
    <xf numFmtId="0" fontId="68" fillId="74" borderId="147" xfId="48" applyFont="1" applyFill="1" applyBorder="1" applyAlignment="1" applyProtection="1">
      <alignment horizontal="center"/>
      <protection locked="0"/>
    </xf>
    <xf numFmtId="0" fontId="68" fillId="74" borderId="92" xfId="48" applyFont="1" applyFill="1" applyBorder="1" applyAlignment="1" applyProtection="1">
      <alignment horizontal="center"/>
      <protection locked="0"/>
    </xf>
    <xf numFmtId="0" fontId="68" fillId="74" borderId="148" xfId="48" applyFont="1" applyFill="1" applyBorder="1" applyAlignment="1" applyProtection="1">
      <alignment horizontal="center"/>
      <protection locked="0"/>
    </xf>
    <xf numFmtId="0" fontId="5" fillId="74" borderId="92" xfId="48" applyFill="1" applyBorder="1" applyAlignment="1" applyProtection="1">
      <alignment horizontal="center"/>
      <protection locked="0"/>
    </xf>
    <xf numFmtId="0" fontId="47" fillId="44" borderId="309" xfId="48" applyFont="1" applyFill="1" applyBorder="1" applyAlignment="1" applyProtection="1">
      <alignment horizontal="center"/>
      <protection locked="0"/>
    </xf>
    <xf numFmtId="0" fontId="58" fillId="69" borderId="300" xfId="48" applyFont="1" applyFill="1" applyBorder="1" applyAlignment="1" applyProtection="1">
      <alignment horizontal="center"/>
      <protection locked="0"/>
    </xf>
    <xf numFmtId="0" fontId="58" fillId="69" borderId="88" xfId="48" applyFont="1" applyFill="1" applyBorder="1" applyAlignment="1" applyProtection="1">
      <alignment horizontal="center"/>
      <protection locked="0"/>
    </xf>
    <xf numFmtId="0" fontId="58" fillId="69" borderId="142" xfId="48" applyFont="1" applyFill="1" applyBorder="1" applyAlignment="1" applyProtection="1">
      <alignment horizontal="center"/>
      <protection locked="0"/>
    </xf>
    <xf numFmtId="0" fontId="58" fillId="69" borderId="90" xfId="48" applyFont="1" applyFill="1" applyBorder="1" applyAlignment="1" applyProtection="1">
      <alignment horizontal="center"/>
      <protection locked="0"/>
    </xf>
    <xf numFmtId="0" fontId="58" fillId="69" borderId="147" xfId="48" applyFont="1" applyFill="1" applyBorder="1" applyAlignment="1" applyProtection="1">
      <alignment horizontal="center"/>
      <protection locked="0"/>
    </xf>
    <xf numFmtId="0" fontId="58" fillId="69" borderId="89" xfId="48" applyFont="1" applyFill="1" applyBorder="1" applyAlignment="1" applyProtection="1">
      <alignment horizontal="center"/>
      <protection locked="0"/>
    </xf>
    <xf numFmtId="0" fontId="47" fillId="44" borderId="310" xfId="48" applyFont="1" applyFill="1" applyBorder="1" applyAlignment="1" applyProtection="1">
      <alignment horizontal="center"/>
      <protection locked="0"/>
    </xf>
    <xf numFmtId="0" fontId="58" fillId="69" borderId="143" xfId="48" applyFont="1" applyFill="1" applyBorder="1" applyAlignment="1" applyProtection="1">
      <alignment horizontal="center"/>
      <protection locked="0"/>
    </xf>
    <xf numFmtId="0" fontId="58" fillId="69" borderId="92" xfId="48" applyFont="1" applyFill="1" applyBorder="1" applyAlignment="1" applyProtection="1">
      <alignment horizontal="center"/>
      <protection locked="0"/>
    </xf>
    <xf numFmtId="0" fontId="58" fillId="70" borderId="142" xfId="48" applyFont="1" applyFill="1" applyBorder="1" applyAlignment="1" applyProtection="1">
      <alignment horizontal="center"/>
      <protection locked="0"/>
    </xf>
    <xf numFmtId="0" fontId="58" fillId="70" borderId="90" xfId="48" applyFont="1" applyFill="1" applyBorder="1" applyAlignment="1" applyProtection="1">
      <alignment horizontal="center"/>
      <protection locked="0"/>
    </xf>
    <xf numFmtId="0" fontId="58" fillId="70" borderId="147" xfId="48" applyFont="1" applyFill="1" applyBorder="1" applyAlignment="1" applyProtection="1">
      <alignment horizontal="center"/>
      <protection locked="0"/>
    </xf>
    <xf numFmtId="0" fontId="58" fillId="70" borderId="89" xfId="48" applyFont="1" applyFill="1" applyBorder="1" applyAlignment="1" applyProtection="1">
      <alignment horizontal="center"/>
      <protection locked="0"/>
    </xf>
    <xf numFmtId="0" fontId="58" fillId="71" borderId="300" xfId="48" applyFont="1" applyFill="1" applyBorder="1" applyAlignment="1" applyProtection="1">
      <alignment horizontal="center"/>
      <protection locked="0"/>
    </xf>
    <xf numFmtId="0" fontId="58" fillId="71" borderId="88" xfId="48" applyFont="1" applyFill="1" applyBorder="1" applyAlignment="1" applyProtection="1">
      <alignment horizontal="center"/>
      <protection locked="0"/>
    </xf>
    <xf numFmtId="0" fontId="58" fillId="71" borderId="142" xfId="48" applyFont="1" applyFill="1" applyBorder="1" applyAlignment="1" applyProtection="1">
      <alignment horizontal="center"/>
      <protection locked="0"/>
    </xf>
    <xf numFmtId="0" fontId="58" fillId="71" borderId="90" xfId="48" applyFont="1" applyFill="1" applyBorder="1" applyAlignment="1" applyProtection="1">
      <alignment horizontal="center"/>
      <protection locked="0"/>
    </xf>
    <xf numFmtId="0" fontId="58" fillId="71" borderId="147" xfId="48" applyFont="1" applyFill="1" applyBorder="1" applyAlignment="1" applyProtection="1">
      <alignment horizontal="center"/>
      <protection locked="0"/>
    </xf>
    <xf numFmtId="0" fontId="58" fillId="71" borderId="89" xfId="48" applyFont="1" applyFill="1" applyBorder="1" applyAlignment="1" applyProtection="1">
      <alignment horizontal="center"/>
      <protection locked="0"/>
    </xf>
    <xf numFmtId="0" fontId="58" fillId="71" borderId="143" xfId="48" applyFont="1" applyFill="1" applyBorder="1" applyAlignment="1" applyProtection="1">
      <alignment horizontal="center"/>
      <protection locked="0"/>
    </xf>
    <xf numFmtId="0" fontId="58" fillId="71" borderId="92" xfId="48" applyFont="1" applyFill="1" applyBorder="1" applyAlignment="1" applyProtection="1">
      <alignment horizontal="center"/>
      <protection locked="0"/>
    </xf>
    <xf numFmtId="0" fontId="58" fillId="44" borderId="265" xfId="48" applyFont="1" applyFill="1" applyBorder="1" applyAlignment="1" applyProtection="1">
      <alignment horizontal="center"/>
      <protection locked="0"/>
    </xf>
    <xf numFmtId="0" fontId="5" fillId="69" borderId="300" xfId="48" applyFill="1" applyBorder="1" applyAlignment="1" applyProtection="1">
      <alignment horizontal="center"/>
      <protection locked="0"/>
    </xf>
    <xf numFmtId="0" fontId="5" fillId="69" borderId="88" xfId="48" applyFill="1" applyBorder="1" applyAlignment="1" applyProtection="1">
      <alignment horizontal="center"/>
      <protection locked="0"/>
    </xf>
    <xf numFmtId="0" fontId="58" fillId="44" borderId="269" xfId="48" applyFont="1" applyFill="1" applyBorder="1" applyAlignment="1" applyProtection="1">
      <alignment horizontal="center"/>
      <protection locked="0"/>
    </xf>
    <xf numFmtId="0" fontId="58" fillId="44" borderId="273" xfId="48" applyFont="1" applyFill="1" applyBorder="1" applyAlignment="1" applyProtection="1">
      <alignment horizontal="center"/>
      <protection locked="0"/>
    </xf>
    <xf numFmtId="0" fontId="5" fillId="69" borderId="143" xfId="48" applyFill="1" applyBorder="1" applyAlignment="1" applyProtection="1">
      <alignment horizontal="center"/>
      <protection locked="0"/>
    </xf>
    <xf numFmtId="0" fontId="5" fillId="69" borderId="92" xfId="48" applyFill="1" applyBorder="1" applyAlignment="1" applyProtection="1">
      <alignment horizontal="center"/>
      <protection locked="0"/>
    </xf>
    <xf numFmtId="0" fontId="58" fillId="44" borderId="277" xfId="48" applyFont="1" applyFill="1" applyBorder="1" applyAlignment="1" applyProtection="1">
      <alignment horizontal="center"/>
      <protection locked="0"/>
    </xf>
    <xf numFmtId="0" fontId="58" fillId="44" borderId="281" xfId="48" applyFont="1" applyFill="1" applyBorder="1" applyAlignment="1" applyProtection="1">
      <alignment horizontal="center"/>
      <protection locked="0"/>
    </xf>
    <xf numFmtId="0" fontId="47" fillId="44" borderId="89" xfId="48" applyFont="1" applyFill="1" applyBorder="1" applyAlignment="1" applyProtection="1">
      <alignment horizontal="center"/>
      <protection locked="0"/>
    </xf>
    <xf numFmtId="0" fontId="5" fillId="44" borderId="209" xfId="48" applyFill="1" applyBorder="1" applyAlignment="1" applyProtection="1">
      <alignment horizontal="center"/>
      <protection locked="0"/>
    </xf>
    <xf numFmtId="0" fontId="66" fillId="73" borderId="87" xfId="48" applyFont="1" applyFill="1" applyBorder="1" applyAlignment="1" applyProtection="1">
      <alignment horizontal="center"/>
      <protection locked="0"/>
    </xf>
    <xf numFmtId="0" fontId="66" fillId="73" borderId="88" xfId="48" applyFont="1" applyFill="1" applyBorder="1" applyAlignment="1" applyProtection="1">
      <alignment horizontal="center"/>
      <protection locked="0"/>
    </xf>
    <xf numFmtId="0" fontId="66" fillId="73" borderId="146" xfId="48" applyFont="1" applyFill="1" applyBorder="1" applyAlignment="1" applyProtection="1">
      <alignment horizontal="center"/>
      <protection locked="0"/>
    </xf>
    <xf numFmtId="0" fontId="47" fillId="44" borderId="87" xfId="48" applyFont="1" applyFill="1" applyBorder="1" applyAlignment="1" applyProtection="1">
      <alignment horizontal="center"/>
      <protection locked="0"/>
    </xf>
    <xf numFmtId="0" fontId="5" fillId="44" borderId="154" xfId="48" applyFill="1" applyBorder="1" applyAlignment="1" applyProtection="1">
      <alignment horizontal="center"/>
      <protection locked="0"/>
    </xf>
    <xf numFmtId="0" fontId="5" fillId="73" borderId="300" xfId="48" applyFill="1" applyBorder="1" applyAlignment="1" applyProtection="1">
      <alignment horizontal="center"/>
      <protection locked="0"/>
    </xf>
    <xf numFmtId="0" fontId="5" fillId="73" borderId="88" xfId="48" applyFill="1" applyBorder="1" applyAlignment="1" applyProtection="1">
      <alignment horizontal="center"/>
      <protection locked="0"/>
    </xf>
    <xf numFmtId="0" fontId="66" fillId="73" borderId="280" xfId="48" applyFont="1" applyFill="1" applyBorder="1" applyAlignment="1" applyProtection="1">
      <alignment horizontal="center"/>
      <protection locked="0"/>
    </xf>
    <xf numFmtId="0" fontId="66" fillId="73" borderId="92" xfId="48" applyFont="1" applyFill="1" applyBorder="1" applyAlignment="1" applyProtection="1">
      <alignment horizontal="center"/>
      <protection locked="0"/>
    </xf>
    <xf numFmtId="0" fontId="66" fillId="73" borderId="148" xfId="48" applyFont="1" applyFill="1" applyBorder="1" applyAlignment="1" applyProtection="1">
      <alignment horizontal="center"/>
      <protection locked="0"/>
    </xf>
    <xf numFmtId="0" fontId="47" fillId="44" borderId="91" xfId="48" applyFont="1" applyFill="1" applyBorder="1" applyAlignment="1" applyProtection="1">
      <alignment horizontal="center"/>
      <protection locked="0"/>
    </xf>
    <xf numFmtId="0" fontId="5" fillId="44" borderId="153" xfId="48" applyFill="1" applyBorder="1" applyAlignment="1" applyProtection="1">
      <alignment horizontal="center"/>
      <protection locked="0"/>
    </xf>
    <xf numFmtId="0" fontId="5" fillId="73" borderId="92" xfId="48" applyFill="1" applyBorder="1" applyAlignment="1" applyProtection="1">
      <alignment horizontal="center"/>
      <protection locked="0"/>
    </xf>
    <xf numFmtId="0" fontId="66" fillId="73" borderId="153" xfId="48" applyFont="1" applyFill="1" applyBorder="1" applyAlignment="1" applyProtection="1">
      <alignment horizontal="center"/>
      <protection locked="0"/>
    </xf>
    <xf numFmtId="0" fontId="68" fillId="74" borderId="280" xfId="48" applyFont="1" applyFill="1" applyBorder="1" applyAlignment="1" applyProtection="1">
      <alignment horizontal="center"/>
      <protection locked="0"/>
    </xf>
    <xf numFmtId="0" fontId="68" fillId="74" borderId="153" xfId="48" applyFont="1" applyFill="1" applyBorder="1" applyAlignment="1" applyProtection="1">
      <alignment horizontal="center"/>
      <protection locked="0"/>
    </xf>
    <xf numFmtId="0" fontId="5" fillId="55" borderId="258" xfId="48" applyFill="1" applyBorder="1"/>
    <xf numFmtId="2" fontId="5" fillId="55" borderId="268" xfId="48" applyNumberFormat="1" applyFill="1" applyBorder="1"/>
    <xf numFmtId="0" fontId="5" fillId="48" borderId="258" xfId="48" applyFill="1" applyBorder="1"/>
    <xf numFmtId="2" fontId="5" fillId="61" borderId="268" xfId="48" applyNumberFormat="1" applyFill="1" applyBorder="1"/>
    <xf numFmtId="2" fontId="5" fillId="54" borderId="268" xfId="48" applyNumberFormat="1" applyFill="1" applyBorder="1"/>
    <xf numFmtId="2" fontId="5" fillId="55" borderId="258" xfId="48" applyNumberFormat="1" applyFill="1" applyBorder="1"/>
    <xf numFmtId="0" fontId="5" fillId="70" borderId="278" xfId="48" applyFill="1" applyBorder="1" applyAlignment="1" applyProtection="1">
      <alignment horizontal="center"/>
      <protection locked="0"/>
    </xf>
    <xf numFmtId="0" fontId="5" fillId="70" borderId="279" xfId="48" applyFill="1" applyBorder="1" applyAlignment="1" applyProtection="1">
      <alignment horizontal="center"/>
      <protection locked="0"/>
    </xf>
    <xf numFmtId="0" fontId="64" fillId="70" borderId="142" xfId="48" applyFont="1" applyFill="1" applyBorder="1" applyAlignment="1" applyProtection="1">
      <alignment horizontal="center"/>
      <protection locked="0"/>
    </xf>
    <xf numFmtId="0" fontId="5" fillId="70" borderId="270" xfId="48" applyFill="1" applyBorder="1" applyAlignment="1" applyProtection="1">
      <alignment horizontal="center"/>
      <protection locked="0"/>
    </xf>
    <xf numFmtId="0" fontId="5" fillId="70" borderId="271" xfId="48" applyFill="1" applyBorder="1" applyAlignment="1" applyProtection="1">
      <alignment horizontal="center"/>
      <protection locked="0"/>
    </xf>
    <xf numFmtId="0" fontId="5" fillId="70" borderId="282" xfId="48" applyFill="1" applyBorder="1" applyAlignment="1" applyProtection="1">
      <alignment horizontal="center"/>
      <protection locked="0"/>
    </xf>
    <xf numFmtId="0" fontId="5" fillId="70" borderId="283" xfId="48" applyFill="1" applyBorder="1" applyAlignment="1" applyProtection="1">
      <alignment horizontal="center"/>
      <protection locked="0"/>
    </xf>
    <xf numFmtId="0" fontId="5" fillId="71" borderId="285" xfId="48" applyFill="1" applyBorder="1" applyAlignment="1" applyProtection="1">
      <alignment horizontal="center"/>
      <protection locked="0"/>
    </xf>
    <xf numFmtId="0" fontId="5" fillId="71" borderId="267" xfId="48" applyFill="1" applyBorder="1" applyAlignment="1" applyProtection="1">
      <alignment horizontal="center"/>
      <protection locked="0"/>
    </xf>
    <xf numFmtId="0" fontId="65" fillId="71" borderId="300" xfId="48" applyFont="1" applyFill="1" applyBorder="1" applyAlignment="1" applyProtection="1">
      <alignment horizontal="center"/>
      <protection locked="0"/>
    </xf>
    <xf numFmtId="0" fontId="5" fillId="71" borderId="274" xfId="48" applyFill="1" applyBorder="1" applyAlignment="1" applyProtection="1">
      <alignment horizontal="center"/>
      <protection locked="0"/>
    </xf>
    <xf numFmtId="0" fontId="5" fillId="71" borderId="275" xfId="48" applyFill="1" applyBorder="1" applyAlignment="1" applyProtection="1">
      <alignment horizontal="center"/>
      <protection locked="0"/>
    </xf>
    <xf numFmtId="0" fontId="65" fillId="71" borderId="143" xfId="48" applyFont="1" applyFill="1" applyBorder="1" applyAlignment="1" applyProtection="1">
      <alignment horizontal="center"/>
      <protection locked="0"/>
    </xf>
    <xf numFmtId="0" fontId="5" fillId="72" borderId="278" xfId="48" applyFill="1" applyBorder="1" applyAlignment="1" applyProtection="1">
      <alignment horizontal="center"/>
      <protection locked="0"/>
    </xf>
    <xf numFmtId="0" fontId="5" fillId="72" borderId="279" xfId="48" applyFill="1" applyBorder="1" applyAlignment="1" applyProtection="1">
      <alignment horizontal="center"/>
      <protection locked="0"/>
    </xf>
    <xf numFmtId="0" fontId="67" fillId="72" borderId="142" xfId="48" applyFont="1" applyFill="1" applyBorder="1" applyAlignment="1" applyProtection="1">
      <alignment horizontal="center"/>
      <protection locked="0"/>
    </xf>
    <xf numFmtId="0" fontId="5" fillId="72" borderId="270" xfId="48" applyFill="1" applyBorder="1" applyAlignment="1" applyProtection="1">
      <alignment horizontal="center"/>
      <protection locked="0"/>
    </xf>
    <xf numFmtId="0" fontId="5" fillId="72" borderId="271" xfId="48" applyFill="1" applyBorder="1" applyAlignment="1" applyProtection="1">
      <alignment horizontal="center"/>
      <protection locked="0"/>
    </xf>
    <xf numFmtId="0" fontId="5" fillId="72" borderId="282" xfId="48" applyFill="1" applyBorder="1" applyAlignment="1" applyProtection="1">
      <alignment horizontal="center"/>
      <protection locked="0"/>
    </xf>
    <xf numFmtId="0" fontId="5" fillId="72" borderId="283" xfId="48" applyFill="1" applyBorder="1" applyAlignment="1" applyProtection="1">
      <alignment horizontal="center"/>
      <protection locked="0"/>
    </xf>
    <xf numFmtId="0" fontId="5" fillId="73" borderId="285" xfId="48" applyFill="1" applyBorder="1" applyAlignment="1" applyProtection="1">
      <alignment horizontal="center"/>
      <protection locked="0"/>
    </xf>
    <xf numFmtId="0" fontId="5" fillId="73" borderId="267" xfId="48" applyFill="1" applyBorder="1" applyAlignment="1" applyProtection="1">
      <alignment horizontal="center"/>
      <protection locked="0"/>
    </xf>
    <xf numFmtId="0" fontId="66" fillId="73" borderId="300" xfId="48" applyFont="1" applyFill="1" applyBorder="1" applyAlignment="1" applyProtection="1">
      <alignment horizontal="center"/>
      <protection locked="0"/>
    </xf>
    <xf numFmtId="0" fontId="5" fillId="73" borderId="270" xfId="48" applyFill="1" applyBorder="1" applyAlignment="1" applyProtection="1">
      <alignment horizontal="center"/>
      <protection locked="0"/>
    </xf>
    <xf numFmtId="0" fontId="5" fillId="73" borderId="271" xfId="48" applyFill="1" applyBorder="1" applyAlignment="1" applyProtection="1">
      <alignment horizontal="center"/>
      <protection locked="0"/>
    </xf>
    <xf numFmtId="0" fontId="66" fillId="73" borderId="142" xfId="48" applyFont="1" applyFill="1" applyBorder="1" applyAlignment="1" applyProtection="1">
      <alignment horizontal="center"/>
      <protection locked="0"/>
    </xf>
    <xf numFmtId="0" fontId="5" fillId="73" borderId="274" xfId="48" applyFill="1" applyBorder="1" applyAlignment="1" applyProtection="1">
      <alignment horizontal="center"/>
      <protection locked="0"/>
    </xf>
    <xf numFmtId="0" fontId="5" fillId="73" borderId="275" xfId="48" applyFill="1" applyBorder="1" applyAlignment="1" applyProtection="1">
      <alignment horizontal="center"/>
      <protection locked="0"/>
    </xf>
    <xf numFmtId="0" fontId="66" fillId="73" borderId="143" xfId="48" applyFont="1" applyFill="1" applyBorder="1" applyAlignment="1" applyProtection="1">
      <alignment horizontal="center"/>
      <protection locked="0"/>
    </xf>
    <xf numFmtId="0" fontId="5" fillId="74" borderId="278" xfId="48" applyFill="1" applyBorder="1" applyAlignment="1" applyProtection="1">
      <alignment horizontal="center"/>
      <protection locked="0"/>
    </xf>
    <xf numFmtId="0" fontId="5" fillId="74" borderId="279" xfId="48" applyFill="1" applyBorder="1" applyAlignment="1" applyProtection="1">
      <alignment horizontal="center"/>
      <protection locked="0"/>
    </xf>
    <xf numFmtId="0" fontId="68" fillId="74" borderId="142" xfId="48" applyFont="1" applyFill="1" applyBorder="1" applyAlignment="1" applyProtection="1">
      <alignment horizontal="center"/>
      <protection locked="0"/>
    </xf>
    <xf numFmtId="0" fontId="5" fillId="74" borderId="270" xfId="48" applyFill="1" applyBorder="1" applyAlignment="1" applyProtection="1">
      <alignment horizontal="center"/>
      <protection locked="0"/>
    </xf>
    <xf numFmtId="0" fontId="5" fillId="74" borderId="271" xfId="48" applyFill="1" applyBorder="1" applyAlignment="1" applyProtection="1">
      <alignment horizontal="center"/>
      <protection locked="0"/>
    </xf>
    <xf numFmtId="0" fontId="5" fillId="74" borderId="282" xfId="48" applyFill="1" applyBorder="1" applyAlignment="1" applyProtection="1">
      <alignment horizontal="center"/>
      <protection locked="0"/>
    </xf>
    <xf numFmtId="0" fontId="5" fillId="74" borderId="283" xfId="48" applyFill="1" applyBorder="1" applyAlignment="1" applyProtection="1">
      <alignment horizontal="center"/>
      <protection locked="0"/>
    </xf>
    <xf numFmtId="0" fontId="68" fillId="74" borderId="209" xfId="48" applyFont="1" applyFill="1" applyBorder="1" applyAlignment="1" applyProtection="1">
      <alignment horizontal="center"/>
      <protection locked="0"/>
    </xf>
    <xf numFmtId="0" fontId="5" fillId="69" borderId="280" xfId="48" applyFill="1" applyBorder="1" applyAlignment="1" applyProtection="1">
      <alignment horizontal="center"/>
      <protection locked="0"/>
    </xf>
    <xf numFmtId="0" fontId="65" fillId="71" borderId="272" xfId="48" applyFont="1" applyFill="1" applyBorder="1" applyAlignment="1" applyProtection="1">
      <alignment horizontal="center"/>
      <protection locked="0"/>
    </xf>
    <xf numFmtId="0" fontId="5" fillId="69" borderId="18" xfId="48" applyFill="1" applyBorder="1" applyAlignment="1" applyProtection="1">
      <alignment horizontal="center"/>
      <protection locked="0"/>
    </xf>
    <xf numFmtId="0" fontId="5" fillId="69" borderId="0" xfId="48" applyFill="1" applyAlignment="1" applyProtection="1">
      <alignment horizontal="center"/>
      <protection locked="0"/>
    </xf>
    <xf numFmtId="0" fontId="5" fillId="69" borderId="288" xfId="48" applyFill="1" applyBorder="1" applyAlignment="1" applyProtection="1">
      <alignment horizontal="center"/>
      <protection locked="0"/>
    </xf>
    <xf numFmtId="0" fontId="5" fillId="69" borderId="295" xfId="48" applyFill="1" applyBorder="1" applyAlignment="1" applyProtection="1">
      <alignment horizontal="center"/>
      <protection locked="0"/>
    </xf>
    <xf numFmtId="0" fontId="63" fillId="69" borderId="296" xfId="48" applyFont="1" applyFill="1" applyBorder="1" applyAlignment="1" applyProtection="1">
      <alignment horizontal="center"/>
      <protection locked="0"/>
    </xf>
    <xf numFmtId="0" fontId="5" fillId="70" borderId="288" xfId="48" applyFill="1" applyBorder="1" applyAlignment="1" applyProtection="1">
      <alignment horizontal="center"/>
      <protection locked="0"/>
    </xf>
    <xf numFmtId="0" fontId="66" fillId="73" borderId="154" xfId="48" applyFont="1" applyFill="1" applyBorder="1" applyAlignment="1" applyProtection="1">
      <alignment horizontal="center"/>
      <protection locked="0"/>
    </xf>
    <xf numFmtId="0" fontId="5" fillId="73" borderId="209" xfId="48" applyFill="1" applyBorder="1" applyAlignment="1" applyProtection="1">
      <alignment horizontal="center"/>
      <protection locked="0"/>
    </xf>
    <xf numFmtId="0" fontId="5" fillId="74" borderId="209" xfId="48" applyFill="1" applyBorder="1" applyAlignment="1" applyProtection="1">
      <alignment horizontal="center"/>
      <protection locked="0"/>
    </xf>
    <xf numFmtId="0" fontId="5" fillId="50" borderId="18" xfId="48" applyFill="1" applyBorder="1"/>
    <xf numFmtId="0" fontId="158" fillId="64" borderId="26" xfId="48" applyFont="1" applyFill="1" applyBorder="1" applyAlignment="1" applyProtection="1">
      <alignment horizontal="center"/>
      <protection locked="0"/>
    </xf>
    <xf numFmtId="0" fontId="5" fillId="48" borderId="270" xfId="48" applyFill="1" applyBorder="1" applyAlignment="1" applyProtection="1">
      <alignment horizontal="center" vertical="center"/>
      <protection locked="0"/>
    </xf>
    <xf numFmtId="0" fontId="5" fillId="48" borderId="271" xfId="48" applyFill="1" applyBorder="1" applyAlignment="1" applyProtection="1">
      <alignment horizontal="center" vertical="center"/>
      <protection locked="0"/>
    </xf>
    <xf numFmtId="0" fontId="5" fillId="59" borderId="271" xfId="48" applyFill="1" applyBorder="1" applyAlignment="1" applyProtection="1">
      <alignment horizontal="center" vertical="center"/>
      <protection locked="0"/>
    </xf>
    <xf numFmtId="0" fontId="5" fillId="76" borderId="271" xfId="48" applyFill="1" applyBorder="1" applyAlignment="1" applyProtection="1">
      <alignment horizontal="center" vertical="center"/>
      <protection locked="0"/>
    </xf>
    <xf numFmtId="0" fontId="5" fillId="77" borderId="271" xfId="48" applyFill="1" applyBorder="1" applyAlignment="1" applyProtection="1">
      <alignment horizontal="center" vertical="center"/>
      <protection locked="0"/>
    </xf>
    <xf numFmtId="0" fontId="50" fillId="55" borderId="209" xfId="48" applyFont="1" applyFill="1" applyBorder="1" applyAlignment="1" applyProtection="1">
      <alignment horizontal="center"/>
      <protection locked="0"/>
    </xf>
    <xf numFmtId="0" fontId="56" fillId="54" borderId="146" xfId="48" applyFont="1" applyFill="1" applyBorder="1" applyAlignment="1" applyProtection="1">
      <alignment horizontal="center" vertical="center"/>
      <protection locked="0"/>
    </xf>
    <xf numFmtId="0" fontId="47" fillId="44" borderId="102" xfId="48" applyFont="1" applyFill="1" applyBorder="1" applyAlignment="1" applyProtection="1">
      <alignment horizontal="center"/>
      <protection locked="0"/>
    </xf>
    <xf numFmtId="0" fontId="56" fillId="54" borderId="90" xfId="48" applyFont="1" applyFill="1" applyBorder="1" applyAlignment="1">
      <alignment horizontal="center"/>
    </xf>
    <xf numFmtId="0" fontId="56" fillId="54" borderId="147" xfId="48" applyFont="1" applyFill="1" applyBorder="1" applyAlignment="1" applyProtection="1">
      <alignment horizontal="center" vertical="center"/>
      <protection locked="0"/>
    </xf>
    <xf numFmtId="0" fontId="47" fillId="44" borderId="103" xfId="48" applyFont="1" applyFill="1" applyBorder="1" applyAlignment="1" applyProtection="1">
      <alignment horizontal="center"/>
      <protection locked="0"/>
    </xf>
    <xf numFmtId="0" fontId="5" fillId="54" borderId="147" xfId="48" applyFill="1" applyBorder="1" applyAlignment="1" applyProtection="1">
      <alignment horizontal="center" vertical="center"/>
      <protection locked="0"/>
    </xf>
    <xf numFmtId="0" fontId="5" fillId="54" borderId="90" xfId="48" applyFill="1" applyBorder="1" applyAlignment="1">
      <alignment horizontal="center"/>
    </xf>
    <xf numFmtId="0" fontId="56" fillId="54" borderId="314" xfId="48" applyFont="1" applyFill="1" applyBorder="1" applyAlignment="1" applyProtection="1">
      <alignment horizontal="center" vertical="center"/>
      <protection locked="0"/>
    </xf>
    <xf numFmtId="0" fontId="56" fillId="54" borderId="92" xfId="48" applyFont="1" applyFill="1" applyBorder="1" applyAlignment="1">
      <alignment horizontal="center"/>
    </xf>
    <xf numFmtId="0" fontId="47" fillId="44" borderId="104" xfId="48" applyFont="1" applyFill="1" applyBorder="1" applyAlignment="1" applyProtection="1">
      <alignment horizontal="center"/>
      <protection locked="0"/>
    </xf>
    <xf numFmtId="0" fontId="57" fillId="61" borderId="293" xfId="48" applyFont="1" applyFill="1" applyBorder="1" applyAlignment="1" applyProtection="1">
      <alignment horizontal="center"/>
      <protection locked="0"/>
    </xf>
    <xf numFmtId="0" fontId="57" fillId="61" borderId="251" xfId="48" applyFont="1" applyFill="1" applyBorder="1" applyAlignment="1">
      <alignment horizontal="center"/>
    </xf>
    <xf numFmtId="0" fontId="57" fillId="61" borderId="294" xfId="48" applyFont="1" applyFill="1" applyBorder="1" applyAlignment="1" applyProtection="1">
      <alignment horizontal="center"/>
      <protection locked="0"/>
    </xf>
    <xf numFmtId="0" fontId="57" fillId="61" borderId="0" xfId="48" applyFont="1" applyFill="1" applyAlignment="1" applyProtection="1">
      <alignment horizontal="center"/>
      <protection locked="0"/>
    </xf>
    <xf numFmtId="0" fontId="47" fillId="44" borderId="105" xfId="48" applyFont="1" applyFill="1" applyBorder="1" applyAlignment="1" applyProtection="1">
      <alignment horizontal="center"/>
      <protection locked="0"/>
    </xf>
    <xf numFmtId="0" fontId="57" fillId="61" borderId="90" xfId="48" applyFont="1" applyFill="1" applyBorder="1" applyAlignment="1" applyProtection="1">
      <alignment horizontal="center"/>
      <protection locked="0"/>
    </xf>
    <xf numFmtId="0" fontId="5" fillId="114" borderId="315" xfId="48" applyFill="1" applyBorder="1" applyAlignment="1">
      <alignment horizontal="center"/>
    </xf>
    <xf numFmtId="0" fontId="5" fillId="114" borderId="316" xfId="48" applyFill="1" applyBorder="1" applyAlignment="1">
      <alignment horizontal="center"/>
    </xf>
    <xf numFmtId="0" fontId="5" fillId="114" borderId="317" xfId="48" applyFill="1" applyBorder="1" applyAlignment="1">
      <alignment horizontal="center"/>
    </xf>
    <xf numFmtId="1" fontId="5" fillId="44" borderId="318" xfId="48" applyNumberFormat="1" applyFill="1" applyBorder="1" applyAlignment="1" applyProtection="1">
      <alignment horizontal="center"/>
      <protection locked="0"/>
    </xf>
    <xf numFmtId="1" fontId="5" fillId="46" borderId="316" xfId="48" applyNumberFormat="1" applyFill="1" applyBorder="1" applyAlignment="1">
      <alignment horizontal="center"/>
    </xf>
    <xf numFmtId="1" fontId="5" fillId="44" borderId="319" xfId="48" applyNumberFormat="1" applyFill="1" applyBorder="1" applyAlignment="1" applyProtection="1">
      <alignment horizontal="center"/>
      <protection locked="0"/>
    </xf>
    <xf numFmtId="1" fontId="5" fillId="0" borderId="320" xfId="48" applyNumberFormat="1" applyBorder="1" applyAlignment="1" applyProtection="1">
      <alignment horizontal="center"/>
      <protection locked="0"/>
    </xf>
    <xf numFmtId="0" fontId="5" fillId="46" borderId="316" xfId="48" applyFill="1" applyBorder="1" applyAlignment="1">
      <alignment horizontal="center"/>
    </xf>
    <xf numFmtId="1" fontId="5" fillId="0" borderId="320" xfId="48" applyNumberFormat="1" applyBorder="1" applyAlignment="1">
      <alignment horizontal="center"/>
    </xf>
    <xf numFmtId="0" fontId="5" fillId="48" borderId="316" xfId="48" applyFill="1" applyBorder="1" applyAlignment="1">
      <alignment horizontal="center" vertical="top"/>
    </xf>
    <xf numFmtId="0" fontId="5" fillId="61" borderId="251" xfId="48" applyFill="1" applyBorder="1" applyAlignment="1">
      <alignment horizontal="center"/>
    </xf>
    <xf numFmtId="0" fontId="57" fillId="61" borderId="304" xfId="48" applyFont="1" applyFill="1" applyBorder="1" applyAlignment="1">
      <alignment horizontal="center"/>
    </xf>
    <xf numFmtId="0" fontId="5" fillId="61" borderId="90" xfId="48" applyFill="1" applyBorder="1" applyAlignment="1" applyProtection="1">
      <alignment horizontal="center"/>
      <protection locked="0"/>
    </xf>
    <xf numFmtId="0" fontId="57" fillId="61" borderId="297" xfId="48" applyFont="1" applyFill="1" applyBorder="1" applyAlignment="1" applyProtection="1">
      <alignment horizontal="center"/>
      <protection locked="0"/>
    </xf>
    <xf numFmtId="0" fontId="57" fillId="61" borderId="253" xfId="48" applyFont="1" applyFill="1" applyBorder="1" applyAlignment="1">
      <alignment horizontal="center"/>
    </xf>
    <xf numFmtId="0" fontId="57" fillId="61" borderId="299" xfId="48" applyFont="1" applyFill="1" applyBorder="1" applyAlignment="1" applyProtection="1">
      <alignment horizontal="center"/>
      <protection locked="0"/>
    </xf>
    <xf numFmtId="0" fontId="57" fillId="61" borderId="252" xfId="48" applyFont="1" applyFill="1" applyBorder="1" applyAlignment="1">
      <alignment horizontal="center"/>
    </xf>
    <xf numFmtId="0" fontId="57" fillId="61" borderId="298" xfId="48" applyFont="1" applyFill="1" applyBorder="1" applyAlignment="1" applyProtection="1">
      <alignment horizontal="center"/>
      <protection locked="0"/>
    </xf>
    <xf numFmtId="0" fontId="57" fillId="61" borderId="289" xfId="48" applyFont="1" applyFill="1" applyBorder="1" applyAlignment="1" applyProtection="1">
      <alignment horizontal="center"/>
      <protection locked="0"/>
    </xf>
    <xf numFmtId="0" fontId="47" fillId="44" borderId="173" xfId="48" applyFont="1" applyFill="1" applyBorder="1" applyAlignment="1" applyProtection="1">
      <alignment horizontal="center"/>
      <protection locked="0"/>
    </xf>
    <xf numFmtId="0" fontId="57" fillId="61" borderId="92" xfId="48" applyFont="1" applyFill="1" applyBorder="1" applyAlignment="1" applyProtection="1">
      <alignment horizontal="center"/>
      <protection locked="0"/>
    </xf>
    <xf numFmtId="0" fontId="5" fillId="64" borderId="296" xfId="48" applyFill="1" applyBorder="1" applyAlignment="1" applyProtection="1">
      <alignment horizontal="center"/>
      <protection locked="0"/>
    </xf>
    <xf numFmtId="0" fontId="59" fillId="64" borderId="259" xfId="48" applyFont="1" applyFill="1" applyBorder="1" applyAlignment="1" applyProtection="1">
      <alignment horizontal="center"/>
      <protection locked="0"/>
    </xf>
    <xf numFmtId="0" fontId="5" fillId="64" borderId="312" xfId="48" applyFill="1" applyBorder="1" applyAlignment="1" applyProtection="1">
      <alignment horizontal="center"/>
      <protection locked="0"/>
    </xf>
    <xf numFmtId="0" fontId="5" fillId="64" borderId="312" xfId="48" applyFill="1" applyBorder="1" applyAlignment="1" applyProtection="1">
      <alignment horizontal="center" vertical="center"/>
      <protection locked="0"/>
    </xf>
    <xf numFmtId="0" fontId="158" fillId="64" borderId="304" xfId="48" applyFont="1" applyFill="1" applyBorder="1" applyAlignment="1">
      <alignment horizontal="center"/>
    </xf>
    <xf numFmtId="0" fontId="158" fillId="64" borderId="11" xfId="48" applyFont="1" applyFill="1" applyBorder="1" applyAlignment="1" applyProtection="1">
      <alignment horizontal="center"/>
      <protection locked="0"/>
    </xf>
    <xf numFmtId="0" fontId="158" fillId="64" borderId="289" xfId="48" applyFont="1" applyFill="1" applyBorder="1" applyAlignment="1" applyProtection="1">
      <alignment horizontal="center"/>
      <protection locked="0"/>
    </xf>
    <xf numFmtId="0" fontId="5" fillId="64" borderId="321" xfId="48" applyFill="1" applyBorder="1" applyAlignment="1" applyProtection="1">
      <alignment horizontal="center"/>
      <protection locked="0"/>
    </xf>
    <xf numFmtId="0" fontId="59" fillId="64" borderId="17" xfId="48" applyFont="1" applyFill="1" applyBorder="1" applyAlignment="1" applyProtection="1">
      <alignment horizontal="center"/>
      <protection locked="0"/>
    </xf>
    <xf numFmtId="0" fontId="47" fillId="44" borderId="322" xfId="48" applyFont="1" applyFill="1" applyBorder="1" applyAlignment="1" applyProtection="1">
      <alignment horizontal="center"/>
      <protection locked="0"/>
    </xf>
    <xf numFmtId="0" fontId="63" fillId="69" borderId="324" xfId="48" applyFont="1" applyFill="1" applyBorder="1" applyAlignment="1" applyProtection="1">
      <alignment horizontal="center"/>
      <protection locked="0"/>
    </xf>
    <xf numFmtId="0" fontId="63" fillId="69" borderId="325" xfId="48" applyFont="1" applyFill="1" applyBorder="1" applyAlignment="1" applyProtection="1">
      <alignment horizontal="center"/>
      <protection locked="0"/>
    </xf>
    <xf numFmtId="0" fontId="63" fillId="69" borderId="326" xfId="48" applyFont="1" applyFill="1" applyBorder="1" applyAlignment="1" applyProtection="1">
      <alignment horizontal="center"/>
      <protection locked="0"/>
    </xf>
    <xf numFmtId="0" fontId="47" fillId="44" borderId="327" xfId="48" applyFont="1" applyFill="1" applyBorder="1" applyAlignment="1" applyProtection="1">
      <alignment horizontal="center"/>
      <protection locked="0"/>
    </xf>
    <xf numFmtId="0" fontId="5" fillId="0" borderId="328" xfId="48" applyBorder="1" applyAlignment="1">
      <alignment horizontal="center" vertical="center"/>
    </xf>
    <xf numFmtId="0" fontId="63" fillId="69" borderId="329" xfId="48" applyFont="1" applyFill="1" applyBorder="1" applyAlignment="1" applyProtection="1">
      <alignment horizontal="center"/>
      <protection locked="0"/>
    </xf>
    <xf numFmtId="0" fontId="63" fillId="69" borderId="330" xfId="48" applyFont="1" applyFill="1" applyBorder="1" applyAlignment="1" applyProtection="1">
      <alignment horizontal="center"/>
      <protection locked="0"/>
    </xf>
    <xf numFmtId="0" fontId="64" fillId="70" borderId="324" xfId="48" applyFont="1" applyFill="1" applyBorder="1" applyAlignment="1" applyProtection="1">
      <alignment horizontal="center"/>
      <protection locked="0"/>
    </xf>
    <xf numFmtId="0" fontId="64" fillId="70" borderId="325" xfId="48" applyFont="1" applyFill="1" applyBorder="1" applyAlignment="1" applyProtection="1">
      <alignment horizontal="center"/>
      <protection locked="0"/>
    </xf>
    <xf numFmtId="0" fontId="64" fillId="70" borderId="326" xfId="48" applyFont="1" applyFill="1" applyBorder="1" applyAlignment="1" applyProtection="1">
      <alignment horizontal="center"/>
      <protection locked="0"/>
    </xf>
    <xf numFmtId="0" fontId="64" fillId="70" borderId="329" xfId="48" applyFont="1" applyFill="1" applyBorder="1" applyAlignment="1" applyProtection="1">
      <alignment horizontal="center"/>
      <protection locked="0"/>
    </xf>
    <xf numFmtId="0" fontId="64" fillId="70" borderId="330" xfId="48" applyFont="1" applyFill="1" applyBorder="1" applyAlignment="1" applyProtection="1">
      <alignment horizontal="center"/>
      <protection locked="0"/>
    </xf>
    <xf numFmtId="0" fontId="65" fillId="71" borderId="324" xfId="48" applyFont="1" applyFill="1" applyBorder="1" applyAlignment="1" applyProtection="1">
      <alignment horizontal="center"/>
      <protection locked="0"/>
    </xf>
    <xf numFmtId="0" fontId="65" fillId="71" borderId="325" xfId="48" applyFont="1" applyFill="1" applyBorder="1" applyAlignment="1" applyProtection="1">
      <alignment horizontal="center"/>
      <protection locked="0"/>
    </xf>
    <xf numFmtId="0" fontId="65" fillId="71" borderId="326" xfId="48" applyFont="1" applyFill="1" applyBorder="1" applyAlignment="1" applyProtection="1">
      <alignment horizontal="center"/>
      <protection locked="0"/>
    </xf>
    <xf numFmtId="0" fontId="5" fillId="0" borderId="331" xfId="48" applyBorder="1" applyAlignment="1">
      <alignment horizontal="center" vertical="center"/>
    </xf>
    <xf numFmtId="0" fontId="5" fillId="72" borderId="274" xfId="48" applyFill="1" applyBorder="1" applyAlignment="1" applyProtection="1">
      <alignment horizontal="center"/>
      <protection locked="0"/>
    </xf>
    <xf numFmtId="0" fontId="5" fillId="72" borderId="275" xfId="48" applyFill="1" applyBorder="1" applyAlignment="1" applyProtection="1">
      <alignment horizontal="center"/>
      <protection locked="0"/>
    </xf>
    <xf numFmtId="0" fontId="67" fillId="72" borderId="143" xfId="48" applyFont="1" applyFill="1" applyBorder="1" applyAlignment="1" applyProtection="1">
      <alignment horizontal="center"/>
      <protection locked="0"/>
    </xf>
    <xf numFmtId="0" fontId="5" fillId="73" borderId="278" xfId="48" applyFill="1" applyBorder="1" applyAlignment="1" applyProtection="1">
      <alignment horizontal="center"/>
      <protection locked="0"/>
    </xf>
    <xf numFmtId="0" fontId="5" fillId="73" borderId="279" xfId="48" applyFill="1" applyBorder="1" applyAlignment="1" applyProtection="1">
      <alignment horizontal="center"/>
      <protection locked="0"/>
    </xf>
    <xf numFmtId="0" fontId="5" fillId="74" borderId="274" xfId="48" applyFill="1" applyBorder="1" applyAlignment="1" applyProtection="1">
      <alignment horizontal="center"/>
      <protection locked="0"/>
    </xf>
    <xf numFmtId="0" fontId="5" fillId="74" borderId="275" xfId="48" applyFill="1" applyBorder="1" applyAlignment="1" applyProtection="1">
      <alignment horizontal="center"/>
      <protection locked="0"/>
    </xf>
    <xf numFmtId="0" fontId="57" fillId="61" borderId="11" xfId="48" applyFont="1" applyFill="1" applyBorder="1" applyAlignment="1" applyProtection="1">
      <alignment horizontal="center"/>
      <protection locked="0"/>
    </xf>
    <xf numFmtId="0" fontId="57" fillId="61" borderId="286" xfId="48" applyFont="1" applyFill="1" applyBorder="1" applyAlignment="1" applyProtection="1">
      <alignment horizontal="center"/>
      <protection locked="0"/>
    </xf>
    <xf numFmtId="0" fontId="5" fillId="0" borderId="323" xfId="48" applyBorder="1" applyAlignment="1">
      <alignment horizontal="center" vertical="center"/>
    </xf>
    <xf numFmtId="0" fontId="47" fillId="44" borderId="332" xfId="48" applyFont="1" applyFill="1" applyBorder="1" applyAlignment="1" applyProtection="1">
      <alignment horizontal="center"/>
      <protection locked="0"/>
    </xf>
    <xf numFmtId="0" fontId="5" fillId="0" borderId="333" xfId="48" applyBorder="1" applyAlignment="1">
      <alignment horizontal="center" vertical="center"/>
    </xf>
    <xf numFmtId="0" fontId="47" fillId="44" borderId="334" xfId="48" applyFont="1" applyFill="1" applyBorder="1" applyAlignment="1" applyProtection="1">
      <alignment horizontal="center"/>
      <protection locked="0"/>
    </xf>
    <xf numFmtId="0" fontId="47" fillId="44" borderId="335" xfId="48" applyFont="1" applyFill="1" applyBorder="1" applyAlignment="1" applyProtection="1">
      <alignment horizontal="center"/>
      <protection locked="0"/>
    </xf>
    <xf numFmtId="0" fontId="47" fillId="44" borderId="336" xfId="48" applyFont="1" applyFill="1" applyBorder="1" applyAlignment="1" applyProtection="1">
      <alignment horizontal="center"/>
      <protection locked="0"/>
    </xf>
    <xf numFmtId="0" fontId="5" fillId="0" borderId="337" xfId="48" applyBorder="1" applyAlignment="1">
      <alignment horizontal="center" vertical="center"/>
    </xf>
    <xf numFmtId="0" fontId="5" fillId="70" borderId="274" xfId="48" applyFill="1" applyBorder="1" applyAlignment="1" applyProtection="1">
      <alignment horizontal="center"/>
      <protection locked="0"/>
    </xf>
    <xf numFmtId="0" fontId="5" fillId="70" borderId="275" xfId="48" applyFill="1" applyBorder="1" applyAlignment="1" applyProtection="1">
      <alignment horizontal="center"/>
      <protection locked="0"/>
    </xf>
    <xf numFmtId="0" fontId="64" fillId="70" borderId="143" xfId="48" applyFont="1" applyFill="1" applyBorder="1" applyAlignment="1" applyProtection="1">
      <alignment horizontal="center"/>
      <protection locked="0"/>
    </xf>
    <xf numFmtId="0" fontId="47" fillId="44" borderId="338" xfId="48" applyFont="1" applyFill="1" applyBorder="1" applyAlignment="1" applyProtection="1">
      <alignment horizontal="center"/>
      <protection locked="0"/>
    </xf>
    <xf numFmtId="0" fontId="67" fillId="72" borderId="288" xfId="48" applyFont="1" applyFill="1" applyBorder="1" applyAlignment="1" applyProtection="1">
      <alignment horizontal="center"/>
      <protection locked="0"/>
    </xf>
    <xf numFmtId="0" fontId="67" fillId="72" borderId="296" xfId="48" applyFont="1" applyFill="1" applyBorder="1" applyAlignment="1" applyProtection="1">
      <alignment horizontal="center"/>
      <protection locked="0"/>
    </xf>
    <xf numFmtId="0" fontId="66" fillId="73" borderId="89" xfId="48" applyFont="1" applyFill="1" applyBorder="1" applyAlignment="1">
      <alignment horizontal="center"/>
    </xf>
    <xf numFmtId="0" fontId="66" fillId="73" borderId="90" xfId="48" applyFont="1" applyFill="1" applyBorder="1" applyAlignment="1">
      <alignment horizontal="center"/>
    </xf>
    <xf numFmtId="0" fontId="66" fillId="73" borderId="147" xfId="48" applyFont="1" applyFill="1" applyBorder="1" applyAlignment="1">
      <alignment horizontal="center"/>
    </xf>
    <xf numFmtId="0" fontId="5" fillId="73" borderId="270" xfId="48" applyFill="1" applyBorder="1" applyAlignment="1">
      <alignment horizontal="center"/>
    </xf>
    <xf numFmtId="0" fontId="5" fillId="73" borderId="271" xfId="48" applyFill="1" applyBorder="1" applyAlignment="1">
      <alignment horizontal="center"/>
    </xf>
    <xf numFmtId="0" fontId="66" fillId="73" borderId="142" xfId="48" applyFont="1" applyFill="1" applyBorder="1" applyAlignment="1">
      <alignment horizontal="center"/>
    </xf>
    <xf numFmtId="0" fontId="5" fillId="73" borderId="147" xfId="48" applyFill="1" applyBorder="1" applyAlignment="1">
      <alignment horizontal="center"/>
    </xf>
    <xf numFmtId="0" fontId="5" fillId="73" borderId="89" xfId="48" applyFill="1" applyBorder="1" applyAlignment="1">
      <alignment horizontal="center"/>
    </xf>
    <xf numFmtId="0" fontId="5" fillId="73" borderId="90" xfId="48" applyFill="1" applyBorder="1" applyAlignment="1">
      <alignment horizontal="center"/>
    </xf>
    <xf numFmtId="0" fontId="66" fillId="73" borderId="280" xfId="48" applyFont="1" applyFill="1" applyBorder="1" applyAlignment="1">
      <alignment horizontal="center"/>
    </xf>
    <xf numFmtId="0" fontId="5" fillId="73" borderId="142" xfId="48" applyFill="1" applyBorder="1" applyAlignment="1">
      <alignment horizontal="center"/>
    </xf>
    <xf numFmtId="0" fontId="60" fillId="46" borderId="268" xfId="48" applyFont="1" applyFill="1" applyBorder="1" applyAlignment="1" applyProtection="1">
      <alignment horizontal="center"/>
      <protection locked="0"/>
    </xf>
    <xf numFmtId="0" fontId="60" fillId="46" borderId="29" xfId="48" applyFont="1" applyFill="1" applyBorder="1" applyAlignment="1" applyProtection="1">
      <alignment horizontal="center"/>
      <protection locked="0"/>
    </xf>
    <xf numFmtId="0" fontId="5" fillId="73" borderId="278" xfId="48" applyFill="1" applyBorder="1" applyAlignment="1">
      <alignment horizontal="center"/>
    </xf>
    <xf numFmtId="0" fontId="5" fillId="73" borderId="279" xfId="48" applyFill="1" applyBorder="1" applyAlignment="1">
      <alignment horizontal="center"/>
    </xf>
    <xf numFmtId="0" fontId="66" fillId="73" borderId="91" xfId="48" applyFont="1" applyFill="1" applyBorder="1" applyAlignment="1">
      <alignment horizontal="center"/>
    </xf>
    <xf numFmtId="0" fontId="66" fillId="73" borderId="92" xfId="48" applyFont="1" applyFill="1" applyBorder="1" applyAlignment="1">
      <alignment horizontal="center"/>
    </xf>
    <xf numFmtId="0" fontId="66" fillId="73" borderId="148" xfId="48" applyFont="1" applyFill="1" applyBorder="1" applyAlignment="1">
      <alignment horizontal="center"/>
    </xf>
    <xf numFmtId="0" fontId="5" fillId="73" borderId="274" xfId="48" applyFill="1" applyBorder="1" applyAlignment="1">
      <alignment horizontal="center"/>
    </xf>
    <xf numFmtId="0" fontId="5" fillId="73" borderId="275" xfId="48" applyFill="1" applyBorder="1" applyAlignment="1">
      <alignment horizontal="center"/>
    </xf>
    <xf numFmtId="0" fontId="66" fillId="73" borderId="143" xfId="48" applyFont="1" applyFill="1" applyBorder="1" applyAlignment="1">
      <alignment horizontal="center"/>
    </xf>
    <xf numFmtId="0" fontId="66" fillId="73" borderId="153" xfId="48" applyFont="1" applyFill="1" applyBorder="1" applyAlignment="1">
      <alignment horizontal="center"/>
    </xf>
    <xf numFmtId="0" fontId="47" fillId="44" borderId="260" xfId="48" applyFont="1" applyFill="1" applyBorder="1" applyAlignment="1" applyProtection="1">
      <alignment horizontal="center"/>
      <protection locked="0"/>
    </xf>
    <xf numFmtId="0" fontId="5" fillId="44" borderId="339" xfId="48" applyFill="1" applyBorder="1" applyAlignment="1" applyProtection="1">
      <alignment horizontal="center"/>
      <protection locked="0"/>
    </xf>
    <xf numFmtId="0" fontId="5" fillId="48" borderId="291" xfId="48" applyFill="1" applyBorder="1" applyAlignment="1" applyProtection="1">
      <alignment horizontal="center" vertical="center"/>
      <protection locked="0"/>
    </xf>
    <xf numFmtId="0" fontId="5" fillId="48" borderId="292" xfId="48" applyFill="1" applyBorder="1" applyAlignment="1" applyProtection="1">
      <alignment horizontal="center" vertical="center"/>
      <protection locked="0"/>
    </xf>
    <xf numFmtId="0" fontId="52" fillId="48" borderId="154" xfId="48" applyFont="1" applyFill="1" applyBorder="1" applyAlignment="1" applyProtection="1">
      <alignment horizontal="center"/>
      <protection locked="0"/>
    </xf>
    <xf numFmtId="0" fontId="52" fillId="48" borderId="18" xfId="48" applyFont="1" applyFill="1" applyBorder="1" applyAlignment="1" applyProtection="1">
      <alignment horizontal="center"/>
      <protection locked="0"/>
    </xf>
    <xf numFmtId="0" fontId="5" fillId="48" borderId="278" xfId="48" applyFill="1" applyBorder="1" applyAlignment="1" applyProtection="1">
      <alignment horizontal="center"/>
      <protection locked="0"/>
    </xf>
    <xf numFmtId="0" fontId="5" fillId="48" borderId="279" xfId="48" applyFill="1" applyBorder="1" applyAlignment="1" applyProtection="1">
      <alignment horizontal="center"/>
      <protection locked="0"/>
    </xf>
    <xf numFmtId="0" fontId="5" fillId="57" borderId="278" xfId="48" applyFill="1" applyBorder="1" applyAlignment="1" applyProtection="1">
      <alignment horizontal="center"/>
      <protection locked="0"/>
    </xf>
    <xf numFmtId="0" fontId="5" fillId="57" borderId="279" xfId="48" applyFill="1" applyBorder="1" applyAlignment="1" applyProtection="1">
      <alignment horizontal="center"/>
      <protection locked="0"/>
    </xf>
    <xf numFmtId="0" fontId="60" fillId="46" borderId="92" xfId="48" applyFont="1" applyFill="1" applyBorder="1" applyAlignment="1">
      <alignment horizontal="center"/>
    </xf>
    <xf numFmtId="0" fontId="5" fillId="60" borderId="90" xfId="48" applyFill="1" applyBorder="1" applyAlignment="1">
      <alignment horizontal="center"/>
    </xf>
    <xf numFmtId="0" fontId="61" fillId="60" borderId="17" xfId="48" applyFont="1" applyFill="1" applyBorder="1" applyAlignment="1">
      <alignment horizontal="center"/>
    </xf>
    <xf numFmtId="0" fontId="5" fillId="114" borderId="340" xfId="48" applyFill="1" applyBorder="1" applyAlignment="1">
      <alignment horizontal="center"/>
    </xf>
    <xf numFmtId="2" fontId="5" fillId="0" borderId="103" xfId="49" applyNumberFormat="1" applyBorder="1" applyAlignment="1" applyProtection="1">
      <alignment horizontal="center" vertical="center"/>
      <protection locked="0"/>
    </xf>
    <xf numFmtId="1" fontId="5" fillId="0" borderId="341" xfId="48" applyNumberFormat="1" applyBorder="1" applyAlignment="1" applyProtection="1">
      <alignment horizontal="center"/>
      <protection locked="0"/>
    </xf>
    <xf numFmtId="1" fontId="5" fillId="0" borderId="342" xfId="48" applyNumberFormat="1" applyBorder="1" applyAlignment="1">
      <alignment horizontal="center"/>
    </xf>
    <xf numFmtId="2" fontId="5" fillId="0" borderId="104" xfId="49" applyNumberFormat="1" applyBorder="1" applyAlignment="1" applyProtection="1">
      <alignment horizontal="center" vertical="center"/>
      <protection locked="0"/>
    </xf>
    <xf numFmtId="1" fontId="5" fillId="44" borderId="142" xfId="48" applyNumberFormat="1" applyFill="1" applyBorder="1" applyAlignment="1" applyProtection="1">
      <alignment horizontal="center"/>
      <protection locked="0"/>
    </xf>
    <xf numFmtId="1" fontId="5" fillId="44" borderId="147" xfId="48" applyNumberFormat="1" applyFill="1" applyBorder="1" applyAlignment="1" applyProtection="1">
      <alignment horizontal="center"/>
      <protection locked="0"/>
    </xf>
    <xf numFmtId="1" fontId="5" fillId="0" borderId="102" xfId="48" applyNumberFormat="1" applyBorder="1" applyAlignment="1">
      <alignment horizontal="center"/>
    </xf>
    <xf numFmtId="1" fontId="5" fillId="44" borderId="74" xfId="48" applyNumberFormat="1" applyFill="1" applyBorder="1" applyAlignment="1" applyProtection="1">
      <alignment horizontal="center"/>
      <protection locked="0"/>
    </xf>
    <xf numFmtId="0" fontId="5" fillId="114" borderId="333" xfId="48" applyFill="1" applyBorder="1" applyAlignment="1">
      <alignment horizontal="center"/>
    </xf>
    <xf numFmtId="0" fontId="5" fillId="114" borderId="343" xfId="48" applyFill="1" applyBorder="1" applyAlignment="1">
      <alignment horizontal="center"/>
    </xf>
    <xf numFmtId="1" fontId="5" fillId="0" borderId="208" xfId="48" applyNumberFormat="1" applyBorder="1" applyAlignment="1" applyProtection="1">
      <alignment horizontal="center"/>
      <protection locked="0"/>
    </xf>
    <xf numFmtId="1" fontId="5" fillId="44" borderId="344" xfId="48" applyNumberFormat="1" applyFill="1" applyBorder="1" applyAlignment="1" applyProtection="1">
      <alignment horizontal="center"/>
      <protection locked="0"/>
    </xf>
    <xf numFmtId="1" fontId="5" fillId="0" borderId="345" xfId="48" applyNumberFormat="1" applyBorder="1" applyAlignment="1" applyProtection="1">
      <alignment horizontal="center"/>
      <protection locked="0"/>
    </xf>
    <xf numFmtId="2" fontId="5" fillId="0" borderId="128" xfId="49" applyNumberFormat="1" applyBorder="1" applyAlignment="1" applyProtection="1">
      <alignment horizontal="center" vertical="center"/>
      <protection locked="0"/>
    </xf>
    <xf numFmtId="2" fontId="5" fillId="0" borderId="101" xfId="49" applyNumberFormat="1" applyBorder="1" applyAlignment="1" applyProtection="1">
      <alignment horizontal="center" vertical="center"/>
      <protection locked="0"/>
    </xf>
    <xf numFmtId="1" fontId="5" fillId="44" borderId="75" xfId="48" applyNumberFormat="1" applyFill="1" applyBorder="1" applyAlignment="1" applyProtection="1">
      <alignment horizontal="center"/>
      <protection locked="0"/>
    </xf>
    <xf numFmtId="168" fontId="5" fillId="44" borderId="82" xfId="48" applyNumberFormat="1" applyFill="1" applyBorder="1" applyAlignment="1" applyProtection="1">
      <alignment horizontal="center"/>
      <protection locked="0"/>
    </xf>
    <xf numFmtId="168" fontId="5" fillId="44" borderId="100" xfId="48" applyNumberFormat="1" applyFill="1" applyBorder="1" applyAlignment="1" applyProtection="1">
      <alignment horizontal="center"/>
      <protection locked="0"/>
    </xf>
    <xf numFmtId="1" fontId="5" fillId="44" borderId="158" xfId="48" applyNumberFormat="1" applyFill="1" applyBorder="1" applyAlignment="1" applyProtection="1">
      <alignment horizontal="center"/>
      <protection locked="0"/>
    </xf>
    <xf numFmtId="1" fontId="5" fillId="44" borderId="72" xfId="48" applyNumberFormat="1" applyFill="1" applyBorder="1" applyAlignment="1" applyProtection="1">
      <alignment horizontal="center"/>
      <protection locked="0"/>
    </xf>
    <xf numFmtId="168" fontId="5" fillId="44" borderId="80" xfId="48" applyNumberFormat="1" applyFill="1" applyBorder="1" applyAlignment="1" applyProtection="1">
      <alignment horizontal="center"/>
      <protection locked="0"/>
    </xf>
    <xf numFmtId="168" fontId="5" fillId="44" borderId="101" xfId="48" applyNumberFormat="1" applyFill="1" applyBorder="1" applyAlignment="1" applyProtection="1">
      <alignment horizontal="center"/>
      <protection locked="0"/>
    </xf>
    <xf numFmtId="168" fontId="5" fillId="44" borderId="210" xfId="48" applyNumberFormat="1" applyFill="1" applyBorder="1" applyAlignment="1" applyProtection="1">
      <alignment horizontal="center"/>
      <protection locked="0"/>
    </xf>
    <xf numFmtId="168" fontId="5" fillId="44" borderId="276" xfId="48" applyNumberFormat="1" applyFill="1" applyBorder="1" applyAlignment="1" applyProtection="1">
      <alignment horizontal="center"/>
      <protection locked="0"/>
    </xf>
    <xf numFmtId="1" fontId="5" fillId="44" borderId="86" xfId="48" applyNumberFormat="1" applyFill="1" applyBorder="1" applyAlignment="1" applyProtection="1">
      <alignment horizontal="center"/>
      <protection locked="0"/>
    </xf>
    <xf numFmtId="1" fontId="5" fillId="44" borderId="103" xfId="48" applyNumberFormat="1" applyFill="1" applyBorder="1" applyAlignment="1" applyProtection="1">
      <alignment horizontal="center"/>
      <protection locked="0"/>
    </xf>
    <xf numFmtId="1" fontId="5" fillId="44" borderId="104" xfId="48" applyNumberFormat="1" applyFill="1" applyBorder="1" applyAlignment="1" applyProtection="1">
      <alignment horizontal="center"/>
      <protection locked="0"/>
    </xf>
    <xf numFmtId="1" fontId="5" fillId="44" borderId="105" xfId="48" applyNumberFormat="1" applyFill="1" applyBorder="1" applyAlignment="1" applyProtection="1">
      <alignment horizontal="center"/>
      <protection locked="0"/>
    </xf>
    <xf numFmtId="0" fontId="80" fillId="58" borderId="92" xfId="48" applyFont="1" applyFill="1" applyBorder="1" applyAlignment="1">
      <alignment horizontal="center"/>
    </xf>
    <xf numFmtId="0" fontId="53" fillId="59" borderId="146" xfId="48" applyFont="1" applyFill="1" applyBorder="1" applyAlignment="1" applyProtection="1">
      <alignment horizontal="center"/>
      <protection locked="0"/>
    </xf>
    <xf numFmtId="0" fontId="5" fillId="59" borderId="142" xfId="48" applyFill="1" applyBorder="1" applyAlignment="1" applyProtection="1">
      <alignment horizontal="center"/>
      <protection locked="0"/>
    </xf>
    <xf numFmtId="0" fontId="53" fillId="59" borderId="147" xfId="48" applyFont="1" applyFill="1" applyBorder="1" applyAlignment="1" applyProtection="1">
      <alignment horizontal="center"/>
      <protection locked="0"/>
    </xf>
    <xf numFmtId="0" fontId="5" fillId="59" borderId="147" xfId="48" applyFill="1" applyBorder="1" applyAlignment="1" applyProtection="1">
      <alignment horizontal="center"/>
      <protection locked="0"/>
    </xf>
    <xf numFmtId="0" fontId="53" fillId="59" borderId="95" xfId="48" applyFont="1" applyFill="1" applyBorder="1" applyAlignment="1" applyProtection="1">
      <alignment horizontal="center" vertical="center"/>
      <protection locked="0"/>
    </xf>
    <xf numFmtId="0" fontId="53" fillId="59" borderId="148" xfId="48" applyFont="1" applyFill="1" applyBorder="1" applyAlignment="1" applyProtection="1">
      <alignment horizontal="center"/>
      <protection locked="0"/>
    </xf>
    <xf numFmtId="0" fontId="5" fillId="44" borderId="310" xfId="48" applyFill="1" applyBorder="1" applyAlignment="1" applyProtection="1">
      <alignment horizontal="center"/>
      <protection locked="0"/>
    </xf>
    <xf numFmtId="0" fontId="5" fillId="59" borderId="143" xfId="48" applyFill="1" applyBorder="1" applyAlignment="1" applyProtection="1">
      <alignment horizontal="center"/>
      <protection locked="0"/>
    </xf>
    <xf numFmtId="0" fontId="5" fillId="59" borderId="92" xfId="48" applyFill="1" applyBorder="1" applyAlignment="1" applyProtection="1">
      <alignment horizontal="center"/>
      <protection locked="0"/>
    </xf>
    <xf numFmtId="0" fontId="54" fillId="62" borderId="293" xfId="48" applyFont="1" applyFill="1" applyBorder="1" applyAlignment="1" applyProtection="1">
      <alignment horizontal="center"/>
      <protection locked="0"/>
    </xf>
    <xf numFmtId="0" fontId="54" fillId="62" borderId="142" xfId="48" applyFont="1" applyFill="1" applyBorder="1" applyAlignment="1" applyProtection="1">
      <alignment horizontal="center"/>
      <protection locked="0"/>
    </xf>
    <xf numFmtId="0" fontId="54" fillId="62" borderId="18" xfId="48" applyFont="1" applyFill="1" applyBorder="1" applyAlignment="1" applyProtection="1">
      <alignment horizontal="center"/>
      <protection locked="0"/>
    </xf>
    <xf numFmtId="0" fontId="54" fillId="62" borderId="295" xfId="48" applyFont="1" applyFill="1" applyBorder="1" applyAlignment="1" applyProtection="1">
      <alignment horizontal="center"/>
      <protection locked="0"/>
    </xf>
    <xf numFmtId="0" fontId="54" fillId="62" borderId="0" xfId="48" applyFont="1" applyFill="1" applyAlignment="1" applyProtection="1">
      <alignment horizontal="center"/>
      <protection locked="0"/>
    </xf>
    <xf numFmtId="0" fontId="5" fillId="62" borderId="291" xfId="48" applyFill="1" applyBorder="1" applyAlignment="1" applyProtection="1">
      <alignment horizontal="center"/>
      <protection locked="0"/>
    </xf>
    <xf numFmtId="0" fontId="5" fillId="62" borderId="292" xfId="48" applyFill="1" applyBorder="1" applyAlignment="1" applyProtection="1">
      <alignment horizontal="center"/>
      <protection locked="0"/>
    </xf>
    <xf numFmtId="0" fontId="54" fillId="62" borderId="292" xfId="48" applyFont="1" applyFill="1" applyBorder="1" applyAlignment="1" applyProtection="1">
      <alignment horizontal="center"/>
      <protection locked="0"/>
    </xf>
    <xf numFmtId="0" fontId="54" fillId="62" borderId="300" xfId="48" applyFont="1" applyFill="1" applyBorder="1" applyAlignment="1" applyProtection="1">
      <alignment horizontal="center"/>
      <protection locked="0"/>
    </xf>
    <xf numFmtId="0" fontId="54" fillId="62" borderId="294" xfId="48" applyFont="1" applyFill="1" applyBorder="1" applyAlignment="1" applyProtection="1">
      <alignment horizontal="center"/>
      <protection locked="0"/>
    </xf>
    <xf numFmtId="0" fontId="5" fillId="62" borderId="294" xfId="48" applyFill="1" applyBorder="1" applyAlignment="1" applyProtection="1">
      <alignment horizontal="center"/>
      <protection locked="0"/>
    </xf>
    <xf numFmtId="0" fontId="5" fillId="62" borderId="295" xfId="48" applyFill="1" applyBorder="1" applyAlignment="1" applyProtection="1">
      <alignment horizontal="center"/>
      <protection locked="0"/>
    </xf>
    <xf numFmtId="0" fontId="5" fillId="62" borderId="0" xfId="48" applyFill="1" applyAlignment="1" applyProtection="1">
      <alignment horizontal="center"/>
      <protection locked="0"/>
    </xf>
    <xf numFmtId="0" fontId="5" fillId="62" borderId="293" xfId="48" applyFill="1" applyBorder="1" applyAlignment="1" applyProtection="1">
      <alignment horizontal="center"/>
      <protection locked="0"/>
    </xf>
    <xf numFmtId="0" fontId="5" fillId="62" borderId="142" xfId="48" applyFill="1" applyBorder="1" applyAlignment="1" applyProtection="1">
      <alignment horizontal="center"/>
      <protection locked="0"/>
    </xf>
    <xf numFmtId="0" fontId="5" fillId="62" borderId="18" xfId="48" applyFill="1" applyBorder="1" applyAlignment="1" applyProtection="1">
      <alignment horizontal="center"/>
      <protection locked="0"/>
    </xf>
    <xf numFmtId="0" fontId="54" fillId="62" borderId="106" xfId="48" applyFont="1" applyFill="1" applyBorder="1" applyAlignment="1" applyProtection="1">
      <alignment horizontal="center"/>
      <protection locked="0"/>
    </xf>
    <xf numFmtId="0" fontId="54" fillId="62" borderId="297" xfId="48" applyFont="1" applyFill="1" applyBorder="1" applyAlignment="1" applyProtection="1">
      <alignment horizontal="center"/>
      <protection locked="0"/>
    </xf>
    <xf numFmtId="0" fontId="54" fillId="62" borderId="143" xfId="48" applyFont="1" applyFill="1" applyBorder="1" applyAlignment="1" applyProtection="1">
      <alignment horizontal="center"/>
      <protection locked="0"/>
    </xf>
    <xf numFmtId="0" fontId="54" fillId="62" borderId="24" xfId="48" applyFont="1" applyFill="1" applyBorder="1" applyAlignment="1" applyProtection="1">
      <alignment horizontal="center"/>
      <protection locked="0"/>
    </xf>
    <xf numFmtId="0" fontId="54" fillId="62" borderId="299" xfId="48" applyFont="1" applyFill="1" applyBorder="1" applyAlignment="1" applyProtection="1">
      <alignment horizontal="center"/>
      <protection locked="0"/>
    </xf>
    <xf numFmtId="0" fontId="54" fillId="62" borderId="298" xfId="48" applyFont="1" applyFill="1" applyBorder="1" applyAlignment="1" applyProtection="1">
      <alignment horizontal="center"/>
      <protection locked="0"/>
    </xf>
    <xf numFmtId="0" fontId="54" fillId="62" borderId="17" xfId="48" applyFont="1" applyFill="1" applyBorder="1" applyAlignment="1" applyProtection="1">
      <alignment horizontal="center"/>
      <protection locked="0"/>
    </xf>
    <xf numFmtId="0" fontId="5" fillId="62" borderId="298" xfId="48" applyFill="1" applyBorder="1" applyAlignment="1" applyProtection="1">
      <alignment horizontal="center"/>
      <protection locked="0"/>
    </xf>
    <xf numFmtId="0" fontId="5" fillId="62" borderId="299" xfId="48" applyFill="1" applyBorder="1" applyAlignment="1" applyProtection="1">
      <alignment horizontal="center"/>
      <protection locked="0"/>
    </xf>
    <xf numFmtId="0" fontId="55" fillId="63" borderId="89" xfId="48" applyFont="1" applyFill="1" applyBorder="1" applyAlignment="1" applyProtection="1">
      <alignment horizontal="center"/>
      <protection locked="0"/>
    </xf>
    <xf numFmtId="0" fontId="55" fillId="63" borderId="18" xfId="48" applyFont="1" applyFill="1" applyBorder="1" applyAlignment="1" applyProtection="1">
      <alignment horizontal="center"/>
      <protection locked="0"/>
    </xf>
    <xf numFmtId="0" fontId="55" fillId="63" borderId="142" xfId="48" applyFont="1" applyFill="1" applyBorder="1" applyAlignment="1" applyProtection="1">
      <alignment horizontal="center"/>
      <protection locked="0"/>
    </xf>
    <xf numFmtId="0" fontId="5" fillId="63" borderId="291" xfId="48" applyFill="1" applyBorder="1" applyAlignment="1" applyProtection="1">
      <alignment horizontal="center"/>
      <protection locked="0"/>
    </xf>
    <xf numFmtId="0" fontId="5" fillId="63" borderId="89" xfId="48" applyFill="1" applyBorder="1" applyAlignment="1" applyProtection="1">
      <alignment horizontal="center"/>
      <protection locked="0"/>
    </xf>
    <xf numFmtId="0" fontId="5" fillId="63" borderId="18" xfId="48" applyFill="1" applyBorder="1" applyAlignment="1" applyProtection="1">
      <alignment horizontal="center"/>
      <protection locked="0"/>
    </xf>
    <xf numFmtId="0" fontId="5" fillId="63" borderId="142" xfId="48" applyFill="1" applyBorder="1" applyAlignment="1" applyProtection="1">
      <alignment horizontal="center"/>
      <protection locked="0"/>
    </xf>
    <xf numFmtId="0" fontId="55" fillId="63" borderId="91" xfId="48" applyFont="1" applyFill="1" applyBorder="1" applyAlignment="1" applyProtection="1">
      <alignment horizontal="center"/>
      <protection locked="0"/>
    </xf>
    <xf numFmtId="0" fontId="55" fillId="63" borderId="24" xfId="48" applyFont="1" applyFill="1" applyBorder="1" applyAlignment="1" applyProtection="1">
      <alignment horizontal="center"/>
      <protection locked="0"/>
    </xf>
    <xf numFmtId="0" fontId="55" fillId="63" borderId="143" xfId="48" applyFont="1" applyFill="1" applyBorder="1" applyAlignment="1" applyProtection="1">
      <alignment horizontal="center"/>
      <protection locked="0"/>
    </xf>
    <xf numFmtId="0" fontId="68" fillId="74" borderId="143" xfId="48" applyFont="1" applyFill="1" applyBorder="1" applyAlignment="1" applyProtection="1">
      <alignment horizontal="center"/>
      <protection locked="0"/>
    </xf>
    <xf numFmtId="1" fontId="5" fillId="44" borderId="173" xfId="48" applyNumberFormat="1" applyFill="1" applyBorder="1" applyAlignment="1" applyProtection="1">
      <alignment horizontal="center"/>
      <protection locked="0"/>
    </xf>
    <xf numFmtId="1" fontId="5" fillId="44" borderId="102" xfId="48" applyNumberFormat="1" applyFill="1" applyBorder="1" applyAlignment="1" applyProtection="1">
      <alignment horizontal="center"/>
      <protection locked="0"/>
    </xf>
    <xf numFmtId="0" fontId="5" fillId="60" borderId="278" xfId="48" applyFill="1" applyBorder="1" applyAlignment="1" applyProtection="1">
      <alignment horizontal="center"/>
      <protection locked="0"/>
    </xf>
    <xf numFmtId="0" fontId="61" fillId="60" borderId="296" xfId="48" applyFont="1" applyFill="1" applyBorder="1" applyAlignment="1">
      <alignment horizontal="center"/>
    </xf>
    <xf numFmtId="0" fontId="5" fillId="44" borderId="323" xfId="48" applyFill="1" applyBorder="1" applyAlignment="1" applyProtection="1">
      <alignment horizontal="center"/>
      <protection locked="0"/>
    </xf>
    <xf numFmtId="0" fontId="5" fillId="44" borderId="333" xfId="48" applyFill="1" applyBorder="1" applyAlignment="1" applyProtection="1">
      <alignment horizontal="center"/>
      <protection locked="0"/>
    </xf>
    <xf numFmtId="0" fontId="5" fillId="44" borderId="337" xfId="48" applyFill="1" applyBorder="1" applyAlignment="1" applyProtection="1">
      <alignment horizontal="center"/>
      <protection locked="0"/>
    </xf>
    <xf numFmtId="168" fontId="5" fillId="44" borderId="284" xfId="48" applyNumberFormat="1" applyFill="1" applyBorder="1" applyAlignment="1" applyProtection="1">
      <alignment horizontal="center"/>
      <protection locked="0"/>
    </xf>
    <xf numFmtId="168" fontId="5" fillId="44" borderId="250" xfId="48" applyNumberFormat="1" applyFill="1" applyBorder="1" applyAlignment="1" applyProtection="1">
      <alignment horizontal="center"/>
      <protection locked="0"/>
    </xf>
    <xf numFmtId="0" fontId="58" fillId="69" borderId="270" xfId="48" applyFont="1" applyFill="1" applyBorder="1" applyAlignment="1" applyProtection="1">
      <alignment horizontal="center"/>
      <protection locked="0"/>
    </xf>
    <xf numFmtId="0" fontId="58" fillId="69" borderId="271" xfId="48" applyFont="1" applyFill="1" applyBorder="1" applyAlignment="1" applyProtection="1">
      <alignment horizontal="center"/>
      <protection locked="0"/>
    </xf>
    <xf numFmtId="0" fontId="58" fillId="69" borderId="274" xfId="48" applyFont="1" applyFill="1" applyBorder="1" applyAlignment="1" applyProtection="1">
      <alignment horizontal="center"/>
      <protection locked="0"/>
    </xf>
    <xf numFmtId="0" fontId="58" fillId="69" borderId="275" xfId="48" applyFont="1" applyFill="1" applyBorder="1" applyAlignment="1" applyProtection="1">
      <alignment horizontal="center"/>
      <protection locked="0"/>
    </xf>
    <xf numFmtId="0" fontId="58" fillId="70" borderId="278" xfId="48" applyFont="1" applyFill="1" applyBorder="1" applyAlignment="1" applyProtection="1">
      <alignment horizontal="center"/>
      <protection locked="0"/>
    </xf>
    <xf numFmtId="0" fontId="58" fillId="70" borderId="279" xfId="48" applyFont="1" applyFill="1" applyBorder="1" applyAlignment="1" applyProtection="1">
      <alignment horizontal="center"/>
      <protection locked="0"/>
    </xf>
    <xf numFmtId="0" fontId="58" fillId="70" borderId="270" xfId="48" applyFont="1" applyFill="1" applyBorder="1" applyAlignment="1" applyProtection="1">
      <alignment horizontal="center"/>
      <protection locked="0"/>
    </xf>
    <xf numFmtId="0" fontId="58" fillId="70" borderId="271" xfId="48" applyFont="1" applyFill="1" applyBorder="1" applyAlignment="1" applyProtection="1">
      <alignment horizontal="center"/>
      <protection locked="0"/>
    </xf>
    <xf numFmtId="0" fontId="58" fillId="70" borderId="274" xfId="48" applyFont="1" applyFill="1" applyBorder="1" applyAlignment="1" applyProtection="1">
      <alignment horizontal="center"/>
      <protection locked="0"/>
    </xf>
    <xf numFmtId="0" fontId="58" fillId="70" borderId="275" xfId="48" applyFont="1" applyFill="1" applyBorder="1" applyAlignment="1" applyProtection="1">
      <alignment horizontal="center"/>
      <protection locked="0"/>
    </xf>
    <xf numFmtId="0" fontId="58" fillId="71" borderId="278" xfId="48" applyFont="1" applyFill="1" applyBorder="1" applyAlignment="1" applyProtection="1">
      <alignment horizontal="center"/>
      <protection locked="0"/>
    </xf>
    <xf numFmtId="0" fontId="58" fillId="71" borderId="279" xfId="48" applyFont="1" applyFill="1" applyBorder="1" applyAlignment="1" applyProtection="1">
      <alignment horizontal="center"/>
      <protection locked="0"/>
    </xf>
    <xf numFmtId="0" fontId="58" fillId="71" borderId="270" xfId="48" applyFont="1" applyFill="1" applyBorder="1" applyAlignment="1" applyProtection="1">
      <alignment horizontal="center"/>
      <protection locked="0"/>
    </xf>
    <xf numFmtId="0" fontId="58" fillId="71" borderId="271" xfId="48" applyFont="1" applyFill="1" applyBorder="1" applyAlignment="1" applyProtection="1">
      <alignment horizontal="center"/>
      <protection locked="0"/>
    </xf>
    <xf numFmtId="0" fontId="58" fillId="71" borderId="274" xfId="48" applyFont="1" applyFill="1" applyBorder="1" applyAlignment="1" applyProtection="1">
      <alignment horizontal="center"/>
      <protection locked="0"/>
    </xf>
    <xf numFmtId="0" fontId="58" fillId="71" borderId="275" xfId="48" applyFont="1" applyFill="1" applyBorder="1" applyAlignment="1" applyProtection="1">
      <alignment horizontal="center"/>
      <protection locked="0"/>
    </xf>
    <xf numFmtId="0" fontId="67" fillId="72" borderId="89" xfId="48" applyFont="1" applyFill="1" applyBorder="1" applyAlignment="1">
      <alignment horizontal="center"/>
    </xf>
    <xf numFmtId="0" fontId="67" fillId="72" borderId="90" xfId="48" applyFont="1" applyFill="1" applyBorder="1" applyAlignment="1">
      <alignment horizontal="center"/>
    </xf>
    <xf numFmtId="0" fontId="67" fillId="72" borderId="147" xfId="48" applyFont="1" applyFill="1" applyBorder="1" applyAlignment="1">
      <alignment horizontal="center"/>
    </xf>
    <xf numFmtId="0" fontId="58" fillId="44" borderId="305" xfId="48" applyFont="1" applyFill="1" applyBorder="1" applyAlignment="1">
      <alignment horizontal="center"/>
    </xf>
    <xf numFmtId="0" fontId="58" fillId="44" borderId="277" xfId="48" applyFont="1" applyFill="1" applyBorder="1" applyAlignment="1">
      <alignment horizontal="center"/>
    </xf>
    <xf numFmtId="0" fontId="58" fillId="72" borderId="278" xfId="48" applyFont="1" applyFill="1" applyBorder="1" applyAlignment="1">
      <alignment horizontal="center"/>
    </xf>
    <xf numFmtId="0" fontId="58" fillId="72" borderId="279" xfId="48" applyFont="1" applyFill="1" applyBorder="1" applyAlignment="1">
      <alignment horizontal="center"/>
    </xf>
    <xf numFmtId="0" fontId="67" fillId="72" borderId="142" xfId="48" applyFont="1" applyFill="1" applyBorder="1" applyAlignment="1">
      <alignment horizontal="center"/>
    </xf>
    <xf numFmtId="0" fontId="58" fillId="72" borderId="147" xfId="48" applyFont="1" applyFill="1" applyBorder="1" applyAlignment="1">
      <alignment horizontal="center"/>
    </xf>
    <xf numFmtId="0" fontId="58" fillId="44" borderId="306" xfId="48" applyFont="1" applyFill="1" applyBorder="1" applyAlignment="1">
      <alignment horizontal="center"/>
    </xf>
    <xf numFmtId="0" fontId="58" fillId="44" borderId="269" xfId="48" applyFont="1" applyFill="1" applyBorder="1" applyAlignment="1">
      <alignment horizontal="center"/>
    </xf>
    <xf numFmtId="0" fontId="58" fillId="72" borderId="270" xfId="48" applyFont="1" applyFill="1" applyBorder="1" applyAlignment="1">
      <alignment horizontal="center"/>
    </xf>
    <xf numFmtId="0" fontId="58" fillId="72" borderId="271" xfId="48" applyFont="1" applyFill="1" applyBorder="1" applyAlignment="1">
      <alignment horizontal="center"/>
    </xf>
    <xf numFmtId="0" fontId="58" fillId="72" borderId="89" xfId="48" applyFont="1" applyFill="1" applyBorder="1" applyAlignment="1">
      <alignment horizontal="center"/>
    </xf>
    <xf numFmtId="0" fontId="58" fillId="72" borderId="90" xfId="48" applyFont="1" applyFill="1" applyBorder="1" applyAlignment="1">
      <alignment horizontal="center"/>
    </xf>
    <xf numFmtId="0" fontId="67" fillId="72" borderId="280" xfId="48" applyFont="1" applyFill="1" applyBorder="1" applyAlignment="1">
      <alignment horizontal="center"/>
    </xf>
    <xf numFmtId="0" fontId="58" fillId="72" borderId="142" xfId="48" applyFont="1" applyFill="1" applyBorder="1" applyAlignment="1">
      <alignment horizontal="center"/>
    </xf>
    <xf numFmtId="0" fontId="67" fillId="72" borderId="91" xfId="48" applyFont="1" applyFill="1" applyBorder="1" applyAlignment="1">
      <alignment horizontal="center"/>
    </xf>
    <xf numFmtId="0" fontId="67" fillId="72" borderId="92" xfId="48" applyFont="1" applyFill="1" applyBorder="1" applyAlignment="1">
      <alignment horizontal="center"/>
    </xf>
    <xf numFmtId="0" fontId="67" fillId="72" borderId="148" xfId="48" applyFont="1" applyFill="1" applyBorder="1" applyAlignment="1">
      <alignment horizontal="center"/>
    </xf>
    <xf numFmtId="0" fontId="58" fillId="44" borderId="310" xfId="48" applyFont="1" applyFill="1" applyBorder="1" applyAlignment="1">
      <alignment horizontal="center"/>
    </xf>
    <xf numFmtId="0" fontId="58" fillId="44" borderId="273" xfId="48" applyFont="1" applyFill="1" applyBorder="1" applyAlignment="1">
      <alignment horizontal="center"/>
    </xf>
    <xf numFmtId="0" fontId="58" fillId="72" borderId="274" xfId="48" applyFont="1" applyFill="1" applyBorder="1" applyAlignment="1">
      <alignment horizontal="center"/>
    </xf>
    <xf numFmtId="0" fontId="58" fillId="72" borderId="275" xfId="48" applyFont="1" applyFill="1" applyBorder="1" applyAlignment="1">
      <alignment horizontal="center"/>
    </xf>
    <xf numFmtId="0" fontId="67" fillId="72" borderId="143" xfId="48" applyFont="1" applyFill="1" applyBorder="1" applyAlignment="1">
      <alignment horizontal="center"/>
    </xf>
    <xf numFmtId="0" fontId="67" fillId="72" borderId="153" xfId="48" applyFont="1" applyFill="1" applyBorder="1" applyAlignment="1">
      <alignment horizontal="center"/>
    </xf>
    <xf numFmtId="0" fontId="58" fillId="44" borderId="305" xfId="48" applyFont="1" applyFill="1" applyBorder="1" applyAlignment="1" applyProtection="1">
      <alignment horizontal="center"/>
      <protection locked="0"/>
    </xf>
    <xf numFmtId="0" fontId="58" fillId="73" borderId="278" xfId="48" applyFont="1" applyFill="1" applyBorder="1" applyAlignment="1" applyProtection="1">
      <alignment horizontal="center"/>
      <protection locked="0"/>
    </xf>
    <xf numFmtId="0" fontId="58" fillId="73" borderId="279" xfId="48" applyFont="1" applyFill="1" applyBorder="1" applyAlignment="1" applyProtection="1">
      <alignment horizontal="center"/>
      <protection locked="0"/>
    </xf>
    <xf numFmtId="0" fontId="58" fillId="73" borderId="147" xfId="48" applyFont="1" applyFill="1" applyBorder="1" applyAlignment="1" applyProtection="1">
      <alignment horizontal="center"/>
      <protection locked="0"/>
    </xf>
    <xf numFmtId="0" fontId="58" fillId="44" borderId="306" xfId="48" applyFont="1" applyFill="1" applyBorder="1" applyAlignment="1" applyProtection="1">
      <alignment horizontal="center"/>
      <protection locked="0"/>
    </xf>
    <xf numFmtId="0" fontId="58" fillId="73" borderId="270" xfId="48" applyFont="1" applyFill="1" applyBorder="1" applyAlignment="1" applyProtection="1">
      <alignment horizontal="center"/>
      <protection locked="0"/>
    </xf>
    <xf numFmtId="0" fontId="58" fillId="73" borderId="271" xfId="48" applyFont="1" applyFill="1" applyBorder="1" applyAlignment="1" applyProtection="1">
      <alignment horizontal="center"/>
      <protection locked="0"/>
    </xf>
    <xf numFmtId="0" fontId="58" fillId="73" borderId="89" xfId="48" applyFont="1" applyFill="1" applyBorder="1" applyAlignment="1" applyProtection="1">
      <alignment horizontal="center"/>
      <protection locked="0"/>
    </xf>
    <xf numFmtId="0" fontId="58" fillId="73" borderId="90" xfId="48" applyFont="1" applyFill="1" applyBorder="1" applyAlignment="1" applyProtection="1">
      <alignment horizontal="center"/>
      <protection locked="0"/>
    </xf>
    <xf numFmtId="0" fontId="58" fillId="73" borderId="142" xfId="48" applyFont="1" applyFill="1" applyBorder="1" applyAlignment="1" applyProtection="1">
      <alignment horizontal="center"/>
      <protection locked="0"/>
    </xf>
    <xf numFmtId="0" fontId="58" fillId="44" borderId="310" xfId="48" applyFont="1" applyFill="1" applyBorder="1" applyAlignment="1" applyProtection="1">
      <alignment horizontal="center"/>
      <protection locked="0"/>
    </xf>
    <xf numFmtId="0" fontId="58" fillId="73" borderId="274" xfId="48" applyFont="1" applyFill="1" applyBorder="1" applyAlignment="1" applyProtection="1">
      <alignment horizontal="center"/>
      <protection locked="0"/>
    </xf>
    <xf numFmtId="0" fontId="58" fillId="73" borderId="275" xfId="48" applyFont="1" applyFill="1" applyBorder="1" applyAlignment="1" applyProtection="1">
      <alignment horizontal="center"/>
      <protection locked="0"/>
    </xf>
    <xf numFmtId="0" fontId="58" fillId="74" borderId="278" xfId="48" applyFont="1" applyFill="1" applyBorder="1" applyAlignment="1" applyProtection="1">
      <alignment horizontal="center"/>
      <protection locked="0"/>
    </xf>
    <xf numFmtId="0" fontId="58" fillId="74" borderId="279" xfId="48" applyFont="1" applyFill="1" applyBorder="1" applyAlignment="1" applyProtection="1">
      <alignment horizontal="center"/>
      <protection locked="0"/>
    </xf>
    <xf numFmtId="0" fontId="58" fillId="74" borderId="147" xfId="48" applyFont="1" applyFill="1" applyBorder="1" applyAlignment="1" applyProtection="1">
      <alignment horizontal="center"/>
      <protection locked="0"/>
    </xf>
    <xf numFmtId="0" fontId="58" fillId="74" borderId="270" xfId="48" applyFont="1" applyFill="1" applyBorder="1" applyAlignment="1" applyProtection="1">
      <alignment horizontal="center"/>
      <protection locked="0"/>
    </xf>
    <xf numFmtId="0" fontId="58" fillId="74" borderId="271" xfId="48" applyFont="1" applyFill="1" applyBorder="1" applyAlignment="1" applyProtection="1">
      <alignment horizontal="center"/>
      <protection locked="0"/>
    </xf>
    <xf numFmtId="0" fontId="58" fillId="74" borderId="89" xfId="48" applyFont="1" applyFill="1" applyBorder="1" applyAlignment="1" applyProtection="1">
      <alignment horizontal="center"/>
      <protection locked="0"/>
    </xf>
    <xf numFmtId="0" fontId="58" fillId="74" borderId="90" xfId="48" applyFont="1" applyFill="1" applyBorder="1" applyAlignment="1" applyProtection="1">
      <alignment horizontal="center"/>
      <protection locked="0"/>
    </xf>
    <xf numFmtId="0" fontId="58" fillId="74" borderId="142" xfId="48" applyFont="1" applyFill="1" applyBorder="1" applyAlignment="1" applyProtection="1">
      <alignment horizontal="center"/>
      <protection locked="0"/>
    </xf>
    <xf numFmtId="0" fontId="58" fillId="74" borderId="274" xfId="48" applyFont="1" applyFill="1" applyBorder="1" applyAlignment="1" applyProtection="1">
      <alignment horizontal="center"/>
      <protection locked="0"/>
    </xf>
    <xf numFmtId="0" fontId="58" fillId="74" borderId="275" xfId="48" applyFont="1" applyFill="1" applyBorder="1" applyAlignment="1" applyProtection="1">
      <alignment horizontal="center"/>
      <protection locked="0"/>
    </xf>
    <xf numFmtId="0" fontId="63" fillId="69" borderId="154" xfId="48" applyFont="1" applyFill="1" applyBorder="1" applyAlignment="1" applyProtection="1">
      <alignment horizontal="center"/>
      <protection locked="0"/>
    </xf>
    <xf numFmtId="0" fontId="5" fillId="69" borderId="209" xfId="48" applyFill="1" applyBorder="1" applyAlignment="1" applyProtection="1">
      <alignment horizontal="center"/>
      <protection locked="0"/>
    </xf>
    <xf numFmtId="0" fontId="5" fillId="70" borderId="209" xfId="48" applyFill="1" applyBorder="1" applyAlignment="1" applyProtection="1">
      <alignment horizontal="center"/>
      <protection locked="0"/>
    </xf>
    <xf numFmtId="0" fontId="65" fillId="71" borderId="209" xfId="48" applyFont="1" applyFill="1" applyBorder="1" applyAlignment="1" applyProtection="1">
      <alignment horizontal="center"/>
      <protection locked="0"/>
    </xf>
    <xf numFmtId="0" fontId="5" fillId="71" borderId="209" xfId="48" applyFill="1" applyBorder="1" applyAlignment="1" applyProtection="1">
      <alignment horizontal="center"/>
      <protection locked="0"/>
    </xf>
    <xf numFmtId="0" fontId="58" fillId="69" borderId="278" xfId="48" applyFont="1" applyFill="1" applyBorder="1" applyAlignment="1" applyProtection="1">
      <alignment horizontal="center"/>
      <protection locked="0"/>
    </xf>
    <xf numFmtId="0" fontId="58" fillId="69" borderId="279" xfId="48" applyFont="1" applyFill="1" applyBorder="1" applyAlignment="1" applyProtection="1">
      <alignment horizontal="center"/>
      <protection locked="0"/>
    </xf>
    <xf numFmtId="0" fontId="58" fillId="72" borderId="278" xfId="48" applyFont="1" applyFill="1" applyBorder="1" applyAlignment="1" applyProtection="1">
      <alignment horizontal="center"/>
      <protection locked="0"/>
    </xf>
    <xf numFmtId="0" fontId="58" fillId="72" borderId="279" xfId="48" applyFont="1" applyFill="1" applyBorder="1" applyAlignment="1" applyProtection="1">
      <alignment horizontal="center"/>
      <protection locked="0"/>
    </xf>
    <xf numFmtId="0" fontId="58" fillId="72" borderId="147" xfId="48" applyFont="1" applyFill="1" applyBorder="1" applyAlignment="1" applyProtection="1">
      <alignment horizontal="center"/>
      <protection locked="0"/>
    </xf>
    <xf numFmtId="0" fontId="58" fillId="72" borderId="270" xfId="48" applyFont="1" applyFill="1" applyBorder="1" applyAlignment="1" applyProtection="1">
      <alignment horizontal="center"/>
      <protection locked="0"/>
    </xf>
    <xf numFmtId="0" fontId="58" fillId="72" borderId="271" xfId="48" applyFont="1" applyFill="1" applyBorder="1" applyAlignment="1" applyProtection="1">
      <alignment horizontal="center"/>
      <protection locked="0"/>
    </xf>
    <xf numFmtId="0" fontId="58" fillId="72" borderId="89" xfId="48" applyFont="1" applyFill="1" applyBorder="1" applyAlignment="1" applyProtection="1">
      <alignment horizontal="center"/>
      <protection locked="0"/>
    </xf>
    <xf numFmtId="0" fontId="58" fillId="72" borderId="90" xfId="48" applyFont="1" applyFill="1" applyBorder="1" applyAlignment="1" applyProtection="1">
      <alignment horizontal="center"/>
      <protection locked="0"/>
    </xf>
    <xf numFmtId="0" fontId="58" fillId="72" borderId="142" xfId="48" applyFont="1" applyFill="1" applyBorder="1" applyAlignment="1" applyProtection="1">
      <alignment horizontal="center"/>
      <protection locked="0"/>
    </xf>
    <xf numFmtId="0" fontId="58" fillId="72" borderId="274" xfId="48" applyFont="1" applyFill="1" applyBorder="1" applyAlignment="1" applyProtection="1">
      <alignment horizontal="center"/>
      <protection locked="0"/>
    </xf>
    <xf numFmtId="0" fontId="58" fillId="72" borderId="275" xfId="48" applyFont="1" applyFill="1" applyBorder="1" applyAlignment="1" applyProtection="1">
      <alignment horizontal="center"/>
      <protection locked="0"/>
    </xf>
    <xf numFmtId="0" fontId="53" fillId="59" borderId="258" xfId="48" applyFont="1" applyFill="1" applyBorder="1" applyAlignment="1" applyProtection="1">
      <alignment horizontal="center"/>
      <protection locked="0"/>
    </xf>
    <xf numFmtId="1" fontId="5" fillId="0" borderId="153" xfId="48" applyNumberFormat="1" applyBorder="1" applyAlignment="1" applyProtection="1">
      <alignment horizontal="center"/>
      <protection locked="0"/>
    </xf>
    <xf numFmtId="1" fontId="5" fillId="0" borderId="153" xfId="48" applyNumberFormat="1" applyBorder="1" applyAlignment="1">
      <alignment horizontal="center"/>
    </xf>
    <xf numFmtId="0" fontId="156" fillId="77" borderId="308" xfId="48" applyFont="1" applyFill="1" applyBorder="1" applyAlignment="1" applyProtection="1">
      <alignment horizontal="center"/>
      <protection locked="0"/>
    </xf>
    <xf numFmtId="0" fontId="5" fillId="72" borderId="278" xfId="48" applyFill="1" applyBorder="1" applyAlignment="1">
      <alignment horizontal="center"/>
    </xf>
    <xf numFmtId="0" fontId="5" fillId="72" borderId="279" xfId="48" applyFill="1" applyBorder="1" applyAlignment="1">
      <alignment horizontal="center"/>
    </xf>
    <xf numFmtId="0" fontId="5" fillId="72" borderId="280" xfId="48" applyFill="1" applyBorder="1" applyAlignment="1">
      <alignment horizontal="center"/>
    </xf>
    <xf numFmtId="0" fontId="5" fillId="72" borderId="270" xfId="48" applyFill="1" applyBorder="1" applyAlignment="1">
      <alignment horizontal="center"/>
    </xf>
    <xf numFmtId="0" fontId="5" fillId="72" borderId="271" xfId="48" applyFill="1" applyBorder="1" applyAlignment="1">
      <alignment horizontal="center"/>
    </xf>
    <xf numFmtId="0" fontId="5" fillId="72" borderId="89" xfId="48" applyFill="1" applyBorder="1" applyAlignment="1">
      <alignment horizontal="center"/>
    </xf>
    <xf numFmtId="0" fontId="5" fillId="72" borderId="90" xfId="48" applyFill="1" applyBorder="1" applyAlignment="1">
      <alignment horizontal="center"/>
    </xf>
    <xf numFmtId="0" fontId="5" fillId="72" borderId="142" xfId="48" applyFill="1" applyBorder="1" applyAlignment="1">
      <alignment horizontal="center"/>
    </xf>
    <xf numFmtId="0" fontId="5" fillId="72" borderId="147" xfId="48" applyFill="1" applyBorder="1" applyAlignment="1">
      <alignment horizontal="center"/>
    </xf>
    <xf numFmtId="0" fontId="5" fillId="72" borderId="274" xfId="48" applyFill="1" applyBorder="1" applyAlignment="1">
      <alignment horizontal="center"/>
    </xf>
    <xf numFmtId="0" fontId="5" fillId="72" borderId="275" xfId="48" applyFill="1" applyBorder="1" applyAlignment="1">
      <alignment horizontal="center"/>
    </xf>
    <xf numFmtId="0" fontId="158" fillId="64" borderId="0" xfId="48" applyFont="1" applyFill="1" applyAlignment="1">
      <alignment horizontal="center"/>
    </xf>
    <xf numFmtId="0" fontId="5" fillId="64" borderId="0" xfId="48" applyFill="1" applyAlignment="1">
      <alignment horizontal="center"/>
    </xf>
    <xf numFmtId="0" fontId="158" fillId="64" borderId="17" xfId="48" applyFont="1" applyFill="1" applyBorder="1" applyAlignment="1">
      <alignment horizontal="center"/>
    </xf>
    <xf numFmtId="0" fontId="50" fillId="55" borderId="346" xfId="48" applyFont="1" applyFill="1" applyBorder="1" applyAlignment="1" applyProtection="1">
      <alignment horizontal="center"/>
      <protection locked="0"/>
    </xf>
    <xf numFmtId="0" fontId="50" fillId="55" borderId="303" xfId="48" applyFont="1" applyFill="1" applyBorder="1" applyAlignment="1" applyProtection="1">
      <alignment horizontal="center"/>
      <protection locked="0"/>
    </xf>
    <xf numFmtId="0" fontId="5" fillId="58" borderId="18" xfId="48" applyFill="1" applyBorder="1" applyAlignment="1" applyProtection="1">
      <alignment horizontal="center"/>
      <protection locked="0"/>
    </xf>
    <xf numFmtId="0" fontId="5" fillId="58" borderId="0" xfId="48" applyFill="1" applyAlignment="1">
      <alignment horizontal="center"/>
    </xf>
    <xf numFmtId="0" fontId="5" fillId="58" borderId="0" xfId="48" applyFill="1" applyAlignment="1" applyProtection="1">
      <alignment horizontal="center"/>
      <protection locked="0"/>
    </xf>
    <xf numFmtId="0" fontId="80" fillId="58" borderId="304" xfId="48" applyFont="1" applyFill="1" applyBorder="1" applyAlignment="1" applyProtection="1">
      <alignment horizontal="center"/>
      <protection locked="0"/>
    </xf>
    <xf numFmtId="49" fontId="5" fillId="44" borderId="0" xfId="48" applyNumberFormat="1" applyFill="1"/>
    <xf numFmtId="0" fontId="47" fillId="44" borderId="29" xfId="48" applyFont="1" applyFill="1" applyBorder="1"/>
    <xf numFmtId="168" fontId="5" fillId="44" borderId="0" xfId="48" applyNumberFormat="1" applyFill="1" applyProtection="1">
      <protection locked="0"/>
    </xf>
    <xf numFmtId="1" fontId="5" fillId="44" borderId="0" xfId="48" applyNumberFormat="1" applyFill="1"/>
    <xf numFmtId="0" fontId="5" fillId="50" borderId="0" xfId="49" applyFill="1"/>
    <xf numFmtId="0" fontId="5" fillId="44" borderId="0" xfId="49" applyFill="1"/>
    <xf numFmtId="0" fontId="148" fillId="50" borderId="347" xfId="47" applyFont="1" applyFill="1" applyBorder="1" applyProtection="1"/>
    <xf numFmtId="2" fontId="5" fillId="50" borderId="0" xfId="49" applyNumberFormat="1" applyFill="1"/>
    <xf numFmtId="168" fontId="5" fillId="50" borderId="0" xfId="49" applyNumberFormat="1" applyFill="1" applyProtection="1">
      <protection locked="0"/>
    </xf>
    <xf numFmtId="0" fontId="39" fillId="44" borderId="0" xfId="49" applyFont="1" applyFill="1" applyAlignment="1">
      <alignment vertical="center"/>
    </xf>
    <xf numFmtId="0" fontId="7" fillId="49" borderId="349" xfId="49" applyFont="1" applyFill="1" applyBorder="1" applyAlignment="1">
      <alignment horizontal="center" vertical="center" wrapText="1"/>
    </xf>
    <xf numFmtId="0" fontId="7" fillId="49" borderId="350" xfId="49" applyFont="1" applyFill="1" applyBorder="1" applyAlignment="1">
      <alignment horizontal="center" vertical="center" wrapText="1"/>
    </xf>
    <xf numFmtId="2" fontId="7" fillId="49" borderId="349" xfId="49" applyNumberFormat="1" applyFont="1" applyFill="1" applyBorder="1" applyAlignment="1">
      <alignment horizontal="center" vertical="center" wrapText="1"/>
    </xf>
    <xf numFmtId="168" fontId="7" fillId="49" borderId="349" xfId="49" applyNumberFormat="1" applyFont="1" applyFill="1" applyBorder="1" applyAlignment="1" applyProtection="1">
      <alignment horizontal="center" vertical="center" wrapText="1"/>
      <protection locked="0"/>
    </xf>
    <xf numFmtId="1" fontId="7" fillId="49" borderId="348" xfId="49" applyNumberFormat="1" applyFont="1" applyFill="1" applyBorder="1" applyAlignment="1">
      <alignment horizontal="center" vertical="center" wrapText="1"/>
    </xf>
    <xf numFmtId="1" fontId="7" fillId="55" borderId="349" xfId="49" applyNumberFormat="1" applyFont="1" applyFill="1" applyBorder="1" applyAlignment="1">
      <alignment horizontal="center" vertical="center" wrapText="1"/>
    </xf>
    <xf numFmtId="1" fontId="7" fillId="48" borderId="349" xfId="49" applyNumberFormat="1" applyFont="1" applyFill="1" applyBorder="1" applyAlignment="1">
      <alignment horizontal="center" vertical="center" wrapText="1"/>
    </xf>
    <xf numFmtId="1" fontId="7" fillId="64" borderId="349" xfId="49" applyNumberFormat="1" applyFont="1" applyFill="1" applyBorder="1" applyAlignment="1">
      <alignment horizontal="center" vertical="center" wrapText="1"/>
    </xf>
    <xf numFmtId="1" fontId="7" fillId="54" borderId="349" xfId="49" applyNumberFormat="1" applyFont="1" applyFill="1" applyBorder="1" applyAlignment="1">
      <alignment horizontal="center" vertical="center" wrapText="1"/>
    </xf>
    <xf numFmtId="0" fontId="148" fillId="48" borderId="351" xfId="49" applyFont="1" applyFill="1" applyBorder="1" applyAlignment="1">
      <alignment horizontal="center" vertical="center" wrapText="1"/>
    </xf>
    <xf numFmtId="0" fontId="5" fillId="65" borderId="348" xfId="49" applyFill="1" applyBorder="1" applyAlignment="1">
      <alignment horizontal="center" vertical="center" wrapText="1"/>
    </xf>
    <xf numFmtId="0" fontId="5" fillId="44" borderId="350" xfId="49" applyFill="1" applyBorder="1"/>
    <xf numFmtId="0" fontId="5" fillId="44" borderId="352" xfId="49" applyFill="1" applyBorder="1"/>
    <xf numFmtId="0" fontId="5" fillId="44" borderId="353" xfId="49" applyFill="1" applyBorder="1"/>
    <xf numFmtId="0" fontId="5" fillId="44" borderId="348" xfId="49" applyFill="1" applyBorder="1"/>
    <xf numFmtId="2" fontId="5" fillId="44" borderId="354" xfId="49" applyNumberFormat="1" applyFill="1" applyBorder="1"/>
    <xf numFmtId="2" fontId="5" fillId="44" borderId="348" xfId="49" applyNumberFormat="1" applyFill="1" applyBorder="1"/>
    <xf numFmtId="0" fontId="5" fillId="44" borderId="18" xfId="49" applyFill="1" applyBorder="1"/>
    <xf numFmtId="0" fontId="5" fillId="44" borderId="29" xfId="49" applyFill="1" applyBorder="1"/>
    <xf numFmtId="0" fontId="5" fillId="47" borderId="348" xfId="49" applyFill="1" applyBorder="1" applyAlignment="1">
      <alignment horizontal="center" vertical="center" wrapText="1"/>
    </xf>
    <xf numFmtId="0" fontId="28" fillId="0" borderId="348" xfId="49" applyFont="1" applyBorder="1" applyAlignment="1">
      <alignment horizontal="center" vertical="center"/>
    </xf>
    <xf numFmtId="0" fontId="5" fillId="66" borderId="348" xfId="49" applyFill="1" applyBorder="1" applyAlignment="1">
      <alignment horizontal="center" vertical="center" wrapText="1"/>
    </xf>
    <xf numFmtId="0" fontId="28" fillId="0" borderId="349" xfId="49" applyFont="1" applyBorder="1" applyAlignment="1">
      <alignment horizontal="center" vertical="center"/>
    </xf>
    <xf numFmtId="0" fontId="5" fillId="67" borderId="348" xfId="49" applyFill="1" applyBorder="1" applyAlignment="1">
      <alignment horizontal="center" vertical="center" wrapText="1"/>
    </xf>
    <xf numFmtId="0" fontId="5" fillId="68" borderId="348" xfId="49" applyFill="1" applyBorder="1" applyAlignment="1">
      <alignment horizontal="center" vertical="center" wrapText="1"/>
    </xf>
    <xf numFmtId="0" fontId="5" fillId="44" borderId="24" xfId="49" applyFill="1" applyBorder="1"/>
    <xf numFmtId="0" fontId="5" fillId="44" borderId="17" xfId="49" applyFill="1" applyBorder="1"/>
    <xf numFmtId="0" fontId="5" fillId="44" borderId="68" xfId="49" applyFill="1" applyBorder="1"/>
    <xf numFmtId="0" fontId="5" fillId="44" borderId="100" xfId="49" applyFill="1" applyBorder="1" applyAlignment="1" applyProtection="1">
      <alignment horizontal="center"/>
      <protection locked="0"/>
    </xf>
    <xf numFmtId="168" fontId="5" fillId="44" borderId="73" xfId="49" applyNumberFormat="1" applyFill="1" applyBorder="1" applyAlignment="1" applyProtection="1">
      <alignment horizontal="center"/>
      <protection locked="0"/>
    </xf>
    <xf numFmtId="2" fontId="5" fillId="44" borderId="74" xfId="49" applyNumberFormat="1" applyFill="1" applyBorder="1" applyAlignment="1" applyProtection="1">
      <alignment horizontal="center"/>
      <protection locked="0"/>
    </xf>
    <xf numFmtId="2" fontId="5" fillId="44" borderId="93" xfId="49" applyNumberFormat="1" applyFill="1" applyBorder="1" applyAlignment="1" applyProtection="1">
      <alignment horizontal="center"/>
      <protection locked="0"/>
    </xf>
    <xf numFmtId="0" fontId="5" fillId="44" borderId="101" xfId="49" applyFill="1" applyBorder="1" applyAlignment="1" applyProtection="1">
      <alignment horizontal="center"/>
      <protection locked="0"/>
    </xf>
    <xf numFmtId="168" fontId="5" fillId="44" borderId="84" xfId="49" applyNumberFormat="1" applyFill="1" applyBorder="1" applyAlignment="1" applyProtection="1">
      <alignment horizontal="center"/>
      <protection locked="0"/>
    </xf>
    <xf numFmtId="2" fontId="5" fillId="44" borderId="75" xfId="49" applyNumberFormat="1" applyFill="1" applyBorder="1" applyAlignment="1" applyProtection="1">
      <alignment horizontal="center"/>
      <protection locked="0"/>
    </xf>
    <xf numFmtId="2" fontId="5" fillId="44" borderId="76" xfId="49" applyNumberFormat="1" applyFill="1" applyBorder="1" applyAlignment="1" applyProtection="1">
      <alignment horizontal="center"/>
      <protection locked="0"/>
    </xf>
    <xf numFmtId="0" fontId="5" fillId="44" borderId="99" xfId="49" applyFill="1" applyBorder="1" applyAlignment="1" applyProtection="1">
      <alignment horizontal="center"/>
      <protection locked="0"/>
    </xf>
    <xf numFmtId="2" fontId="5" fillId="0" borderId="102" xfId="49" applyNumberFormat="1" applyBorder="1" applyAlignment="1" applyProtection="1">
      <alignment horizontal="center" vertical="center"/>
      <protection locked="0"/>
    </xf>
    <xf numFmtId="168" fontId="5" fillId="44" borderId="71" xfId="49" applyNumberFormat="1" applyFill="1" applyBorder="1" applyAlignment="1" applyProtection="1">
      <alignment horizontal="center"/>
      <protection locked="0"/>
    </xf>
    <xf numFmtId="2" fontId="5" fillId="44" borderId="72" xfId="49" applyNumberFormat="1" applyFill="1" applyBorder="1" applyAlignment="1" applyProtection="1">
      <alignment horizontal="center"/>
      <protection locked="0"/>
    </xf>
    <xf numFmtId="2" fontId="5" fillId="44" borderId="94" xfId="49" applyNumberFormat="1" applyFill="1" applyBorder="1" applyAlignment="1" applyProtection="1">
      <alignment horizontal="center"/>
      <protection locked="0"/>
    </xf>
    <xf numFmtId="0" fontId="5" fillId="54" borderId="96" xfId="49" applyFill="1" applyBorder="1" applyAlignment="1" applyProtection="1">
      <alignment horizontal="center" vertical="center"/>
      <protection locked="0"/>
    </xf>
    <xf numFmtId="0" fontId="5" fillId="54" borderId="83" xfId="49" applyFill="1" applyBorder="1" applyAlignment="1" applyProtection="1">
      <alignment horizontal="center"/>
      <protection locked="0"/>
    </xf>
    <xf numFmtId="168" fontId="5" fillId="44" borderId="159" xfId="49" applyNumberFormat="1" applyFill="1" applyBorder="1" applyAlignment="1" applyProtection="1">
      <alignment horizontal="center"/>
      <protection locked="0"/>
    </xf>
    <xf numFmtId="0" fontId="5" fillId="61" borderId="83" xfId="49" applyFill="1" applyBorder="1" applyAlignment="1" applyProtection="1">
      <alignment horizontal="center"/>
      <protection locked="0"/>
    </xf>
    <xf numFmtId="0" fontId="5" fillId="61" borderId="96" xfId="49" applyFill="1" applyBorder="1" applyAlignment="1" applyProtection="1">
      <alignment horizontal="center" vertical="center"/>
      <protection locked="0"/>
    </xf>
    <xf numFmtId="0" fontId="5" fillId="44" borderId="259" xfId="49" applyFill="1" applyBorder="1"/>
    <xf numFmtId="0" fontId="5" fillId="55" borderId="96" xfId="49" applyFill="1" applyBorder="1" applyAlignment="1" applyProtection="1">
      <alignment horizontal="center" vertical="center"/>
      <protection locked="0"/>
    </xf>
    <xf numFmtId="2" fontId="5" fillId="44" borderId="0" xfId="49" applyNumberFormat="1" applyFill="1"/>
    <xf numFmtId="168" fontId="5" fillId="44" borderId="0" xfId="49" applyNumberFormat="1" applyFill="1" applyProtection="1">
      <protection locked="0"/>
    </xf>
    <xf numFmtId="0" fontId="58" fillId="48" borderId="89" xfId="48" applyFont="1" applyFill="1" applyBorder="1" applyAlignment="1" applyProtection="1">
      <alignment horizontal="center"/>
      <protection locked="0"/>
    </xf>
    <xf numFmtId="0" fontId="58" fillId="55" borderId="89" xfId="48" applyFont="1" applyFill="1" applyBorder="1" applyAlignment="1" applyProtection="1">
      <alignment horizontal="center"/>
      <protection locked="0"/>
    </xf>
    <xf numFmtId="0" fontId="148" fillId="55" borderId="351" xfId="49" applyFont="1" applyFill="1" applyBorder="1" applyAlignment="1">
      <alignment horizontal="center" vertical="center" wrapText="1"/>
    </xf>
    <xf numFmtId="0" fontId="58" fillId="58" borderId="89" xfId="48" applyFont="1" applyFill="1" applyBorder="1" applyAlignment="1" applyProtection="1">
      <alignment horizontal="center"/>
      <protection locked="0"/>
    </xf>
    <xf numFmtId="0" fontId="148" fillId="58" borderId="351" xfId="49" applyFont="1" applyFill="1" applyBorder="1" applyAlignment="1">
      <alignment horizontal="center" vertical="center" wrapText="1"/>
    </xf>
    <xf numFmtId="0" fontId="58" fillId="45" borderId="89" xfId="48" applyFont="1" applyFill="1" applyBorder="1" applyAlignment="1" applyProtection="1">
      <alignment horizontal="center"/>
      <protection locked="0"/>
    </xf>
    <xf numFmtId="0" fontId="162" fillId="45" borderId="351" xfId="49" applyFont="1" applyFill="1" applyBorder="1" applyAlignment="1">
      <alignment horizontal="center" vertical="center" wrapText="1"/>
    </xf>
    <xf numFmtId="0" fontId="162" fillId="76" borderId="351" xfId="49" applyFont="1" applyFill="1" applyBorder="1" applyAlignment="1">
      <alignment horizontal="center" vertical="center" wrapText="1"/>
    </xf>
    <xf numFmtId="0" fontId="58" fillId="76" borderId="89" xfId="48" applyFont="1" applyFill="1" applyBorder="1" applyAlignment="1" applyProtection="1">
      <alignment horizontal="center"/>
      <protection locked="0"/>
    </xf>
    <xf numFmtId="0" fontId="162" fillId="77" borderId="351" xfId="49" applyFont="1" applyFill="1" applyBorder="1" applyAlignment="1">
      <alignment horizontal="center" vertical="center" wrapText="1"/>
    </xf>
    <xf numFmtId="0" fontId="58" fillId="77" borderId="89" xfId="48" applyFont="1" applyFill="1" applyBorder="1" applyAlignment="1" applyProtection="1">
      <alignment horizontal="center"/>
      <protection locked="0"/>
    </xf>
    <xf numFmtId="0" fontId="148" fillId="54" borderId="351" xfId="49" applyFont="1" applyFill="1" applyBorder="1" applyAlignment="1">
      <alignment horizontal="center" vertical="center" wrapText="1"/>
    </xf>
    <xf numFmtId="0" fontId="58" fillId="54" borderId="89" xfId="48" applyFont="1" applyFill="1" applyBorder="1" applyAlignment="1" applyProtection="1">
      <alignment horizontal="center"/>
      <protection locked="0"/>
    </xf>
    <xf numFmtId="0" fontId="148" fillId="61" borderId="351" xfId="49" applyFont="1" applyFill="1" applyBorder="1" applyAlignment="1">
      <alignment horizontal="center" vertical="center" wrapText="1"/>
    </xf>
    <xf numFmtId="0" fontId="58" fillId="61" borderId="89" xfId="48" applyFont="1" applyFill="1" applyBorder="1" applyAlignment="1" applyProtection="1">
      <alignment horizontal="center"/>
      <protection locked="0"/>
    </xf>
    <xf numFmtId="0" fontId="57" fillId="61" borderId="89" xfId="48" applyFont="1" applyFill="1" applyBorder="1" applyAlignment="1" applyProtection="1">
      <alignment horizontal="center"/>
      <protection locked="0"/>
    </xf>
    <xf numFmtId="0" fontId="148" fillId="64" borderId="351" xfId="49" applyFont="1" applyFill="1" applyBorder="1" applyAlignment="1">
      <alignment horizontal="center" vertical="center" wrapText="1"/>
    </xf>
    <xf numFmtId="0" fontId="58" fillId="64" borderId="89" xfId="48" applyFont="1" applyFill="1" applyBorder="1" applyAlignment="1" applyProtection="1">
      <alignment horizontal="center"/>
      <protection locked="0"/>
    </xf>
    <xf numFmtId="0" fontId="59" fillId="64" borderId="89" xfId="48" applyFont="1" applyFill="1" applyBorder="1" applyAlignment="1" applyProtection="1">
      <alignment horizontal="center"/>
      <protection locked="0"/>
    </xf>
    <xf numFmtId="0" fontId="148" fillId="46" borderId="351" xfId="49" applyFont="1" applyFill="1" applyBorder="1" applyAlignment="1">
      <alignment horizontal="center" vertical="center" wrapText="1"/>
    </xf>
    <xf numFmtId="0" fontId="58" fillId="46" borderId="89" xfId="48" applyFont="1" applyFill="1" applyBorder="1" applyAlignment="1" applyProtection="1">
      <alignment horizontal="center"/>
      <protection locked="0"/>
    </xf>
    <xf numFmtId="0" fontId="148" fillId="60" borderId="351" xfId="49" applyFont="1" applyFill="1" applyBorder="1" applyAlignment="1">
      <alignment horizontal="center" vertical="center" wrapText="1"/>
    </xf>
    <xf numFmtId="0" fontId="58" fillId="60" borderId="89" xfId="48" applyFont="1" applyFill="1" applyBorder="1" applyAlignment="1" applyProtection="1">
      <alignment horizontal="center"/>
      <protection locked="0"/>
    </xf>
    <xf numFmtId="0" fontId="148" fillId="56" borderId="351" xfId="49" applyFont="1" applyFill="1" applyBorder="1" applyAlignment="1">
      <alignment horizontal="center" vertical="center" wrapText="1"/>
    </xf>
    <xf numFmtId="0" fontId="58" fillId="56" borderId="89" xfId="48" applyFont="1" applyFill="1" applyBorder="1" applyAlignment="1" applyProtection="1">
      <alignment horizontal="center"/>
      <protection locked="0"/>
    </xf>
    <xf numFmtId="49" fontId="5" fillId="50" borderId="0" xfId="49" applyNumberFormat="1" applyFill="1"/>
    <xf numFmtId="168" fontId="5" fillId="50" borderId="0" xfId="49" applyNumberFormat="1" applyFill="1"/>
    <xf numFmtId="0" fontId="14" fillId="51" borderId="349" xfId="49" applyFont="1" applyFill="1" applyBorder="1" applyAlignment="1">
      <alignment horizontal="center" vertical="center"/>
    </xf>
    <xf numFmtId="49" fontId="14" fillId="51" borderId="349" xfId="49" applyNumberFormat="1" applyFont="1" applyFill="1" applyBorder="1" applyAlignment="1">
      <alignment horizontal="center" vertical="center"/>
    </xf>
    <xf numFmtId="2" fontId="14" fillId="52" borderId="349" xfId="49" applyNumberFormat="1" applyFont="1" applyFill="1" applyBorder="1" applyAlignment="1">
      <alignment horizontal="center" vertical="center"/>
    </xf>
    <xf numFmtId="0" fontId="14" fillId="52" borderId="349" xfId="49" applyFont="1" applyFill="1" applyBorder="1" applyAlignment="1">
      <alignment horizontal="center" vertical="center"/>
    </xf>
    <xf numFmtId="168" fontId="7" fillId="46" borderId="348" xfId="49" applyNumberFormat="1" applyFont="1" applyFill="1" applyBorder="1" applyAlignment="1">
      <alignment horizontal="center" vertical="center" wrapText="1"/>
    </xf>
    <xf numFmtId="0" fontId="7" fillId="46" borderId="348" xfId="49" applyFont="1" applyFill="1" applyBorder="1" applyAlignment="1">
      <alignment horizontal="center" vertical="center" wrapText="1"/>
    </xf>
    <xf numFmtId="168" fontId="25" fillId="134" borderId="349" xfId="40" applyNumberFormat="1" applyFont="1" applyFill="1" applyBorder="1" applyAlignment="1">
      <alignment horizontal="center" vertical="center"/>
    </xf>
    <xf numFmtId="0" fontId="80" fillId="58" borderId="129" xfId="49" applyFont="1" applyFill="1" applyBorder="1" applyAlignment="1" applyProtection="1">
      <alignment horizontal="center"/>
      <protection locked="0"/>
    </xf>
    <xf numFmtId="0" fontId="5" fillId="46" borderId="348" xfId="49" applyFill="1" applyBorder="1" applyAlignment="1">
      <alignment horizontal="center"/>
    </xf>
    <xf numFmtId="49" fontId="5" fillId="48" borderId="348" xfId="49" applyNumberFormat="1" applyFill="1" applyBorder="1" applyAlignment="1">
      <alignment horizontal="center"/>
    </xf>
    <xf numFmtId="0" fontId="5" fillId="43" borderId="348" xfId="49" applyFill="1" applyBorder="1" applyAlignment="1">
      <alignment horizontal="center" vertical="top" wrapText="1"/>
    </xf>
    <xf numFmtId="0" fontId="52" fillId="48" borderId="129" xfId="49" applyFont="1" applyFill="1" applyBorder="1" applyAlignment="1" applyProtection="1">
      <alignment horizontal="center"/>
      <protection locked="0"/>
    </xf>
    <xf numFmtId="0" fontId="52" fillId="48" borderId="350" xfId="49" applyFont="1" applyFill="1" applyBorder="1" applyAlignment="1" applyProtection="1">
      <alignment horizontal="center" vertical="center"/>
      <protection locked="0"/>
    </xf>
    <xf numFmtId="0" fontId="5" fillId="48" borderId="358" xfId="49" applyFill="1" applyBorder="1" applyAlignment="1" applyProtection="1">
      <alignment horizontal="center" vertical="center"/>
      <protection locked="0"/>
    </xf>
    <xf numFmtId="0" fontId="52" fillId="48" borderId="130" xfId="49" applyFont="1" applyFill="1" applyBorder="1" applyAlignment="1" applyProtection="1">
      <alignment horizontal="center"/>
      <protection locked="0"/>
    </xf>
    <xf numFmtId="0" fontId="52" fillId="48" borderId="131" xfId="49" applyFont="1" applyFill="1" applyBorder="1" applyAlignment="1" applyProtection="1">
      <alignment horizontal="center"/>
      <protection locked="0"/>
    </xf>
    <xf numFmtId="0" fontId="5" fillId="43" borderId="348" xfId="49" applyFill="1" applyBorder="1" applyAlignment="1">
      <alignment horizontal="center"/>
    </xf>
    <xf numFmtId="2" fontId="5" fillId="43" borderId="348" xfId="49" applyNumberFormat="1" applyFill="1" applyBorder="1" applyAlignment="1">
      <alignment horizontal="center"/>
    </xf>
    <xf numFmtId="0" fontId="5" fillId="48" borderId="348" xfId="49" applyFill="1" applyBorder="1"/>
    <xf numFmtId="2" fontId="5" fillId="43" borderId="348" xfId="49" applyNumberFormat="1" applyFill="1" applyBorder="1"/>
    <xf numFmtId="0" fontId="5" fillId="43" borderId="348" xfId="49" applyFill="1" applyBorder="1"/>
    <xf numFmtId="1" fontId="5" fillId="44" borderId="72" xfId="49" applyNumberFormat="1" applyFill="1" applyBorder="1" applyAlignment="1" applyProtection="1">
      <alignment horizontal="center"/>
      <protection locked="0"/>
    </xf>
    <xf numFmtId="0" fontId="5" fillId="43" borderId="348" xfId="49" applyFill="1" applyBorder="1" applyAlignment="1" applyProtection="1">
      <alignment horizontal="center"/>
      <protection locked="0"/>
    </xf>
    <xf numFmtId="0" fontId="5" fillId="46" borderId="348" xfId="49" applyFill="1" applyBorder="1" applyAlignment="1" applyProtection="1">
      <alignment horizontal="center"/>
      <protection locked="0"/>
    </xf>
    <xf numFmtId="0" fontId="5" fillId="43" borderId="348" xfId="49" applyFill="1" applyBorder="1" applyAlignment="1">
      <alignment horizontal="center" vertical="top"/>
    </xf>
    <xf numFmtId="0" fontId="5" fillId="48" borderId="348" xfId="49" applyFill="1" applyBorder="1" applyAlignment="1">
      <alignment horizontal="center" vertical="top"/>
    </xf>
    <xf numFmtId="2" fontId="5" fillId="44" borderId="349" xfId="49" applyNumberFormat="1" applyFill="1" applyBorder="1" applyAlignment="1">
      <alignment horizontal="center" vertical="center"/>
    </xf>
    <xf numFmtId="0" fontId="80" fillId="58" borderId="132" xfId="49" applyFont="1" applyFill="1" applyBorder="1" applyAlignment="1" applyProtection="1">
      <alignment horizontal="center"/>
      <protection locked="0"/>
    </xf>
    <xf numFmtId="0" fontId="80" fillId="58" borderId="133" xfId="49" applyFont="1" applyFill="1" applyBorder="1" applyAlignment="1">
      <alignment horizontal="center"/>
    </xf>
    <xf numFmtId="0" fontId="80" fillId="58" borderId="133" xfId="49" applyFont="1" applyFill="1" applyBorder="1" applyAlignment="1" applyProtection="1">
      <alignment horizontal="center"/>
      <protection locked="0"/>
    </xf>
    <xf numFmtId="0" fontId="80" fillId="58" borderId="134" xfId="49" applyFont="1" applyFill="1" applyBorder="1" applyAlignment="1" applyProtection="1">
      <alignment horizontal="center"/>
      <protection locked="0"/>
    </xf>
    <xf numFmtId="0" fontId="52" fillId="48" borderId="132" xfId="49" applyFont="1" applyFill="1" applyBorder="1" applyAlignment="1" applyProtection="1">
      <alignment horizontal="center"/>
      <protection locked="0"/>
    </xf>
    <xf numFmtId="0" fontId="52" fillId="48" borderId="18" xfId="49" applyFont="1" applyFill="1" applyBorder="1" applyAlignment="1" applyProtection="1">
      <alignment horizontal="center" vertical="center"/>
      <protection locked="0"/>
    </xf>
    <xf numFmtId="0" fontId="5" fillId="48" borderId="125" xfId="49" applyFill="1" applyBorder="1" applyAlignment="1" applyProtection="1">
      <alignment horizontal="center" vertical="center"/>
      <protection locked="0"/>
    </xf>
    <xf numFmtId="0" fontId="52" fillId="48" borderId="133" xfId="49" applyFont="1" applyFill="1" applyBorder="1" applyAlignment="1" applyProtection="1">
      <alignment horizontal="center"/>
      <protection locked="0"/>
    </xf>
    <xf numFmtId="0" fontId="52" fillId="48" borderId="134" xfId="49" applyFont="1" applyFill="1" applyBorder="1" applyAlignment="1" applyProtection="1">
      <alignment horizontal="center"/>
      <protection locked="0"/>
    </xf>
    <xf numFmtId="1" fontId="5" fillId="44" borderId="74" xfId="49" applyNumberFormat="1" applyFill="1" applyBorder="1" applyAlignment="1" applyProtection="1">
      <alignment horizontal="center"/>
      <protection locked="0"/>
    </xf>
    <xf numFmtId="1" fontId="5" fillId="44" borderId="93" xfId="49" applyNumberFormat="1" applyFill="1" applyBorder="1" applyAlignment="1" applyProtection="1">
      <alignment horizontal="center"/>
      <protection locked="0"/>
    </xf>
    <xf numFmtId="2" fontId="5" fillId="44" borderId="26" xfId="49" applyNumberFormat="1" applyFill="1" applyBorder="1" applyAlignment="1">
      <alignment horizontal="center" vertical="center"/>
    </xf>
    <xf numFmtId="0" fontId="5" fillId="48" borderId="18" xfId="49" applyFill="1" applyBorder="1" applyAlignment="1" applyProtection="1">
      <alignment horizontal="center" vertical="center"/>
      <protection locked="0"/>
    </xf>
    <xf numFmtId="1" fontId="5" fillId="44" borderId="158" xfId="49" applyNumberFormat="1" applyFill="1" applyBorder="1" applyAlignment="1" applyProtection="1">
      <alignment horizontal="center"/>
      <protection locked="0"/>
    </xf>
    <xf numFmtId="1" fontId="5" fillId="44" borderId="249" xfId="49" applyNumberFormat="1" applyFill="1" applyBorder="1" applyAlignment="1" applyProtection="1">
      <alignment horizontal="center"/>
      <protection locked="0"/>
    </xf>
    <xf numFmtId="0" fontId="52" fillId="48" borderId="11" xfId="49" applyFont="1" applyFill="1" applyBorder="1" applyAlignment="1" applyProtection="1">
      <alignment horizontal="center" vertical="center"/>
      <protection locked="0"/>
    </xf>
    <xf numFmtId="168" fontId="5" fillId="44" borderId="361" xfId="49" applyNumberFormat="1" applyFill="1" applyBorder="1" applyAlignment="1" applyProtection="1">
      <alignment horizontal="center"/>
      <protection locked="0"/>
    </xf>
    <xf numFmtId="1" fontId="5" fillId="44" borderId="362" xfId="49" applyNumberFormat="1" applyFill="1" applyBorder="1" applyAlignment="1" applyProtection="1">
      <alignment horizontal="center"/>
      <protection locked="0"/>
    </xf>
    <xf numFmtId="1" fontId="5" fillId="44" borderId="363" xfId="49" applyNumberFormat="1" applyFill="1" applyBorder="1" applyAlignment="1" applyProtection="1">
      <alignment horizontal="center"/>
      <protection locked="0"/>
    </xf>
    <xf numFmtId="0" fontId="52" fillId="48" borderId="349" xfId="49" applyFont="1" applyFill="1" applyBorder="1" applyAlignment="1" applyProtection="1">
      <alignment horizontal="center" vertical="center"/>
      <protection locked="0"/>
    </xf>
    <xf numFmtId="0" fontId="52" fillId="48" borderId="26" xfId="49" applyFont="1" applyFill="1" applyBorder="1" applyAlignment="1" applyProtection="1">
      <alignment horizontal="center" vertical="center"/>
      <protection locked="0"/>
    </xf>
    <xf numFmtId="0" fontId="58" fillId="48" borderId="26" xfId="49" applyFont="1" applyFill="1" applyBorder="1" applyAlignment="1" applyProtection="1">
      <alignment horizontal="center" vertical="center"/>
      <protection locked="0"/>
    </xf>
    <xf numFmtId="0" fontId="5" fillId="58" borderId="133" xfId="49" applyFill="1" applyBorder="1" applyAlignment="1">
      <alignment horizontal="center"/>
    </xf>
    <xf numFmtId="0" fontId="5" fillId="58" borderId="133" xfId="49" applyFill="1" applyBorder="1" applyAlignment="1" applyProtection="1">
      <alignment horizontal="center"/>
      <protection locked="0"/>
    </xf>
    <xf numFmtId="0" fontId="5" fillId="58" borderId="134" xfId="49" applyFill="1" applyBorder="1" applyAlignment="1" applyProtection="1">
      <alignment horizontal="center"/>
      <protection locked="0"/>
    </xf>
    <xf numFmtId="0" fontId="5" fillId="48" borderId="132" xfId="49" applyFill="1" applyBorder="1" applyAlignment="1" applyProtection="1">
      <alignment horizontal="center"/>
      <protection locked="0"/>
    </xf>
    <xf numFmtId="0" fontId="5" fillId="48" borderId="133" xfId="49" applyFill="1" applyBorder="1" applyAlignment="1" applyProtection="1">
      <alignment horizontal="center"/>
      <protection locked="0"/>
    </xf>
    <xf numFmtId="0" fontId="5" fillId="48" borderId="134" xfId="49" applyFill="1" applyBorder="1" applyAlignment="1" applyProtection="1">
      <alignment horizontal="center"/>
      <protection locked="0"/>
    </xf>
    <xf numFmtId="0" fontId="5" fillId="48" borderId="26" xfId="49" applyFill="1" applyBorder="1" applyAlignment="1" applyProtection="1">
      <alignment horizontal="center" vertical="center"/>
      <protection locked="0"/>
    </xf>
    <xf numFmtId="0" fontId="52" fillId="48" borderId="26" xfId="49" applyFont="1" applyFill="1" applyBorder="1" applyAlignment="1" applyProtection="1">
      <alignment horizontal="center"/>
      <protection locked="0"/>
    </xf>
    <xf numFmtId="0" fontId="52" fillId="48" borderId="11" xfId="49" applyFont="1" applyFill="1" applyBorder="1" applyAlignment="1" applyProtection="1">
      <alignment horizontal="center"/>
      <protection locked="0"/>
    </xf>
    <xf numFmtId="0" fontId="52" fillId="48" borderId="136" xfId="49" applyFont="1" applyFill="1" applyBorder="1" applyAlignment="1" applyProtection="1">
      <alignment horizontal="center"/>
      <protection locked="0"/>
    </xf>
    <xf numFmtId="0" fontId="52" fillId="48" borderId="137" xfId="49" applyFont="1" applyFill="1" applyBorder="1" applyAlignment="1" applyProtection="1">
      <alignment horizontal="center"/>
      <protection locked="0"/>
    </xf>
    <xf numFmtId="2" fontId="5" fillId="44" borderId="11" xfId="49" applyNumberFormat="1" applyFill="1" applyBorder="1" applyAlignment="1">
      <alignment horizontal="center" vertical="center"/>
    </xf>
    <xf numFmtId="0" fontId="50" fillId="55" borderId="132" xfId="49" applyFont="1" applyFill="1" applyBorder="1" applyAlignment="1" applyProtection="1">
      <alignment horizontal="center"/>
      <protection locked="0"/>
    </xf>
    <xf numFmtId="0" fontId="50" fillId="55" borderId="133" xfId="49" applyFont="1" applyFill="1" applyBorder="1" applyAlignment="1" applyProtection="1">
      <alignment horizontal="center"/>
      <protection locked="0"/>
    </xf>
    <xf numFmtId="0" fontId="50" fillId="55" borderId="134" xfId="49" applyFont="1" applyFill="1" applyBorder="1" applyAlignment="1" applyProtection="1">
      <alignment horizontal="center"/>
      <protection locked="0"/>
    </xf>
    <xf numFmtId="0" fontId="5" fillId="55" borderId="132" xfId="49" applyFill="1" applyBorder="1" applyAlignment="1" applyProtection="1">
      <alignment horizontal="center"/>
      <protection locked="0"/>
    </xf>
    <xf numFmtId="0" fontId="5" fillId="55" borderId="133" xfId="49" applyFill="1" applyBorder="1" applyAlignment="1" applyProtection="1">
      <alignment horizontal="center"/>
      <protection locked="0"/>
    </xf>
    <xf numFmtId="0" fontId="5" fillId="55" borderId="134" xfId="49" applyFill="1" applyBorder="1" applyAlignment="1" applyProtection="1">
      <alignment horizontal="center"/>
      <protection locked="0"/>
    </xf>
    <xf numFmtId="0" fontId="50" fillId="55" borderId="11" xfId="49" applyFont="1" applyFill="1" applyBorder="1" applyAlignment="1" applyProtection="1">
      <alignment horizontal="center"/>
      <protection locked="0"/>
    </xf>
    <xf numFmtId="0" fontId="50" fillId="55" borderId="26" xfId="49" applyFont="1" applyFill="1" applyBorder="1" applyAlignment="1" applyProtection="1">
      <alignment horizontal="center"/>
      <protection locked="0"/>
    </xf>
    <xf numFmtId="49" fontId="5" fillId="44" borderId="0" xfId="49" applyNumberFormat="1" applyFill="1"/>
    <xf numFmtId="168" fontId="5" fillId="44" borderId="0" xfId="49" applyNumberFormat="1" applyFill="1"/>
    <xf numFmtId="0" fontId="163" fillId="58" borderId="136" xfId="49" applyFont="1" applyFill="1" applyBorder="1" applyAlignment="1">
      <alignment horizontal="center"/>
    </xf>
    <xf numFmtId="0" fontId="163" fillId="58" borderId="136" xfId="49" applyFont="1" applyFill="1" applyBorder="1" applyAlignment="1" applyProtection="1">
      <alignment horizontal="center"/>
      <protection locked="0"/>
    </xf>
    <xf numFmtId="0" fontId="163" fillId="58" borderId="137" xfId="49" applyFont="1" applyFill="1" applyBorder="1" applyAlignment="1" applyProtection="1">
      <alignment horizontal="center"/>
      <protection locked="0"/>
    </xf>
    <xf numFmtId="0" fontId="5" fillId="60" borderId="348" xfId="49" applyFill="1" applyBorder="1" applyAlignment="1">
      <alignment horizontal="center" vertical="top" wrapText="1"/>
    </xf>
    <xf numFmtId="0" fontId="5" fillId="60" borderId="348" xfId="49" applyFill="1" applyBorder="1" applyAlignment="1">
      <alignment horizontal="center"/>
    </xf>
    <xf numFmtId="49" fontId="5" fillId="60" borderId="348" xfId="49" applyNumberFormat="1" applyFill="1" applyBorder="1" applyAlignment="1">
      <alignment horizontal="center"/>
    </xf>
    <xf numFmtId="49" fontId="5" fillId="60" borderId="348" xfId="49" applyNumberFormat="1" applyFill="1" applyBorder="1" applyAlignment="1">
      <alignment horizontal="center" vertical="top" wrapText="1"/>
    </xf>
    <xf numFmtId="0" fontId="5" fillId="60" borderId="358" xfId="49" applyFill="1" applyBorder="1" applyAlignment="1" applyProtection="1">
      <alignment horizontal="center" vertical="center"/>
      <protection locked="0"/>
    </xf>
    <xf numFmtId="0" fontId="5" fillId="60" borderId="125" xfId="49" applyFill="1" applyBorder="1" applyAlignment="1" applyProtection="1">
      <alignment horizontal="center" vertical="center"/>
      <protection locked="0"/>
    </xf>
    <xf numFmtId="0" fontId="5" fillId="60" borderId="18" xfId="49" applyFill="1" applyBorder="1" applyAlignment="1" applyProtection="1">
      <alignment horizontal="center" vertical="center"/>
      <protection locked="0"/>
    </xf>
    <xf numFmtId="0" fontId="5" fillId="60" borderId="359" xfId="49" applyFill="1" applyBorder="1" applyAlignment="1" applyProtection="1">
      <alignment horizontal="center" vertical="center"/>
      <protection locked="0"/>
    </xf>
    <xf numFmtId="0" fontId="5" fillId="60" borderId="360" xfId="49" applyFill="1" applyBorder="1" applyAlignment="1" applyProtection="1">
      <alignment horizontal="center" vertical="center"/>
      <protection locked="0"/>
    </xf>
    <xf numFmtId="0" fontId="58" fillId="60" borderId="26" xfId="49" applyFont="1" applyFill="1" applyBorder="1" applyAlignment="1" applyProtection="1">
      <alignment horizontal="center" vertical="center"/>
      <protection locked="0"/>
    </xf>
    <xf numFmtId="0" fontId="5" fillId="60" borderId="132" xfId="49" applyFill="1" applyBorder="1" applyAlignment="1" applyProtection="1">
      <alignment horizontal="center"/>
      <protection locked="0"/>
    </xf>
    <xf numFmtId="0" fontId="5" fillId="60" borderId="133" xfId="49" applyFill="1" applyBorder="1" applyAlignment="1">
      <alignment horizontal="center"/>
    </xf>
    <xf numFmtId="0" fontId="5" fillId="60" borderId="133" xfId="49" applyFill="1" applyBorder="1" applyAlignment="1" applyProtection="1">
      <alignment horizontal="center"/>
      <protection locked="0"/>
    </xf>
    <xf numFmtId="0" fontId="5" fillId="60" borderId="134" xfId="49" applyFill="1" applyBorder="1" applyAlignment="1" applyProtection="1">
      <alignment horizontal="center"/>
      <protection locked="0"/>
    </xf>
    <xf numFmtId="0" fontId="5" fillId="60" borderId="26" xfId="49" applyFill="1" applyBorder="1" applyAlignment="1" applyProtection="1">
      <alignment horizontal="center" vertical="center"/>
      <protection locked="0"/>
    </xf>
    <xf numFmtId="0" fontId="5" fillId="55" borderId="348" xfId="49" applyFill="1" applyBorder="1" applyAlignment="1">
      <alignment horizontal="center" vertical="top" wrapText="1"/>
    </xf>
    <xf numFmtId="0" fontId="5" fillId="55" borderId="348" xfId="49" applyFill="1" applyBorder="1" applyAlignment="1">
      <alignment horizontal="center"/>
    </xf>
    <xf numFmtId="49" fontId="5" fillId="55" borderId="348" xfId="49" applyNumberFormat="1" applyFill="1" applyBorder="1" applyAlignment="1">
      <alignment horizontal="center"/>
    </xf>
    <xf numFmtId="49" fontId="5" fillId="55" borderId="348" xfId="49" applyNumberFormat="1" applyFill="1" applyBorder="1" applyAlignment="1">
      <alignment horizontal="center" vertical="top" wrapText="1"/>
    </xf>
    <xf numFmtId="0" fontId="5" fillId="55" borderId="358" xfId="49" applyFill="1" applyBorder="1" applyAlignment="1" applyProtection="1">
      <alignment horizontal="center" vertical="center"/>
      <protection locked="0"/>
    </xf>
    <xf numFmtId="0" fontId="5" fillId="55" borderId="125" xfId="49" applyFill="1" applyBorder="1" applyAlignment="1" applyProtection="1">
      <alignment horizontal="center" vertical="center"/>
      <protection locked="0"/>
    </xf>
    <xf numFmtId="0" fontId="5" fillId="55" borderId="18" xfId="49" applyFill="1" applyBorder="1" applyAlignment="1" applyProtection="1">
      <alignment horizontal="center" vertical="center"/>
      <protection locked="0"/>
    </xf>
    <xf numFmtId="0" fontId="5" fillId="55" borderId="359" xfId="49" applyFill="1" applyBorder="1" applyAlignment="1" applyProtection="1">
      <alignment horizontal="center" vertical="center"/>
      <protection locked="0"/>
    </xf>
    <xf numFmtId="0" fontId="5" fillId="55" borderId="360" xfId="49" applyFill="1" applyBorder="1" applyAlignment="1" applyProtection="1">
      <alignment horizontal="center" vertical="center"/>
      <protection locked="0"/>
    </xf>
    <xf numFmtId="0" fontId="58" fillId="55" borderId="26" xfId="49" applyFont="1" applyFill="1" applyBorder="1" applyAlignment="1" applyProtection="1">
      <alignment horizontal="center" vertical="center"/>
      <protection locked="0"/>
    </xf>
    <xf numFmtId="0" fontId="5" fillId="55" borderId="133" xfId="49" applyFill="1" applyBorder="1" applyAlignment="1">
      <alignment horizontal="center"/>
    </xf>
    <xf numFmtId="0" fontId="5" fillId="55" borderId="26" xfId="49" applyFill="1" applyBorder="1" applyAlignment="1" applyProtection="1">
      <alignment horizontal="center" vertical="center"/>
      <protection locked="0"/>
    </xf>
    <xf numFmtId="0" fontId="5" fillId="48" borderId="348" xfId="49" applyFill="1" applyBorder="1" applyAlignment="1">
      <alignment horizontal="center" vertical="top" wrapText="1"/>
    </xf>
    <xf numFmtId="0" fontId="5" fillId="48" borderId="348" xfId="49" applyFill="1" applyBorder="1" applyAlignment="1">
      <alignment horizontal="center"/>
    </xf>
    <xf numFmtId="49" fontId="5" fillId="48" borderId="348" xfId="49" applyNumberFormat="1" applyFill="1" applyBorder="1" applyAlignment="1">
      <alignment horizontal="center" vertical="top" wrapText="1"/>
    </xf>
    <xf numFmtId="0" fontId="5" fillId="48" borderId="359" xfId="49" applyFill="1" applyBorder="1" applyAlignment="1" applyProtection="1">
      <alignment horizontal="center" vertical="center"/>
      <protection locked="0"/>
    </xf>
    <xf numFmtId="0" fontId="5" fillId="48" borderId="360" xfId="49" applyFill="1" applyBorder="1" applyAlignment="1" applyProtection="1">
      <alignment horizontal="center" vertical="center"/>
      <protection locked="0"/>
    </xf>
    <xf numFmtId="0" fontId="5" fillId="48" borderId="133" xfId="49" applyFill="1" applyBorder="1" applyAlignment="1">
      <alignment horizontal="center"/>
    </xf>
    <xf numFmtId="0" fontId="5" fillId="55" borderId="348" xfId="49" applyFill="1" applyBorder="1"/>
    <xf numFmtId="0" fontId="5" fillId="58" borderId="11" xfId="49" applyFill="1" applyBorder="1" applyAlignment="1">
      <alignment horizontal="center" vertical="top" wrapText="1"/>
    </xf>
    <xf numFmtId="0" fontId="5" fillId="58" borderId="11" xfId="49" applyFill="1" applyBorder="1" applyAlignment="1">
      <alignment horizontal="center"/>
    </xf>
    <xf numFmtId="49" fontId="5" fillId="58" borderId="11" xfId="49" applyNumberFormat="1" applyFill="1" applyBorder="1" applyAlignment="1">
      <alignment horizontal="center"/>
    </xf>
    <xf numFmtId="49" fontId="5" fillId="58" borderId="11" xfId="49" applyNumberFormat="1" applyFill="1" applyBorder="1" applyAlignment="1">
      <alignment horizontal="center" vertical="top" wrapText="1"/>
    </xf>
    <xf numFmtId="0" fontId="5" fillId="58" borderId="358" xfId="49" applyFill="1" applyBorder="1" applyAlignment="1" applyProtection="1">
      <alignment horizontal="center" vertical="center"/>
      <protection locked="0"/>
    </xf>
    <xf numFmtId="0" fontId="5" fillId="58" borderId="348" xfId="49" applyFill="1" applyBorder="1" applyAlignment="1">
      <alignment horizontal="center" vertical="top" wrapText="1"/>
    </xf>
    <xf numFmtId="0" fontId="5" fillId="58" borderId="348" xfId="49" applyFill="1" applyBorder="1" applyAlignment="1">
      <alignment horizontal="center"/>
    </xf>
    <xf numFmtId="49" fontId="5" fillId="58" borderId="348" xfId="49" applyNumberFormat="1" applyFill="1" applyBorder="1" applyAlignment="1">
      <alignment horizontal="center"/>
    </xf>
    <xf numFmtId="49" fontId="5" fillId="58" borderId="348" xfId="49" applyNumberFormat="1" applyFill="1" applyBorder="1" applyAlignment="1">
      <alignment horizontal="center" vertical="top" wrapText="1"/>
    </xf>
    <xf numFmtId="0" fontId="5" fillId="58" borderId="125" xfId="49" applyFill="1" applyBorder="1" applyAlignment="1" applyProtection="1">
      <alignment horizontal="center" vertical="center"/>
      <protection locked="0"/>
    </xf>
    <xf numFmtId="0" fontId="5" fillId="58" borderId="18" xfId="49" applyFill="1" applyBorder="1" applyAlignment="1" applyProtection="1">
      <alignment horizontal="center" vertical="center"/>
      <protection locked="0"/>
    </xf>
    <xf numFmtId="0" fontId="5" fillId="58" borderId="359" xfId="49" applyFill="1" applyBorder="1" applyAlignment="1" applyProtection="1">
      <alignment horizontal="center" vertical="center"/>
      <protection locked="0"/>
    </xf>
    <xf numFmtId="0" fontId="5" fillId="58" borderId="360" xfId="49" applyFill="1" applyBorder="1" applyAlignment="1" applyProtection="1">
      <alignment horizontal="center" vertical="center"/>
      <protection locked="0"/>
    </xf>
    <xf numFmtId="0" fontId="58" fillId="58" borderId="26" xfId="49" applyFont="1" applyFill="1" applyBorder="1" applyAlignment="1" applyProtection="1">
      <alignment horizontal="center" vertical="center"/>
      <protection locked="0"/>
    </xf>
    <xf numFmtId="0" fontId="5" fillId="58" borderId="26" xfId="49" applyFill="1" applyBorder="1" applyAlignment="1" applyProtection="1">
      <alignment horizontal="center" vertical="center"/>
      <protection locked="0"/>
    </xf>
    <xf numFmtId="0" fontId="164" fillId="58" borderId="348" xfId="49" applyFont="1" applyFill="1" applyBorder="1" applyAlignment="1">
      <alignment horizontal="center" vertical="top" wrapText="1"/>
    </xf>
    <xf numFmtId="0" fontId="164" fillId="58" borderId="348" xfId="49" applyFont="1" applyFill="1" applyBorder="1" applyAlignment="1">
      <alignment horizontal="center"/>
    </xf>
    <xf numFmtId="49" fontId="164" fillId="58" borderId="348" xfId="49" applyNumberFormat="1" applyFont="1" applyFill="1" applyBorder="1" applyAlignment="1">
      <alignment horizontal="center"/>
    </xf>
    <xf numFmtId="49" fontId="164" fillId="58" borderId="348" xfId="49" applyNumberFormat="1" applyFont="1" applyFill="1" applyBorder="1" applyAlignment="1">
      <alignment horizontal="center" vertical="top" wrapText="1"/>
    </xf>
    <xf numFmtId="0" fontId="52" fillId="48" borderId="348" xfId="49" applyFont="1" applyFill="1" applyBorder="1" applyAlignment="1">
      <alignment horizontal="center" vertical="top" wrapText="1"/>
    </xf>
    <xf numFmtId="0" fontId="52" fillId="48" borderId="130" xfId="49" applyFont="1" applyFill="1" applyBorder="1" applyAlignment="1">
      <alignment horizontal="center"/>
    </xf>
    <xf numFmtId="49" fontId="52" fillId="48" borderId="348" xfId="49" applyNumberFormat="1" applyFont="1" applyFill="1" applyBorder="1" applyAlignment="1">
      <alignment horizontal="center" vertical="top" wrapText="1"/>
    </xf>
    <xf numFmtId="0" fontId="52" fillId="48" borderId="133" xfId="49" applyFont="1" applyFill="1" applyBorder="1" applyAlignment="1">
      <alignment horizontal="center"/>
    </xf>
    <xf numFmtId="0" fontId="52" fillId="48" borderId="136" xfId="49" applyFont="1" applyFill="1" applyBorder="1" applyAlignment="1">
      <alignment horizontal="center"/>
    </xf>
    <xf numFmtId="0" fontId="50" fillId="55" borderId="11" xfId="49" applyFont="1" applyFill="1" applyBorder="1" applyAlignment="1">
      <alignment horizontal="center" vertical="top" wrapText="1"/>
    </xf>
    <xf numFmtId="0" fontId="50" fillId="55" borderId="133" xfId="49" applyFont="1" applyFill="1" applyBorder="1" applyAlignment="1">
      <alignment horizontal="center"/>
    </xf>
    <xf numFmtId="49" fontId="50" fillId="55" borderId="11" xfId="49" applyNumberFormat="1" applyFont="1" applyFill="1" applyBorder="1" applyAlignment="1">
      <alignment horizontal="center" vertical="top" wrapText="1"/>
    </xf>
    <xf numFmtId="0" fontId="50" fillId="55" borderId="129" xfId="49" applyFont="1" applyFill="1" applyBorder="1" applyAlignment="1" applyProtection="1">
      <alignment horizontal="center"/>
      <protection locked="0"/>
    </xf>
    <xf numFmtId="0" fontId="50" fillId="55" borderId="348" xfId="49" applyFont="1" applyFill="1" applyBorder="1" applyAlignment="1">
      <alignment horizontal="center" vertical="top" wrapText="1"/>
    </xf>
    <xf numFmtId="49" fontId="50" fillId="55" borderId="348" xfId="49" applyNumberFormat="1" applyFont="1" applyFill="1" applyBorder="1" applyAlignment="1">
      <alignment horizontal="center" vertical="top" wrapText="1"/>
    </xf>
    <xf numFmtId="0" fontId="165" fillId="55" borderId="348" xfId="49" applyFont="1" applyFill="1" applyBorder="1" applyAlignment="1">
      <alignment horizontal="center" vertical="top" wrapText="1"/>
    </xf>
    <xf numFmtId="0" fontId="165" fillId="55" borderId="136" xfId="49" applyFont="1" applyFill="1" applyBorder="1" applyAlignment="1">
      <alignment horizontal="center"/>
    </xf>
    <xf numFmtId="49" fontId="165" fillId="55" borderId="348" xfId="49" applyNumberFormat="1" applyFont="1" applyFill="1" applyBorder="1" applyAlignment="1">
      <alignment horizontal="center" vertical="top" wrapText="1"/>
    </xf>
    <xf numFmtId="0" fontId="165" fillId="55" borderId="136" xfId="49" applyFont="1" applyFill="1" applyBorder="1" applyAlignment="1" applyProtection="1">
      <alignment horizontal="center"/>
      <protection locked="0"/>
    </xf>
    <xf numFmtId="0" fontId="165" fillId="55" borderId="137" xfId="49" applyFont="1" applyFill="1" applyBorder="1" applyAlignment="1" applyProtection="1">
      <alignment horizontal="center"/>
      <protection locked="0"/>
    </xf>
    <xf numFmtId="0" fontId="50" fillId="55" borderId="350" xfId="49" applyFont="1" applyFill="1" applyBorder="1" applyAlignment="1" applyProtection="1">
      <alignment horizontal="center" vertical="center"/>
      <protection locked="0"/>
    </xf>
    <xf numFmtId="0" fontId="50" fillId="55" borderId="18" xfId="49" applyFont="1" applyFill="1" applyBorder="1" applyAlignment="1" applyProtection="1">
      <alignment horizontal="center" vertical="center"/>
      <protection locked="0"/>
    </xf>
    <xf numFmtId="0" fontId="50" fillId="55" borderId="11" xfId="49" applyFont="1" applyFill="1" applyBorder="1" applyAlignment="1" applyProtection="1">
      <alignment horizontal="center" vertical="center"/>
      <protection locked="0"/>
    </xf>
    <xf numFmtId="0" fontId="50" fillId="55" borderId="349" xfId="49" applyFont="1" applyFill="1" applyBorder="1" applyAlignment="1" applyProtection="1">
      <alignment horizontal="center" vertical="center"/>
      <protection locked="0"/>
    </xf>
    <xf numFmtId="0" fontId="50" fillId="55" borderId="26" xfId="49" applyFont="1" applyFill="1" applyBorder="1" applyAlignment="1" applyProtection="1">
      <alignment horizontal="center" vertical="center"/>
      <protection locked="0"/>
    </xf>
    <xf numFmtId="0" fontId="58" fillId="58" borderId="132" xfId="49" applyFont="1" applyFill="1" applyBorder="1" applyAlignment="1" applyProtection="1">
      <alignment horizontal="center"/>
      <protection locked="0"/>
    </xf>
    <xf numFmtId="0" fontId="80" fillId="58" borderId="26" xfId="49" applyFont="1" applyFill="1" applyBorder="1" applyAlignment="1" applyProtection="1">
      <alignment horizontal="center"/>
      <protection locked="0"/>
    </xf>
    <xf numFmtId="0" fontId="80" fillId="58" borderId="11" xfId="49" applyFont="1" applyFill="1" applyBorder="1" applyAlignment="1" applyProtection="1">
      <alignment horizontal="center"/>
      <protection locked="0"/>
    </xf>
    <xf numFmtId="0" fontId="80" fillId="58" borderId="350" xfId="49" applyFont="1" applyFill="1" applyBorder="1" applyAlignment="1" applyProtection="1">
      <alignment horizontal="center" vertical="center"/>
      <protection locked="0"/>
    </xf>
    <xf numFmtId="0" fontId="80" fillId="58" borderId="18" xfId="49" applyFont="1" applyFill="1" applyBorder="1" applyAlignment="1" applyProtection="1">
      <alignment horizontal="center" vertical="center"/>
      <protection locked="0"/>
    </xf>
    <xf numFmtId="0" fontId="80" fillId="58" borderId="11" xfId="49" applyFont="1" applyFill="1" applyBorder="1" applyAlignment="1" applyProtection="1">
      <alignment horizontal="center" vertical="center"/>
      <protection locked="0"/>
    </xf>
    <xf numFmtId="0" fontId="80" fillId="58" borderId="349" xfId="49" applyFont="1" applyFill="1" applyBorder="1" applyAlignment="1" applyProtection="1">
      <alignment horizontal="center" vertical="center"/>
      <protection locked="0"/>
    </xf>
    <xf numFmtId="0" fontId="80" fillId="58" borderId="26" xfId="49" applyFont="1" applyFill="1" applyBorder="1" applyAlignment="1" applyProtection="1">
      <alignment horizontal="center" vertical="center"/>
      <protection locked="0"/>
    </xf>
    <xf numFmtId="0" fontId="5" fillId="54" borderId="358" xfId="49" applyFill="1" applyBorder="1" applyAlignment="1" applyProtection="1">
      <alignment horizontal="center" vertical="center"/>
      <protection locked="0"/>
    </xf>
    <xf numFmtId="0" fontId="5" fillId="54" borderId="348" xfId="49" applyFill="1" applyBorder="1" applyAlignment="1">
      <alignment horizontal="center" vertical="top" wrapText="1"/>
    </xf>
    <xf numFmtId="0" fontId="5" fillId="54" borderId="348" xfId="49" applyFill="1" applyBorder="1" applyAlignment="1">
      <alignment horizontal="center"/>
    </xf>
    <xf numFmtId="49" fontId="5" fillId="54" borderId="348" xfId="49" applyNumberFormat="1" applyFill="1" applyBorder="1" applyAlignment="1">
      <alignment horizontal="center"/>
    </xf>
    <xf numFmtId="49" fontId="5" fillId="54" borderId="348" xfId="49" applyNumberFormat="1" applyFill="1" applyBorder="1" applyAlignment="1">
      <alignment horizontal="center" vertical="top" wrapText="1"/>
    </xf>
    <xf numFmtId="0" fontId="5" fillId="54" borderId="125" xfId="49" applyFill="1" applyBorder="1" applyAlignment="1" applyProtection="1">
      <alignment horizontal="center" vertical="center"/>
      <protection locked="0"/>
    </xf>
    <xf numFmtId="0" fontId="5" fillId="54" borderId="18" xfId="49" applyFill="1" applyBorder="1" applyAlignment="1" applyProtection="1">
      <alignment horizontal="center" vertical="center"/>
      <protection locked="0"/>
    </xf>
    <xf numFmtId="0" fontId="5" fillId="54" borderId="359" xfId="49" applyFill="1" applyBorder="1" applyAlignment="1" applyProtection="1">
      <alignment horizontal="center" vertical="center"/>
      <protection locked="0"/>
    </xf>
    <xf numFmtId="0" fontId="5" fillId="54" borderId="360" xfId="49" applyFill="1" applyBorder="1" applyAlignment="1" applyProtection="1">
      <alignment horizontal="center" vertical="center"/>
      <protection locked="0"/>
    </xf>
    <xf numFmtId="0" fontId="58" fillId="54" borderId="26" xfId="49" applyFont="1" applyFill="1" applyBorder="1" applyAlignment="1" applyProtection="1">
      <alignment horizontal="center" vertical="center"/>
      <protection locked="0"/>
    </xf>
    <xf numFmtId="0" fontId="5" fillId="61" borderId="358" xfId="49" applyFill="1" applyBorder="1" applyAlignment="1" applyProtection="1">
      <alignment horizontal="center" vertical="center"/>
      <protection locked="0"/>
    </xf>
    <xf numFmtId="0" fontId="5" fillId="61" borderId="348" xfId="49" applyFill="1" applyBorder="1" applyAlignment="1">
      <alignment horizontal="center" vertical="top" wrapText="1"/>
    </xf>
    <xf numFmtId="0" fontId="5" fillId="61" borderId="348" xfId="49" applyFill="1" applyBorder="1" applyAlignment="1">
      <alignment horizontal="center"/>
    </xf>
    <xf numFmtId="49" fontId="5" fillId="61" borderId="348" xfId="49" applyNumberFormat="1" applyFill="1" applyBorder="1" applyAlignment="1">
      <alignment horizontal="center"/>
    </xf>
    <xf numFmtId="49" fontId="5" fillId="61" borderId="348" xfId="49" applyNumberFormat="1" applyFill="1" applyBorder="1" applyAlignment="1">
      <alignment horizontal="center" vertical="top" wrapText="1"/>
    </xf>
    <xf numFmtId="0" fontId="5" fillId="61" borderId="125" xfId="49" applyFill="1" applyBorder="1" applyAlignment="1" applyProtection="1">
      <alignment horizontal="center" vertical="center"/>
      <protection locked="0"/>
    </xf>
    <xf numFmtId="0" fontId="5" fillId="61" borderId="18" xfId="49" applyFill="1" applyBorder="1" applyAlignment="1" applyProtection="1">
      <alignment horizontal="center" vertical="center"/>
      <protection locked="0"/>
    </xf>
    <xf numFmtId="0" fontId="5" fillId="61" borderId="359" xfId="49" applyFill="1" applyBorder="1" applyAlignment="1" applyProtection="1">
      <alignment horizontal="center" vertical="center"/>
      <protection locked="0"/>
    </xf>
    <xf numFmtId="0" fontId="5" fillId="61" borderId="360" xfId="49" applyFill="1" applyBorder="1" applyAlignment="1" applyProtection="1">
      <alignment horizontal="center" vertical="center"/>
      <protection locked="0"/>
    </xf>
    <xf numFmtId="0" fontId="58" fillId="61" borderId="26" xfId="49" applyFont="1" applyFill="1" applyBorder="1" applyAlignment="1" applyProtection="1">
      <alignment horizontal="center" vertical="center"/>
      <protection locked="0"/>
    </xf>
    <xf numFmtId="0" fontId="5" fillId="46" borderId="358" xfId="49" applyFill="1" applyBorder="1" applyAlignment="1" applyProtection="1">
      <alignment horizontal="center" vertical="center"/>
      <protection locked="0"/>
    </xf>
    <xf numFmtId="0" fontId="5" fillId="46" borderId="348" xfId="49" applyFill="1" applyBorder="1" applyAlignment="1">
      <alignment horizontal="center" vertical="top" wrapText="1"/>
    </xf>
    <xf numFmtId="49" fontId="5" fillId="46" borderId="348" xfId="49" applyNumberFormat="1" applyFill="1" applyBorder="1" applyAlignment="1">
      <alignment horizontal="center"/>
    </xf>
    <xf numFmtId="49" fontId="5" fillId="46" borderId="348" xfId="49" applyNumberFormat="1" applyFill="1" applyBorder="1" applyAlignment="1">
      <alignment horizontal="center" vertical="top" wrapText="1"/>
    </xf>
    <xf numFmtId="0" fontId="5" fillId="46" borderId="125" xfId="49" applyFill="1" applyBorder="1" applyAlignment="1" applyProtection="1">
      <alignment horizontal="center" vertical="center"/>
      <protection locked="0"/>
    </xf>
    <xf numFmtId="0" fontId="5" fillId="46" borderId="18" xfId="49" applyFill="1" applyBorder="1" applyAlignment="1" applyProtection="1">
      <alignment horizontal="center" vertical="center"/>
      <protection locked="0"/>
    </xf>
    <xf numFmtId="0" fontId="5" fillId="46" borderId="359" xfId="49" applyFill="1" applyBorder="1" applyAlignment="1" applyProtection="1">
      <alignment horizontal="center" vertical="center"/>
      <protection locked="0"/>
    </xf>
    <xf numFmtId="0" fontId="5" fillId="46" borderId="360" xfId="49" applyFill="1" applyBorder="1" applyAlignment="1" applyProtection="1">
      <alignment horizontal="center" vertical="center"/>
      <protection locked="0"/>
    </xf>
    <xf numFmtId="0" fontId="58" fillId="46" borderId="26" xfId="49" applyFont="1" applyFill="1" applyBorder="1" applyAlignment="1" applyProtection="1">
      <alignment horizontal="center" vertical="center"/>
      <protection locked="0"/>
    </xf>
    <xf numFmtId="0" fontId="5" fillId="59" borderId="358" xfId="49" applyFill="1" applyBorder="1" applyAlignment="1" applyProtection="1">
      <alignment horizontal="center" vertical="center"/>
      <protection locked="0"/>
    </xf>
    <xf numFmtId="0" fontId="5" fillId="59" borderId="348" xfId="49" applyFill="1" applyBorder="1" applyAlignment="1">
      <alignment horizontal="center" vertical="top" wrapText="1"/>
    </xf>
    <xf numFmtId="0" fontId="5" fillId="59" borderId="348" xfId="49" applyFill="1" applyBorder="1" applyAlignment="1">
      <alignment horizontal="center"/>
    </xf>
    <xf numFmtId="49" fontId="5" fillId="59" borderId="348" xfId="49" applyNumberFormat="1" applyFill="1" applyBorder="1" applyAlignment="1">
      <alignment horizontal="center"/>
    </xf>
    <xf numFmtId="49" fontId="5" fillId="59" borderId="348" xfId="49" applyNumberFormat="1" applyFill="1" applyBorder="1" applyAlignment="1">
      <alignment horizontal="center" vertical="top" wrapText="1"/>
    </xf>
    <xf numFmtId="0" fontId="5" fillId="59" borderId="125" xfId="49" applyFill="1" applyBorder="1" applyAlignment="1" applyProtection="1">
      <alignment horizontal="center" vertical="center"/>
      <protection locked="0"/>
    </xf>
    <xf numFmtId="0" fontId="5" fillId="59" borderId="18" xfId="49" applyFill="1" applyBorder="1" applyAlignment="1" applyProtection="1">
      <alignment horizontal="center" vertical="center"/>
      <protection locked="0"/>
    </xf>
    <xf numFmtId="0" fontId="5" fillId="59" borderId="359" xfId="49" applyFill="1" applyBorder="1" applyAlignment="1" applyProtection="1">
      <alignment horizontal="center" vertical="center"/>
      <protection locked="0"/>
    </xf>
    <xf numFmtId="0" fontId="5" fillId="59" borderId="360" xfId="49" applyFill="1" applyBorder="1" applyAlignment="1" applyProtection="1">
      <alignment horizontal="center" vertical="center"/>
      <protection locked="0"/>
    </xf>
    <xf numFmtId="0" fontId="58" fillId="59" borderId="26" xfId="49" applyFont="1" applyFill="1" applyBorder="1" applyAlignment="1" applyProtection="1">
      <alignment horizontal="center" vertical="center"/>
      <protection locked="0"/>
    </xf>
    <xf numFmtId="0" fontId="5" fillId="59" borderId="132" xfId="49" applyFill="1" applyBorder="1" applyAlignment="1" applyProtection="1">
      <alignment horizontal="center"/>
      <protection locked="0"/>
    </xf>
    <xf numFmtId="0" fontId="5" fillId="59" borderId="133" xfId="49" applyFill="1" applyBorder="1" applyAlignment="1">
      <alignment horizontal="center"/>
    </xf>
    <xf numFmtId="0" fontId="5" fillId="59" borderId="133" xfId="49" applyFill="1" applyBorder="1" applyAlignment="1" applyProtection="1">
      <alignment horizontal="center"/>
      <protection locked="0"/>
    </xf>
    <xf numFmtId="0" fontId="5" fillId="59" borderId="134" xfId="49" applyFill="1" applyBorder="1" applyAlignment="1" applyProtection="1">
      <alignment horizontal="center"/>
      <protection locked="0"/>
    </xf>
    <xf numFmtId="0" fontId="5" fillId="59" borderId="26" xfId="49" applyFill="1" applyBorder="1" applyAlignment="1" applyProtection="1">
      <alignment horizontal="center" vertical="center"/>
      <protection locked="0"/>
    </xf>
    <xf numFmtId="0" fontId="5" fillId="54" borderId="132" xfId="49" applyFill="1" applyBorder="1" applyAlignment="1" applyProtection="1">
      <alignment horizontal="center"/>
      <protection locked="0"/>
    </xf>
    <xf numFmtId="0" fontId="5" fillId="54" borderId="133" xfId="49" applyFill="1" applyBorder="1" applyAlignment="1">
      <alignment horizontal="center"/>
    </xf>
    <xf numFmtId="0" fontId="5" fillId="54" borderId="133" xfId="49" applyFill="1" applyBorder="1" applyAlignment="1" applyProtection="1">
      <alignment horizontal="center"/>
      <protection locked="0"/>
    </xf>
    <xf numFmtId="0" fontId="5" fillId="54" borderId="134" xfId="49" applyFill="1" applyBorder="1" applyAlignment="1" applyProtection="1">
      <alignment horizontal="center"/>
      <protection locked="0"/>
    </xf>
    <xf numFmtId="0" fontId="5" fillId="54" borderId="26" xfId="49" applyFill="1" applyBorder="1" applyAlignment="1" applyProtection="1">
      <alignment horizontal="center" vertical="center"/>
      <protection locked="0"/>
    </xf>
    <xf numFmtId="0" fontId="5" fillId="76" borderId="348" xfId="49" applyFill="1" applyBorder="1" applyAlignment="1">
      <alignment horizontal="center" vertical="top" wrapText="1"/>
    </xf>
    <xf numFmtId="0" fontId="5" fillId="76" borderId="348" xfId="49" applyFill="1" applyBorder="1" applyAlignment="1">
      <alignment horizontal="center"/>
    </xf>
    <xf numFmtId="49" fontId="5" fillId="76" borderId="348" xfId="49" applyNumberFormat="1" applyFill="1" applyBorder="1" applyAlignment="1">
      <alignment horizontal="center"/>
    </xf>
    <xf numFmtId="49" fontId="5" fillId="76" borderId="348" xfId="49" applyNumberFormat="1" applyFill="1" applyBorder="1" applyAlignment="1">
      <alignment horizontal="center" vertical="top" wrapText="1"/>
    </xf>
    <xf numFmtId="0" fontId="5" fillId="76" borderId="358" xfId="49" applyFill="1" applyBorder="1" applyAlignment="1" applyProtection="1">
      <alignment horizontal="center" vertical="center"/>
      <protection locked="0"/>
    </xf>
    <xf numFmtId="0" fontId="5" fillId="76" borderId="125" xfId="49" applyFill="1" applyBorder="1" applyAlignment="1" applyProtection="1">
      <alignment horizontal="center" vertical="center"/>
      <protection locked="0"/>
    </xf>
    <xf numFmtId="0" fontId="5" fillId="76" borderId="18" xfId="49" applyFill="1" applyBorder="1" applyAlignment="1" applyProtection="1">
      <alignment horizontal="center" vertical="center"/>
      <protection locked="0"/>
    </xf>
    <xf numFmtId="0" fontId="5" fillId="76" borderId="359" xfId="49" applyFill="1" applyBorder="1" applyAlignment="1" applyProtection="1">
      <alignment horizontal="center" vertical="center"/>
      <protection locked="0"/>
    </xf>
    <xf numFmtId="0" fontId="5" fillId="76" borderId="360" xfId="49" applyFill="1" applyBorder="1" applyAlignment="1" applyProtection="1">
      <alignment horizontal="center" vertical="center"/>
      <protection locked="0"/>
    </xf>
    <xf numFmtId="0" fontId="58" fillId="76" borderId="26" xfId="49" applyFont="1" applyFill="1" applyBorder="1" applyAlignment="1" applyProtection="1">
      <alignment horizontal="center" vertical="center"/>
      <protection locked="0"/>
    </xf>
    <xf numFmtId="0" fontId="5" fillId="76" borderId="132" xfId="49" applyFill="1" applyBorder="1" applyAlignment="1" applyProtection="1">
      <alignment horizontal="center"/>
      <protection locked="0"/>
    </xf>
    <xf numFmtId="0" fontId="5" fillId="76" borderId="133" xfId="49" applyFill="1" applyBorder="1" applyAlignment="1">
      <alignment horizontal="center"/>
    </xf>
    <xf numFmtId="0" fontId="5" fillId="76" borderId="133" xfId="49" applyFill="1" applyBorder="1" applyAlignment="1" applyProtection="1">
      <alignment horizontal="center"/>
      <protection locked="0"/>
    </xf>
    <xf numFmtId="0" fontId="5" fillId="76" borderId="134" xfId="49" applyFill="1" applyBorder="1" applyAlignment="1" applyProtection="1">
      <alignment horizontal="center"/>
      <protection locked="0"/>
    </xf>
    <xf numFmtId="0" fontId="5" fillId="76" borderId="26" xfId="49" applyFill="1" applyBorder="1" applyAlignment="1" applyProtection="1">
      <alignment horizontal="center" vertical="center"/>
      <protection locked="0"/>
    </xf>
    <xf numFmtId="0" fontId="5" fillId="77" borderId="358" xfId="49" applyFill="1" applyBorder="1" applyAlignment="1" applyProtection="1">
      <alignment horizontal="center" vertical="center"/>
      <protection locked="0"/>
    </xf>
    <xf numFmtId="0" fontId="5" fillId="77" borderId="348" xfId="49" applyFill="1" applyBorder="1" applyAlignment="1">
      <alignment horizontal="center" vertical="top" wrapText="1"/>
    </xf>
    <xf numFmtId="0" fontId="5" fillId="77" borderId="348" xfId="49" applyFill="1" applyBorder="1" applyAlignment="1">
      <alignment horizontal="center"/>
    </xf>
    <xf numFmtId="49" fontId="5" fillId="77" borderId="348" xfId="49" applyNumberFormat="1" applyFill="1" applyBorder="1" applyAlignment="1">
      <alignment horizontal="center"/>
    </xf>
    <xf numFmtId="49" fontId="5" fillId="77" borderId="348" xfId="49" applyNumberFormat="1" applyFill="1" applyBorder="1" applyAlignment="1">
      <alignment horizontal="center" vertical="top" wrapText="1"/>
    </xf>
    <xf numFmtId="0" fontId="5" fillId="77" borderId="125" xfId="49" applyFill="1" applyBorder="1" applyAlignment="1" applyProtection="1">
      <alignment horizontal="center" vertical="center"/>
      <protection locked="0"/>
    </xf>
    <xf numFmtId="0" fontId="5" fillId="77" borderId="18" xfId="49" applyFill="1" applyBorder="1" applyAlignment="1" applyProtection="1">
      <alignment horizontal="center" vertical="center"/>
      <protection locked="0"/>
    </xf>
    <xf numFmtId="0" fontId="5" fillId="77" borderId="359" xfId="49" applyFill="1" applyBorder="1" applyAlignment="1" applyProtection="1">
      <alignment horizontal="center" vertical="center"/>
      <protection locked="0"/>
    </xf>
    <xf numFmtId="0" fontId="5" fillId="77" borderId="360" xfId="49" applyFill="1" applyBorder="1" applyAlignment="1" applyProtection="1">
      <alignment horizontal="center" vertical="center"/>
      <protection locked="0"/>
    </xf>
    <xf numFmtId="0" fontId="58" fillId="77" borderId="26" xfId="49" applyFont="1" applyFill="1" applyBorder="1" applyAlignment="1" applyProtection="1">
      <alignment horizontal="center" vertical="center"/>
      <protection locked="0"/>
    </xf>
    <xf numFmtId="0" fontId="5" fillId="77" borderId="132" xfId="49" applyFill="1" applyBorder="1" applyAlignment="1" applyProtection="1">
      <alignment horizontal="center"/>
      <protection locked="0"/>
    </xf>
    <xf numFmtId="0" fontId="5" fillId="77" borderId="133" xfId="49" applyFill="1" applyBorder="1" applyAlignment="1">
      <alignment horizontal="center"/>
    </xf>
    <xf numFmtId="0" fontId="5" fillId="77" borderId="133" xfId="49" applyFill="1" applyBorder="1" applyAlignment="1" applyProtection="1">
      <alignment horizontal="center"/>
      <protection locked="0"/>
    </xf>
    <xf numFmtId="0" fontId="5" fillId="77" borderId="134" xfId="49" applyFill="1" applyBorder="1" applyAlignment="1" applyProtection="1">
      <alignment horizontal="center"/>
      <protection locked="0"/>
    </xf>
    <xf numFmtId="0" fontId="5" fillId="77" borderId="26" xfId="49" applyFill="1" applyBorder="1" applyAlignment="1" applyProtection="1">
      <alignment horizontal="center" vertical="center"/>
      <protection locked="0"/>
    </xf>
    <xf numFmtId="0" fontId="53" fillId="59" borderId="133" xfId="49" applyFont="1" applyFill="1" applyBorder="1" applyAlignment="1" applyProtection="1">
      <alignment horizontal="center"/>
      <protection locked="0"/>
    </xf>
    <xf numFmtId="0" fontId="53" fillId="59" borderId="134" xfId="49" applyFont="1" applyFill="1" applyBorder="1" applyAlignment="1" applyProtection="1">
      <alignment horizontal="center"/>
      <protection locked="0"/>
    </xf>
    <xf numFmtId="0" fontId="53" fillId="59" borderId="132" xfId="49" applyFont="1" applyFill="1" applyBorder="1" applyAlignment="1" applyProtection="1">
      <alignment horizontal="center"/>
      <protection locked="0"/>
    </xf>
    <xf numFmtId="0" fontId="53" fillId="59" borderId="11" xfId="49" applyFont="1" applyFill="1" applyBorder="1" applyAlignment="1">
      <alignment horizontal="center" vertical="top" wrapText="1"/>
    </xf>
    <xf numFmtId="0" fontId="53" fillId="59" borderId="133" xfId="49" applyFont="1" applyFill="1" applyBorder="1" applyAlignment="1">
      <alignment horizontal="center"/>
    </xf>
    <xf numFmtId="49" fontId="53" fillId="59" borderId="11" xfId="49" applyNumberFormat="1" applyFont="1" applyFill="1" applyBorder="1" applyAlignment="1">
      <alignment horizontal="center" vertical="top" wrapText="1"/>
    </xf>
    <xf numFmtId="0" fontId="53" fillId="59" borderId="348" xfId="49" applyFont="1" applyFill="1" applyBorder="1" applyAlignment="1">
      <alignment horizontal="center" vertical="top" wrapText="1"/>
    </xf>
    <xf numFmtId="49" fontId="53" fillId="59" borderId="348" xfId="49" applyNumberFormat="1" applyFont="1" applyFill="1" applyBorder="1" applyAlignment="1">
      <alignment horizontal="center" vertical="top" wrapText="1"/>
    </xf>
    <xf numFmtId="0" fontId="53" fillId="59" borderId="350" xfId="49" applyFont="1" applyFill="1" applyBorder="1" applyAlignment="1" applyProtection="1">
      <alignment horizontal="center" vertical="center"/>
      <protection locked="0"/>
    </xf>
    <xf numFmtId="0" fontId="53" fillId="59" borderId="18" xfId="49" applyFont="1" applyFill="1" applyBorder="1" applyAlignment="1" applyProtection="1">
      <alignment horizontal="center" vertical="center"/>
      <protection locked="0"/>
    </xf>
    <xf numFmtId="0" fontId="53" fillId="59" borderId="11" xfId="49" applyFont="1" applyFill="1" applyBorder="1" applyAlignment="1" applyProtection="1">
      <alignment horizontal="center" vertical="center"/>
      <protection locked="0"/>
    </xf>
    <xf numFmtId="0" fontId="53" fillId="59" borderId="349" xfId="49" applyFont="1" applyFill="1" applyBorder="1" applyAlignment="1" applyProtection="1">
      <alignment horizontal="center" vertical="center"/>
      <protection locked="0"/>
    </xf>
    <xf numFmtId="0" fontId="53" fillId="59" borderId="26" xfId="49" applyFont="1" applyFill="1" applyBorder="1" applyAlignment="1" applyProtection="1">
      <alignment horizontal="center" vertical="center"/>
      <protection locked="0"/>
    </xf>
    <xf numFmtId="0" fontId="53" fillId="59" borderId="136" xfId="49" applyFont="1" applyFill="1" applyBorder="1" applyAlignment="1">
      <alignment horizontal="center"/>
    </xf>
    <xf numFmtId="0" fontId="53" fillId="59" borderId="136" xfId="49" applyFont="1" applyFill="1" applyBorder="1" applyAlignment="1" applyProtection="1">
      <alignment horizontal="center"/>
      <protection locked="0"/>
    </xf>
    <xf numFmtId="0" fontId="53" fillId="59" borderId="137" xfId="49" applyFont="1" applyFill="1" applyBorder="1" applyAlignment="1" applyProtection="1">
      <alignment horizontal="center"/>
      <protection locked="0"/>
    </xf>
    <xf numFmtId="0" fontId="53" fillId="59" borderId="11" xfId="49" applyFont="1" applyFill="1" applyBorder="1" applyAlignment="1" applyProtection="1">
      <alignment horizontal="center"/>
      <protection locked="0"/>
    </xf>
    <xf numFmtId="0" fontId="82" fillId="76" borderId="132" xfId="49" applyFont="1" applyFill="1" applyBorder="1" applyAlignment="1" applyProtection="1">
      <alignment horizontal="center"/>
      <protection locked="0"/>
    </xf>
    <xf numFmtId="0" fontId="82" fillId="76" borderId="11" xfId="49" applyFont="1" applyFill="1" applyBorder="1" applyAlignment="1">
      <alignment horizontal="center" vertical="top" wrapText="1"/>
    </xf>
    <xf numFmtId="0" fontId="82" fillId="76" borderId="133" xfId="49" applyFont="1" applyFill="1" applyBorder="1" applyAlignment="1">
      <alignment horizontal="center"/>
    </xf>
    <xf numFmtId="49" fontId="82" fillId="76" borderId="11" xfId="49" applyNumberFormat="1" applyFont="1" applyFill="1" applyBorder="1" applyAlignment="1">
      <alignment horizontal="center" vertical="top" wrapText="1"/>
    </xf>
    <xf numFmtId="0" fontId="82" fillId="76" borderId="133" xfId="49" applyFont="1" applyFill="1" applyBorder="1" applyAlignment="1" applyProtection="1">
      <alignment horizontal="center"/>
      <protection locked="0"/>
    </xf>
    <xf numFmtId="0" fontId="82" fillId="76" borderId="134" xfId="49" applyFont="1" applyFill="1" applyBorder="1" applyAlignment="1" applyProtection="1">
      <alignment horizontal="center"/>
      <protection locked="0"/>
    </xf>
    <xf numFmtId="0" fontId="82" fillId="76" borderId="348" xfId="49" applyFont="1" applyFill="1" applyBorder="1" applyAlignment="1">
      <alignment horizontal="center" vertical="top" wrapText="1"/>
    </xf>
    <xf numFmtId="49" fontId="82" fillId="76" borderId="348" xfId="49" applyNumberFormat="1" applyFont="1" applyFill="1" applyBorder="1" applyAlignment="1">
      <alignment horizontal="center" vertical="top" wrapText="1"/>
    </xf>
    <xf numFmtId="0" fontId="82" fillId="76" borderId="136" xfId="49" applyFont="1" applyFill="1" applyBorder="1" applyAlignment="1">
      <alignment horizontal="center"/>
    </xf>
    <xf numFmtId="0" fontId="82" fillId="76" borderId="136" xfId="49" applyFont="1" applyFill="1" applyBorder="1" applyAlignment="1" applyProtection="1">
      <alignment horizontal="center"/>
      <protection locked="0"/>
    </xf>
    <xf numFmtId="0" fontId="82" fillId="76" borderId="137" xfId="49" applyFont="1" applyFill="1" applyBorder="1" applyAlignment="1" applyProtection="1">
      <alignment horizontal="center"/>
      <protection locked="0"/>
    </xf>
    <xf numFmtId="0" fontId="82" fillId="76" borderId="11" xfId="49" applyFont="1" applyFill="1" applyBorder="1" applyAlignment="1" applyProtection="1">
      <alignment horizontal="center"/>
      <protection locked="0"/>
    </xf>
    <xf numFmtId="0" fontId="82" fillId="76" borderId="18" xfId="49" applyFont="1" applyFill="1" applyBorder="1" applyAlignment="1" applyProtection="1">
      <alignment horizontal="center" vertical="center"/>
      <protection locked="0"/>
    </xf>
    <xf numFmtId="0" fontId="82" fillId="76" borderId="349" xfId="49" applyFont="1" applyFill="1" applyBorder="1" applyAlignment="1" applyProtection="1">
      <alignment horizontal="center" vertical="center"/>
      <protection locked="0"/>
    </xf>
    <xf numFmtId="0" fontId="82" fillId="76" borderId="26" xfId="49" applyFont="1" applyFill="1" applyBorder="1" applyAlignment="1" applyProtection="1">
      <alignment horizontal="center" vertical="center"/>
      <protection locked="0"/>
    </xf>
    <xf numFmtId="0" fontId="82" fillId="76" borderId="11" xfId="49" applyFont="1" applyFill="1" applyBorder="1" applyAlignment="1" applyProtection="1">
      <alignment horizontal="center" vertical="center"/>
      <protection locked="0"/>
    </xf>
    <xf numFmtId="0" fontId="82" fillId="76" borderId="350" xfId="49" applyFont="1" applyFill="1" applyBorder="1" applyAlignment="1" applyProtection="1">
      <alignment horizontal="center" vertical="center"/>
      <protection locked="0"/>
    </xf>
    <xf numFmtId="0" fontId="81" fillId="77" borderId="132" xfId="49" applyFont="1" applyFill="1" applyBorder="1" applyAlignment="1" applyProtection="1">
      <alignment horizontal="center"/>
      <protection locked="0"/>
    </xf>
    <xf numFmtId="0" fontId="81" fillId="77" borderId="11" xfId="49" applyFont="1" applyFill="1" applyBorder="1" applyAlignment="1">
      <alignment horizontal="center" vertical="top" wrapText="1"/>
    </xf>
    <xf numFmtId="0" fontId="81" fillId="77" borderId="133" xfId="49" applyFont="1" applyFill="1" applyBorder="1" applyAlignment="1">
      <alignment horizontal="center"/>
    </xf>
    <xf numFmtId="49" fontId="81" fillId="77" borderId="11" xfId="49" applyNumberFormat="1" applyFont="1" applyFill="1" applyBorder="1" applyAlignment="1">
      <alignment horizontal="center" vertical="top" wrapText="1"/>
    </xf>
    <xf numFmtId="0" fontId="81" fillId="77" borderId="133" xfId="49" applyFont="1" applyFill="1" applyBorder="1" applyAlignment="1" applyProtection="1">
      <alignment horizontal="center"/>
      <protection locked="0"/>
    </xf>
    <xf numFmtId="0" fontId="81" fillId="77" borderId="134" xfId="49" applyFont="1" applyFill="1" applyBorder="1" applyAlignment="1" applyProtection="1">
      <alignment horizontal="center"/>
      <protection locked="0"/>
    </xf>
    <xf numFmtId="0" fontId="81" fillId="77" borderId="348" xfId="49" applyFont="1" applyFill="1" applyBorder="1" applyAlignment="1">
      <alignment horizontal="center" vertical="top" wrapText="1"/>
    </xf>
    <xf numFmtId="49" fontId="81" fillId="77" borderId="348" xfId="49" applyNumberFormat="1" applyFont="1" applyFill="1" applyBorder="1" applyAlignment="1">
      <alignment horizontal="center" vertical="top" wrapText="1"/>
    </xf>
    <xf numFmtId="0" fontId="81" fillId="77" borderId="136" xfId="49" applyFont="1" applyFill="1" applyBorder="1" applyAlignment="1" applyProtection="1">
      <alignment horizontal="center"/>
      <protection locked="0"/>
    </xf>
    <xf numFmtId="0" fontId="81" fillId="77" borderId="137" xfId="49" applyFont="1" applyFill="1" applyBorder="1" applyAlignment="1" applyProtection="1">
      <alignment horizontal="center"/>
      <protection locked="0"/>
    </xf>
    <xf numFmtId="0" fontId="81" fillId="77" borderId="18" xfId="49" applyFont="1" applyFill="1" applyBorder="1" applyAlignment="1" applyProtection="1">
      <alignment horizontal="center" vertical="center"/>
      <protection locked="0"/>
    </xf>
    <xf numFmtId="0" fontId="81" fillId="77" borderId="11" xfId="49" applyFont="1" applyFill="1" applyBorder="1" applyAlignment="1" applyProtection="1">
      <alignment horizontal="center" vertical="center"/>
      <protection locked="0"/>
    </xf>
    <xf numFmtId="0" fontId="81" fillId="77" borderId="349" xfId="49" applyFont="1" applyFill="1" applyBorder="1" applyAlignment="1" applyProtection="1">
      <alignment horizontal="center" vertical="center"/>
      <protection locked="0"/>
    </xf>
    <xf numFmtId="0" fontId="81" fillId="77" borderId="26" xfId="49" applyFont="1" applyFill="1" applyBorder="1" applyAlignment="1" applyProtection="1">
      <alignment horizontal="center" vertical="center"/>
      <protection locked="0"/>
    </xf>
    <xf numFmtId="0" fontId="81" fillId="77" borderId="350" xfId="49" applyFont="1" applyFill="1" applyBorder="1" applyAlignment="1" applyProtection="1">
      <alignment horizontal="center" vertical="center"/>
      <protection locked="0"/>
    </xf>
    <xf numFmtId="0" fontId="81" fillId="77" borderId="136" xfId="49" applyFont="1" applyFill="1" applyBorder="1" applyAlignment="1">
      <alignment horizontal="center"/>
    </xf>
    <xf numFmtId="0" fontId="81" fillId="77" borderId="11" xfId="49" applyFont="1" applyFill="1" applyBorder="1" applyAlignment="1" applyProtection="1">
      <alignment horizontal="center"/>
      <protection locked="0"/>
    </xf>
    <xf numFmtId="0" fontId="5" fillId="61" borderId="132" xfId="49" applyFill="1" applyBorder="1" applyAlignment="1" applyProtection="1">
      <alignment horizontal="center"/>
      <protection locked="0"/>
    </xf>
    <xf numFmtId="0" fontId="5" fillId="61" borderId="133" xfId="49" applyFill="1" applyBorder="1" applyAlignment="1">
      <alignment horizontal="center"/>
    </xf>
    <xf numFmtId="0" fontId="5" fillId="61" borderId="133" xfId="49" applyFill="1" applyBorder="1" applyAlignment="1" applyProtection="1">
      <alignment horizontal="center"/>
      <protection locked="0"/>
    </xf>
    <xf numFmtId="0" fontId="5" fillId="61" borderId="134" xfId="49" applyFill="1" applyBorder="1" applyAlignment="1" applyProtection="1">
      <alignment horizontal="center"/>
      <protection locked="0"/>
    </xf>
    <xf numFmtId="0" fontId="5" fillId="61" borderId="26" xfId="49" applyFill="1" applyBorder="1" applyAlignment="1" applyProtection="1">
      <alignment horizontal="center" vertical="center"/>
      <protection locked="0"/>
    </xf>
    <xf numFmtId="0" fontId="5" fillId="64" borderId="348" xfId="49" applyFill="1" applyBorder="1" applyAlignment="1">
      <alignment horizontal="center" vertical="top" wrapText="1"/>
    </xf>
    <xf numFmtId="0" fontId="5" fillId="64" borderId="348" xfId="49" applyFill="1" applyBorder="1" applyAlignment="1">
      <alignment horizontal="center"/>
    </xf>
    <xf numFmtId="49" fontId="5" fillId="64" borderId="348" xfId="49" applyNumberFormat="1" applyFill="1" applyBorder="1" applyAlignment="1">
      <alignment horizontal="center"/>
    </xf>
    <xf numFmtId="49" fontId="5" fillId="64" borderId="348" xfId="49" applyNumberFormat="1" applyFill="1" applyBorder="1" applyAlignment="1">
      <alignment horizontal="center" vertical="top" wrapText="1"/>
    </xf>
    <xf numFmtId="0" fontId="5" fillId="64" borderId="358" xfId="49" applyFill="1" applyBorder="1" applyAlignment="1" applyProtection="1">
      <alignment horizontal="center" vertical="center"/>
      <protection locked="0"/>
    </xf>
    <xf numFmtId="0" fontId="5" fillId="64" borderId="125" xfId="49" applyFill="1" applyBorder="1" applyAlignment="1" applyProtection="1">
      <alignment horizontal="center" vertical="center"/>
      <protection locked="0"/>
    </xf>
    <xf numFmtId="0" fontId="5" fillId="64" borderId="18" xfId="49" applyFill="1" applyBorder="1" applyAlignment="1" applyProtection="1">
      <alignment horizontal="center" vertical="center"/>
      <protection locked="0"/>
    </xf>
    <xf numFmtId="0" fontId="5" fillId="64" borderId="359" xfId="49" applyFill="1" applyBorder="1" applyAlignment="1" applyProtection="1">
      <alignment horizontal="center" vertical="center"/>
      <protection locked="0"/>
    </xf>
    <xf numFmtId="0" fontId="5" fillId="64" borderId="360" xfId="49" applyFill="1" applyBorder="1" applyAlignment="1" applyProtection="1">
      <alignment horizontal="center" vertical="center"/>
      <protection locked="0"/>
    </xf>
    <xf numFmtId="0" fontId="58" fillId="64" borderId="26" xfId="49" applyFont="1" applyFill="1" applyBorder="1" applyAlignment="1" applyProtection="1">
      <alignment horizontal="center" vertical="center"/>
      <protection locked="0"/>
    </xf>
    <xf numFmtId="0" fontId="5" fillId="64" borderId="132" xfId="49" applyFill="1" applyBorder="1" applyAlignment="1" applyProtection="1">
      <alignment horizontal="center"/>
      <protection locked="0"/>
    </xf>
    <xf numFmtId="0" fontId="5" fillId="64" borderId="133" xfId="49" applyFill="1" applyBorder="1" applyAlignment="1">
      <alignment horizontal="center"/>
    </xf>
    <xf numFmtId="0" fontId="5" fillId="64" borderId="133" xfId="49" applyFill="1" applyBorder="1" applyAlignment="1" applyProtection="1">
      <alignment horizontal="center"/>
      <protection locked="0"/>
    </xf>
    <xf numFmtId="0" fontId="5" fillId="64" borderId="134" xfId="49" applyFill="1" applyBorder="1" applyAlignment="1" applyProtection="1">
      <alignment horizontal="center"/>
      <protection locked="0"/>
    </xf>
    <xf numFmtId="0" fontId="5" fillId="64" borderId="26" xfId="49" applyFill="1" applyBorder="1" applyAlignment="1" applyProtection="1">
      <alignment horizontal="center" vertical="center"/>
      <protection locked="0"/>
    </xf>
    <xf numFmtId="0" fontId="56" fillId="54" borderId="132" xfId="49" applyFont="1" applyFill="1" applyBorder="1" applyAlignment="1" applyProtection="1">
      <alignment horizontal="center"/>
      <protection locked="0"/>
    </xf>
    <xf numFmtId="0" fontId="56" fillId="54" borderId="11" xfId="49" applyFont="1" applyFill="1" applyBorder="1" applyAlignment="1">
      <alignment horizontal="center" vertical="top" wrapText="1"/>
    </xf>
    <xf numFmtId="0" fontId="56" fillId="54" borderId="133" xfId="49" applyFont="1" applyFill="1" applyBorder="1" applyAlignment="1">
      <alignment horizontal="center"/>
    </xf>
    <xf numFmtId="49" fontId="56" fillId="54" borderId="11" xfId="49" applyNumberFormat="1" applyFont="1" applyFill="1" applyBorder="1" applyAlignment="1">
      <alignment horizontal="center" vertical="top" wrapText="1"/>
    </xf>
    <xf numFmtId="0" fontId="56" fillId="54" borderId="133" xfId="49" applyFont="1" applyFill="1" applyBorder="1" applyAlignment="1" applyProtection="1">
      <alignment horizontal="center"/>
      <protection locked="0"/>
    </xf>
    <xf numFmtId="0" fontId="56" fillId="54" borderId="134" xfId="49" applyFont="1" applyFill="1" applyBorder="1" applyAlignment="1" applyProtection="1">
      <alignment horizontal="center"/>
      <protection locked="0"/>
    </xf>
    <xf numFmtId="0" fontId="56" fillId="54" borderId="348" xfId="49" applyFont="1" applyFill="1" applyBorder="1" applyAlignment="1">
      <alignment horizontal="center" vertical="top" wrapText="1"/>
    </xf>
    <xf numFmtId="49" fontId="56" fillId="54" borderId="348" xfId="49" applyNumberFormat="1" applyFont="1" applyFill="1" applyBorder="1" applyAlignment="1">
      <alignment horizontal="center" vertical="top" wrapText="1"/>
    </xf>
    <xf numFmtId="0" fontId="56" fillId="54" borderId="26" xfId="49" applyFont="1" applyFill="1" applyBorder="1" applyAlignment="1" applyProtection="1">
      <alignment horizontal="center"/>
      <protection locked="0"/>
    </xf>
    <xf numFmtId="0" fontId="56" fillId="54" borderId="135" xfId="49" applyFont="1" applyFill="1" applyBorder="1" applyAlignment="1" applyProtection="1">
      <alignment horizontal="center"/>
      <protection locked="0"/>
    </xf>
    <xf numFmtId="0" fontId="56" fillId="54" borderId="136" xfId="49" applyFont="1" applyFill="1" applyBorder="1" applyAlignment="1">
      <alignment horizontal="center"/>
    </xf>
    <xf numFmtId="0" fontId="56" fillId="54" borderId="136" xfId="49" applyFont="1" applyFill="1" applyBorder="1" applyAlignment="1" applyProtection="1">
      <alignment horizontal="center"/>
      <protection locked="0"/>
    </xf>
    <xf numFmtId="0" fontId="56" fillId="54" borderId="137" xfId="49" applyFont="1" applyFill="1" applyBorder="1" applyAlignment="1" applyProtection="1">
      <alignment horizontal="center"/>
      <protection locked="0"/>
    </xf>
    <xf numFmtId="0" fontId="56" fillId="54" borderId="350" xfId="49" applyFont="1" applyFill="1" applyBorder="1" applyAlignment="1" applyProtection="1">
      <alignment horizontal="center" vertical="center"/>
      <protection locked="0"/>
    </xf>
    <xf numFmtId="0" fontId="56" fillId="54" borderId="18" xfId="49" applyFont="1" applyFill="1" applyBorder="1" applyAlignment="1" applyProtection="1">
      <alignment horizontal="center" vertical="center"/>
      <protection locked="0"/>
    </xf>
    <xf numFmtId="0" fontId="57" fillId="61" borderId="132" xfId="49" applyFont="1" applyFill="1" applyBorder="1" applyAlignment="1" applyProtection="1">
      <alignment horizontal="center"/>
      <protection locked="0"/>
    </xf>
    <xf numFmtId="0" fontId="57" fillId="61" borderId="11" xfId="49" applyFont="1" applyFill="1" applyBorder="1" applyAlignment="1">
      <alignment horizontal="center" vertical="top" wrapText="1"/>
    </xf>
    <xf numFmtId="0" fontId="57" fillId="61" borderId="133" xfId="49" applyFont="1" applyFill="1" applyBorder="1" applyAlignment="1">
      <alignment horizontal="center"/>
    </xf>
    <xf numFmtId="49" fontId="57" fillId="61" borderId="11" xfId="49" applyNumberFormat="1" applyFont="1" applyFill="1" applyBorder="1" applyAlignment="1">
      <alignment horizontal="center" vertical="top" wrapText="1"/>
    </xf>
    <xf numFmtId="0" fontId="57" fillId="61" borderId="133" xfId="49" applyFont="1" applyFill="1" applyBorder="1" applyAlignment="1" applyProtection="1">
      <alignment horizontal="center"/>
      <protection locked="0"/>
    </xf>
    <xf numFmtId="0" fontId="57" fillId="61" borderId="134" xfId="49" applyFont="1" applyFill="1" applyBorder="1" applyAlignment="1" applyProtection="1">
      <alignment horizontal="center"/>
      <protection locked="0"/>
    </xf>
    <xf numFmtId="0" fontId="57" fillId="61" borderId="348" xfId="49" applyFont="1" applyFill="1" applyBorder="1" applyAlignment="1">
      <alignment horizontal="center" vertical="top" wrapText="1"/>
    </xf>
    <xf numFmtId="49" fontId="57" fillId="61" borderId="348" xfId="49" applyNumberFormat="1" applyFont="1" applyFill="1" applyBorder="1" applyAlignment="1">
      <alignment horizontal="center" vertical="top" wrapText="1"/>
    </xf>
    <xf numFmtId="0" fontId="57" fillId="61" borderId="26" xfId="49" applyFont="1" applyFill="1" applyBorder="1" applyAlignment="1" applyProtection="1">
      <alignment horizontal="center"/>
      <protection locked="0"/>
    </xf>
    <xf numFmtId="0" fontId="57" fillId="61" borderId="135" xfId="49" applyFont="1" applyFill="1" applyBorder="1" applyAlignment="1" applyProtection="1">
      <alignment horizontal="center"/>
      <protection locked="0"/>
    </xf>
    <xf numFmtId="0" fontId="57" fillId="61" borderId="136" xfId="49" applyFont="1" applyFill="1" applyBorder="1" applyAlignment="1">
      <alignment horizontal="center"/>
    </xf>
    <xf numFmtId="0" fontId="57" fillId="61" borderId="136" xfId="49" applyFont="1" applyFill="1" applyBorder="1" applyAlignment="1" applyProtection="1">
      <alignment horizontal="center"/>
      <protection locked="0"/>
    </xf>
    <xf numFmtId="0" fontId="57" fillId="61" borderId="137" xfId="49" applyFont="1" applyFill="1" applyBorder="1" applyAlignment="1" applyProtection="1">
      <alignment horizontal="center"/>
      <protection locked="0"/>
    </xf>
    <xf numFmtId="0" fontId="57" fillId="61" borderId="18" xfId="49" applyFont="1" applyFill="1" applyBorder="1" applyAlignment="1" applyProtection="1">
      <alignment horizontal="center" vertical="center"/>
      <protection locked="0"/>
    </xf>
    <xf numFmtId="0" fontId="57" fillId="61" borderId="349" xfId="49" applyFont="1" applyFill="1" applyBorder="1" applyAlignment="1" applyProtection="1">
      <alignment horizontal="center" vertical="center"/>
      <protection locked="0"/>
    </xf>
    <xf numFmtId="0" fontId="57" fillId="61" borderId="26" xfId="49" applyFont="1" applyFill="1" applyBorder="1" applyAlignment="1" applyProtection="1">
      <alignment horizontal="center" vertical="center"/>
      <protection locked="0"/>
    </xf>
    <xf numFmtId="0" fontId="57" fillId="61" borderId="350" xfId="49" applyFont="1" applyFill="1" applyBorder="1" applyAlignment="1" applyProtection="1">
      <alignment horizontal="center" vertical="center"/>
      <protection locked="0"/>
    </xf>
    <xf numFmtId="0" fontId="57" fillId="61" borderId="11" xfId="49" applyFont="1" applyFill="1" applyBorder="1" applyAlignment="1" applyProtection="1">
      <alignment horizontal="center" vertical="center"/>
      <protection locked="0"/>
    </xf>
    <xf numFmtId="0" fontId="56" fillId="54" borderId="11" xfId="49" applyFont="1" applyFill="1" applyBorder="1" applyAlignment="1" applyProtection="1">
      <alignment horizontal="center" vertical="center"/>
      <protection locked="0"/>
    </xf>
    <xf numFmtId="0" fontId="56" fillId="54" borderId="349" xfId="49" applyFont="1" applyFill="1" applyBorder="1" applyAlignment="1" applyProtection="1">
      <alignment horizontal="center" vertical="center"/>
      <protection locked="0"/>
    </xf>
    <xf numFmtId="0" fontId="56" fillId="54" borderId="26" xfId="49" applyFont="1" applyFill="1" applyBorder="1" applyAlignment="1" applyProtection="1">
      <alignment horizontal="center" vertical="center"/>
      <protection locked="0"/>
    </xf>
    <xf numFmtId="0" fontId="59" fillId="64" borderId="132" xfId="49" applyFont="1" applyFill="1" applyBorder="1" applyAlignment="1" applyProtection="1">
      <alignment horizontal="center"/>
      <protection locked="0"/>
    </xf>
    <xf numFmtId="0" fontId="59" fillId="64" borderId="11" xfId="49" applyFont="1" applyFill="1" applyBorder="1" applyAlignment="1">
      <alignment horizontal="center" vertical="top" wrapText="1"/>
    </xf>
    <xf numFmtId="0" fontId="59" fillId="64" borderId="133" xfId="49" applyFont="1" applyFill="1" applyBorder="1" applyAlignment="1">
      <alignment horizontal="center"/>
    </xf>
    <xf numFmtId="49" fontId="59" fillId="64" borderId="11" xfId="49" applyNumberFormat="1" applyFont="1" applyFill="1" applyBorder="1" applyAlignment="1">
      <alignment horizontal="center" vertical="top" wrapText="1"/>
    </xf>
    <xf numFmtId="0" fontId="59" fillId="64" borderId="133" xfId="49" applyFont="1" applyFill="1" applyBorder="1" applyAlignment="1" applyProtection="1">
      <alignment horizontal="center"/>
      <protection locked="0"/>
    </xf>
    <xf numFmtId="0" fontId="59" fillId="64" borderId="134" xfId="49" applyFont="1" applyFill="1" applyBorder="1" applyAlignment="1" applyProtection="1">
      <alignment horizontal="center"/>
      <protection locked="0"/>
    </xf>
    <xf numFmtId="0" fontId="59" fillId="64" borderId="348" xfId="49" applyFont="1" applyFill="1" applyBorder="1" applyAlignment="1">
      <alignment horizontal="center" vertical="top" wrapText="1"/>
    </xf>
    <xf numFmtId="49" fontId="59" fillId="64" borderId="348" xfId="49" applyNumberFormat="1" applyFont="1" applyFill="1" applyBorder="1" applyAlignment="1">
      <alignment horizontal="center" vertical="top" wrapText="1"/>
    </xf>
    <xf numFmtId="0" fontId="59" fillId="64" borderId="26" xfId="49" applyFont="1" applyFill="1" applyBorder="1" applyAlignment="1" applyProtection="1">
      <alignment horizontal="center"/>
      <protection locked="0"/>
    </xf>
    <xf numFmtId="0" fontId="59" fillId="64" borderId="135" xfId="49" applyFont="1" applyFill="1" applyBorder="1" applyAlignment="1" applyProtection="1">
      <alignment horizontal="center"/>
      <protection locked="0"/>
    </xf>
    <xf numFmtId="0" fontId="59" fillId="64" borderId="136" xfId="49" applyFont="1" applyFill="1" applyBorder="1" applyAlignment="1" applyProtection="1">
      <alignment horizontal="center"/>
      <protection locked="0"/>
    </xf>
    <xf numFmtId="0" fontId="59" fillId="64" borderId="137" xfId="49" applyFont="1" applyFill="1" applyBorder="1" applyAlignment="1" applyProtection="1">
      <alignment horizontal="center"/>
      <protection locked="0"/>
    </xf>
    <xf numFmtId="0" fontId="59" fillId="64" borderId="350" xfId="49" applyFont="1" applyFill="1" applyBorder="1" applyAlignment="1" applyProtection="1">
      <alignment horizontal="center" vertical="center"/>
      <protection locked="0"/>
    </xf>
    <xf numFmtId="0" fontId="59" fillId="64" borderId="18" xfId="49" applyFont="1" applyFill="1" applyBorder="1" applyAlignment="1" applyProtection="1">
      <alignment horizontal="center" vertical="center"/>
      <protection locked="0"/>
    </xf>
    <xf numFmtId="0" fontId="59" fillId="64" borderId="11" xfId="49" applyFont="1" applyFill="1" applyBorder="1" applyAlignment="1" applyProtection="1">
      <alignment horizontal="center" vertical="center"/>
      <protection locked="0"/>
    </xf>
    <xf numFmtId="0" fontId="59" fillId="64" borderId="349" xfId="49" applyFont="1" applyFill="1" applyBorder="1" applyAlignment="1" applyProtection="1">
      <alignment horizontal="center" vertical="center"/>
      <protection locked="0"/>
    </xf>
    <xf numFmtId="0" fontId="59" fillId="64" borderId="26" xfId="49" applyFont="1" applyFill="1" applyBorder="1" applyAlignment="1" applyProtection="1">
      <alignment horizontal="center" vertical="center"/>
      <protection locked="0"/>
    </xf>
    <xf numFmtId="0" fontId="59" fillId="64" borderId="136" xfId="49" applyFont="1" applyFill="1" applyBorder="1" applyAlignment="1">
      <alignment horizontal="center"/>
    </xf>
    <xf numFmtId="0" fontId="5" fillId="46" borderId="132" xfId="49" applyFill="1" applyBorder="1" applyAlignment="1" applyProtection="1">
      <alignment horizontal="center"/>
      <protection locked="0"/>
    </xf>
    <xf numFmtId="0" fontId="5" fillId="46" borderId="133" xfId="49" applyFill="1" applyBorder="1" applyAlignment="1">
      <alignment horizontal="center"/>
    </xf>
    <xf numFmtId="0" fontId="5" fillId="46" borderId="133" xfId="49" applyFill="1" applyBorder="1" applyAlignment="1" applyProtection="1">
      <alignment horizontal="center"/>
      <protection locked="0"/>
    </xf>
    <xf numFmtId="0" fontId="5" fillId="46" borderId="134" xfId="49" applyFill="1" applyBorder="1" applyAlignment="1" applyProtection="1">
      <alignment horizontal="center"/>
      <protection locked="0"/>
    </xf>
    <xf numFmtId="0" fontId="5" fillId="46" borderId="26" xfId="49" applyFill="1" applyBorder="1" applyAlignment="1" applyProtection="1">
      <alignment horizontal="center" vertical="center"/>
      <protection locked="0"/>
    </xf>
    <xf numFmtId="0" fontId="60" fillId="46" borderId="132" xfId="49" applyFont="1" applyFill="1" applyBorder="1" applyAlignment="1" applyProtection="1">
      <alignment horizontal="center"/>
      <protection locked="0"/>
    </xf>
    <xf numFmtId="0" fontId="60" fillId="46" borderId="11" xfId="49" applyFont="1" applyFill="1" applyBorder="1" applyAlignment="1">
      <alignment horizontal="center" vertical="top" wrapText="1"/>
    </xf>
    <xf numFmtId="0" fontId="60" fillId="46" borderId="133" xfId="49" applyFont="1" applyFill="1" applyBorder="1" applyAlignment="1">
      <alignment horizontal="center"/>
    </xf>
    <xf numFmtId="49" fontId="60" fillId="46" borderId="11" xfId="49" applyNumberFormat="1" applyFont="1" applyFill="1" applyBorder="1" applyAlignment="1">
      <alignment horizontal="center" vertical="top" wrapText="1"/>
    </xf>
    <xf numFmtId="0" fontId="60" fillId="46" borderId="133" xfId="49" applyFont="1" applyFill="1" applyBorder="1" applyAlignment="1" applyProtection="1">
      <alignment horizontal="center"/>
      <protection locked="0"/>
    </xf>
    <xf numFmtId="0" fontId="60" fillId="46" borderId="134" xfId="49" applyFont="1" applyFill="1" applyBorder="1" applyAlignment="1" applyProtection="1">
      <alignment horizontal="center"/>
      <protection locked="0"/>
    </xf>
    <xf numFmtId="0" fontId="60" fillId="46" borderId="348" xfId="49" applyFont="1" applyFill="1" applyBorder="1" applyAlignment="1">
      <alignment horizontal="center" vertical="top" wrapText="1"/>
    </xf>
    <xf numFmtId="49" fontId="60" fillId="46" borderId="348" xfId="49" applyNumberFormat="1" applyFont="1" applyFill="1" applyBorder="1" applyAlignment="1">
      <alignment horizontal="center" vertical="top" wrapText="1"/>
    </xf>
    <xf numFmtId="0" fontId="60" fillId="46" borderId="26" xfId="49" applyFont="1" applyFill="1" applyBorder="1" applyAlignment="1" applyProtection="1">
      <alignment horizontal="center"/>
      <protection locked="0"/>
    </xf>
    <xf numFmtId="0" fontId="60" fillId="46" borderId="11" xfId="49" applyFont="1" applyFill="1" applyBorder="1" applyAlignment="1" applyProtection="1">
      <alignment horizontal="center"/>
      <protection locked="0"/>
    </xf>
    <xf numFmtId="0" fontId="60" fillId="46" borderId="136" xfId="49" applyFont="1" applyFill="1" applyBorder="1" applyAlignment="1">
      <alignment horizontal="center"/>
    </xf>
    <xf numFmtId="0" fontId="60" fillId="46" borderId="136" xfId="49" applyFont="1" applyFill="1" applyBorder="1" applyAlignment="1" applyProtection="1">
      <alignment horizontal="center"/>
      <protection locked="0"/>
    </xf>
    <xf numFmtId="0" fontId="60" fillId="46" borderId="137" xfId="49" applyFont="1" applyFill="1" applyBorder="1" applyAlignment="1" applyProtection="1">
      <alignment horizontal="center"/>
      <protection locked="0"/>
    </xf>
    <xf numFmtId="0" fontId="60" fillId="46" borderId="350" xfId="49" applyFont="1" applyFill="1" applyBorder="1" applyAlignment="1" applyProtection="1">
      <alignment horizontal="center" vertical="center"/>
      <protection locked="0"/>
    </xf>
    <xf numFmtId="0" fontId="60" fillId="46" borderId="18" xfId="49" applyFont="1" applyFill="1" applyBorder="1" applyAlignment="1" applyProtection="1">
      <alignment horizontal="center" vertical="center"/>
      <protection locked="0"/>
    </xf>
    <xf numFmtId="0" fontId="60" fillId="46" borderId="11" xfId="49" applyFont="1" applyFill="1" applyBorder="1" applyAlignment="1" applyProtection="1">
      <alignment horizontal="center" vertical="center"/>
      <protection locked="0"/>
    </xf>
    <xf numFmtId="0" fontId="60" fillId="46" borderId="349" xfId="49" applyFont="1" applyFill="1" applyBorder="1" applyAlignment="1" applyProtection="1">
      <alignment horizontal="center" vertical="center"/>
      <protection locked="0"/>
    </xf>
    <xf numFmtId="0" fontId="60" fillId="46" borderId="26" xfId="49" applyFont="1" applyFill="1" applyBorder="1" applyAlignment="1" applyProtection="1">
      <alignment horizontal="center" vertical="center"/>
      <protection locked="0"/>
    </xf>
    <xf numFmtId="0" fontId="5" fillId="56" borderId="348" xfId="49" applyFill="1" applyBorder="1" applyAlignment="1">
      <alignment horizontal="center" vertical="top" wrapText="1"/>
    </xf>
    <xf numFmtId="0" fontId="5" fillId="56" borderId="348" xfId="49" applyFill="1" applyBorder="1" applyAlignment="1">
      <alignment horizontal="center"/>
    </xf>
    <xf numFmtId="49" fontId="5" fillId="56" borderId="348" xfId="49" applyNumberFormat="1" applyFill="1" applyBorder="1" applyAlignment="1">
      <alignment horizontal="center"/>
    </xf>
    <xf numFmtId="49" fontId="5" fillId="56" borderId="348" xfId="49" applyNumberFormat="1" applyFill="1" applyBorder="1" applyAlignment="1">
      <alignment horizontal="center" vertical="top" wrapText="1"/>
    </xf>
    <xf numFmtId="0" fontId="5" fillId="56" borderId="358" xfId="49" applyFill="1" applyBorder="1" applyAlignment="1" applyProtection="1">
      <alignment horizontal="center" vertical="center"/>
      <protection locked="0"/>
    </xf>
    <xf numFmtId="0" fontId="5" fillId="56" borderId="125" xfId="49" applyFill="1" applyBorder="1" applyAlignment="1" applyProtection="1">
      <alignment horizontal="center" vertical="center"/>
      <protection locked="0"/>
    </xf>
    <xf numFmtId="0" fontId="5" fillId="56" borderId="18" xfId="49" applyFill="1" applyBorder="1" applyAlignment="1" applyProtection="1">
      <alignment horizontal="center" vertical="center"/>
      <protection locked="0"/>
    </xf>
    <xf numFmtId="0" fontId="5" fillId="56" borderId="359" xfId="49" applyFill="1" applyBorder="1" applyAlignment="1" applyProtection="1">
      <alignment horizontal="center" vertical="center"/>
      <protection locked="0"/>
    </xf>
    <xf numFmtId="0" fontId="5" fillId="56" borderId="360" xfId="49" applyFill="1" applyBorder="1" applyAlignment="1" applyProtection="1">
      <alignment horizontal="center" vertical="center"/>
      <protection locked="0"/>
    </xf>
    <xf numFmtId="0" fontId="58" fillId="56" borderId="26" xfId="49" applyFont="1" applyFill="1" applyBorder="1" applyAlignment="1" applyProtection="1">
      <alignment horizontal="center" vertical="center"/>
      <protection locked="0"/>
    </xf>
    <xf numFmtId="0" fontId="5" fillId="56" borderId="132" xfId="49" applyFill="1" applyBorder="1" applyAlignment="1" applyProtection="1">
      <alignment horizontal="center"/>
      <protection locked="0"/>
    </xf>
    <xf numFmtId="0" fontId="5" fillId="56" borderId="133" xfId="49" applyFill="1" applyBorder="1" applyAlignment="1">
      <alignment horizontal="center"/>
    </xf>
    <xf numFmtId="0" fontId="5" fillId="56" borderId="133" xfId="49" applyFill="1" applyBorder="1" applyAlignment="1" applyProtection="1">
      <alignment horizontal="center"/>
      <protection locked="0"/>
    </xf>
    <xf numFmtId="0" fontId="5" fillId="56" borderId="134" xfId="49" applyFill="1" applyBorder="1" applyAlignment="1" applyProtection="1">
      <alignment horizontal="center"/>
      <protection locked="0"/>
    </xf>
    <xf numFmtId="0" fontId="5" fillId="56" borderId="26" xfId="49" applyFill="1" applyBorder="1" applyAlignment="1" applyProtection="1">
      <alignment horizontal="center" vertical="center"/>
      <protection locked="0"/>
    </xf>
    <xf numFmtId="0" fontId="61" fillId="60" borderId="132" xfId="49" applyFont="1" applyFill="1" applyBorder="1" applyAlignment="1" applyProtection="1">
      <alignment horizontal="center"/>
      <protection locked="0"/>
    </xf>
    <xf numFmtId="0" fontId="61" fillId="60" borderId="11" xfId="49" applyFont="1" applyFill="1" applyBorder="1" applyAlignment="1">
      <alignment horizontal="center" vertical="top" wrapText="1"/>
    </xf>
    <xf numFmtId="0" fontId="61" fillId="60" borderId="133" xfId="49" applyFont="1" applyFill="1" applyBorder="1" applyAlignment="1">
      <alignment horizontal="center"/>
    </xf>
    <xf numFmtId="49" fontId="61" fillId="60" borderId="11" xfId="49" applyNumberFormat="1" applyFont="1" applyFill="1" applyBorder="1" applyAlignment="1">
      <alignment horizontal="center" vertical="top" wrapText="1"/>
    </xf>
    <xf numFmtId="0" fontId="61" fillId="60" borderId="133" xfId="49" applyFont="1" applyFill="1" applyBorder="1" applyAlignment="1" applyProtection="1">
      <alignment horizontal="center"/>
      <protection locked="0"/>
    </xf>
    <xf numFmtId="0" fontId="61" fillId="60" borderId="134" xfId="49" applyFont="1" applyFill="1" applyBorder="1" applyAlignment="1" applyProtection="1">
      <alignment horizontal="center"/>
      <protection locked="0"/>
    </xf>
    <xf numFmtId="0" fontId="61" fillId="60" borderId="348" xfId="49" applyFont="1" applyFill="1" applyBorder="1" applyAlignment="1">
      <alignment horizontal="center" vertical="top" wrapText="1"/>
    </xf>
    <xf numFmtId="49" fontId="61" fillId="60" borderId="348" xfId="49" applyNumberFormat="1" applyFont="1" applyFill="1" applyBorder="1" applyAlignment="1">
      <alignment horizontal="center" vertical="top" wrapText="1"/>
    </xf>
    <xf numFmtId="0" fontId="61" fillId="60" borderId="26" xfId="49" applyFont="1" applyFill="1" applyBorder="1" applyAlignment="1" applyProtection="1">
      <alignment horizontal="center"/>
      <protection locked="0"/>
    </xf>
    <xf numFmtId="0" fontId="61" fillId="60" borderId="136" xfId="49" applyFont="1" applyFill="1" applyBorder="1" applyAlignment="1">
      <alignment horizontal="center"/>
    </xf>
    <xf numFmtId="0" fontId="61" fillId="60" borderId="136" xfId="49" applyFont="1" applyFill="1" applyBorder="1" applyAlignment="1" applyProtection="1">
      <alignment horizontal="center"/>
      <protection locked="0"/>
    </xf>
    <xf numFmtId="0" fontId="61" fillId="60" borderId="137" xfId="49" applyFont="1" applyFill="1" applyBorder="1" applyAlignment="1" applyProtection="1">
      <alignment horizontal="center"/>
      <protection locked="0"/>
    </xf>
    <xf numFmtId="0" fontId="61" fillId="60" borderId="11" xfId="49" applyFont="1" applyFill="1" applyBorder="1" applyAlignment="1" applyProtection="1">
      <alignment horizontal="center"/>
      <protection locked="0"/>
    </xf>
    <xf numFmtId="0" fontId="61" fillId="60" borderId="18" xfId="49" applyFont="1" applyFill="1" applyBorder="1" applyAlignment="1" applyProtection="1">
      <alignment horizontal="center" vertical="center"/>
      <protection locked="0"/>
    </xf>
    <xf numFmtId="0" fontId="61" fillId="60" borderId="11" xfId="49" applyFont="1" applyFill="1" applyBorder="1" applyAlignment="1" applyProtection="1">
      <alignment horizontal="center" vertical="center"/>
      <protection locked="0"/>
    </xf>
    <xf numFmtId="0" fontId="61" fillId="60" borderId="349" xfId="49" applyFont="1" applyFill="1" applyBorder="1" applyAlignment="1" applyProtection="1">
      <alignment horizontal="center" vertical="center"/>
      <protection locked="0"/>
    </xf>
    <xf numFmtId="0" fontId="61" fillId="60" borderId="26" xfId="49" applyFont="1" applyFill="1" applyBorder="1" applyAlignment="1" applyProtection="1">
      <alignment horizontal="center" vertical="center"/>
      <protection locked="0"/>
    </xf>
    <xf numFmtId="0" fontId="61" fillId="60" borderId="350" xfId="49" applyFont="1" applyFill="1" applyBorder="1" applyAlignment="1" applyProtection="1">
      <alignment horizontal="center" vertical="center"/>
      <protection locked="0"/>
    </xf>
    <xf numFmtId="0" fontId="62" fillId="56" borderId="132" xfId="49" applyFont="1" applyFill="1" applyBorder="1" applyAlignment="1" applyProtection="1">
      <alignment horizontal="center"/>
      <protection locked="0"/>
    </xf>
    <xf numFmtId="0" fontId="62" fillId="56" borderId="11" xfId="49" applyFont="1" applyFill="1" applyBorder="1" applyAlignment="1">
      <alignment horizontal="center" vertical="top" wrapText="1"/>
    </xf>
    <xf numFmtId="0" fontId="62" fillId="56" borderId="133" xfId="49" applyFont="1" applyFill="1" applyBorder="1" applyAlignment="1">
      <alignment horizontal="center"/>
    </xf>
    <xf numFmtId="49" fontId="62" fillId="56" borderId="11" xfId="49" applyNumberFormat="1" applyFont="1" applyFill="1" applyBorder="1" applyAlignment="1">
      <alignment horizontal="center" vertical="top" wrapText="1"/>
    </xf>
    <xf numFmtId="0" fontId="62" fillId="56" borderId="133" xfId="49" applyFont="1" applyFill="1" applyBorder="1" applyAlignment="1" applyProtection="1">
      <alignment horizontal="center"/>
      <protection locked="0"/>
    </xf>
    <xf numFmtId="0" fontId="62" fillId="56" borderId="134" xfId="49" applyFont="1" applyFill="1" applyBorder="1" applyAlignment="1" applyProtection="1">
      <alignment horizontal="center"/>
      <protection locked="0"/>
    </xf>
    <xf numFmtId="0" fontId="62" fillId="56" borderId="348" xfId="49" applyFont="1" applyFill="1" applyBorder="1" applyAlignment="1">
      <alignment horizontal="center" vertical="top" wrapText="1"/>
    </xf>
    <xf numFmtId="49" fontId="62" fillId="56" borderId="348" xfId="49" applyNumberFormat="1" applyFont="1" applyFill="1" applyBorder="1" applyAlignment="1">
      <alignment horizontal="center" vertical="top" wrapText="1"/>
    </xf>
    <xf numFmtId="0" fontId="62" fillId="56" borderId="349" xfId="49" applyFont="1" applyFill="1" applyBorder="1" applyAlignment="1">
      <alignment horizontal="center" vertical="top" wrapText="1"/>
    </xf>
    <xf numFmtId="49" fontId="62" fillId="56" borderId="349" xfId="49" applyNumberFormat="1" applyFont="1" applyFill="1" applyBorder="1" applyAlignment="1">
      <alignment horizontal="center" vertical="top" wrapText="1"/>
    </xf>
    <xf numFmtId="0" fontId="62" fillId="56" borderId="26" xfId="49" applyFont="1" applyFill="1" applyBorder="1" applyAlignment="1" applyProtection="1">
      <alignment horizontal="center"/>
      <protection locked="0"/>
    </xf>
    <xf numFmtId="0" fontId="62" fillId="56" borderId="136" xfId="49" applyFont="1" applyFill="1" applyBorder="1" applyAlignment="1">
      <alignment horizontal="center"/>
    </xf>
    <xf numFmtId="0" fontId="62" fillId="56" borderId="136" xfId="49" applyFont="1" applyFill="1" applyBorder="1" applyAlignment="1" applyProtection="1">
      <alignment horizontal="center"/>
      <protection locked="0"/>
    </xf>
    <xf numFmtId="0" fontId="62" fillId="56" borderId="137" xfId="49" applyFont="1" applyFill="1" applyBorder="1" applyAlignment="1" applyProtection="1">
      <alignment horizontal="center"/>
      <protection locked="0"/>
    </xf>
    <xf numFmtId="0" fontId="62" fillId="56" borderId="11" xfId="49" applyFont="1" applyFill="1" applyBorder="1" applyAlignment="1" applyProtection="1">
      <alignment horizontal="center"/>
      <protection locked="0"/>
    </xf>
    <xf numFmtId="0" fontId="62" fillId="56" borderId="350" xfId="49" applyFont="1" applyFill="1" applyBorder="1" applyAlignment="1" applyProtection="1">
      <alignment horizontal="center" vertical="center"/>
      <protection locked="0"/>
    </xf>
    <xf numFmtId="0" fontId="62" fillId="56" borderId="18" xfId="49" applyFont="1" applyFill="1" applyBorder="1" applyAlignment="1" applyProtection="1">
      <alignment horizontal="center" vertical="center"/>
      <protection locked="0"/>
    </xf>
    <xf numFmtId="0" fontId="62" fillId="56" borderId="11" xfId="49" applyFont="1" applyFill="1" applyBorder="1" applyAlignment="1" applyProtection="1">
      <alignment horizontal="center" vertical="center"/>
      <protection locked="0"/>
    </xf>
    <xf numFmtId="0" fontId="62" fillId="56" borderId="349" xfId="49" applyFont="1" applyFill="1" applyBorder="1" applyAlignment="1" applyProtection="1">
      <alignment horizontal="center" vertical="center"/>
      <protection locked="0"/>
    </xf>
    <xf numFmtId="0" fontId="62" fillId="56" borderId="26" xfId="49" applyFont="1" applyFill="1" applyBorder="1" applyAlignment="1" applyProtection="1">
      <alignment horizontal="center" vertical="center"/>
      <protection locked="0"/>
    </xf>
    <xf numFmtId="168" fontId="5" fillId="46" borderId="11" xfId="49" applyNumberFormat="1" applyFill="1" applyBorder="1" applyAlignment="1" applyProtection="1">
      <alignment horizontal="center"/>
      <protection locked="0"/>
    </xf>
    <xf numFmtId="0" fontId="5" fillId="141" borderId="358" xfId="49" applyFill="1" applyBorder="1" applyAlignment="1" applyProtection="1">
      <alignment horizontal="center" vertical="center"/>
      <protection locked="0"/>
    </xf>
    <xf numFmtId="0" fontId="5" fillId="141" borderId="125" xfId="49" applyFill="1" applyBorder="1" applyAlignment="1" applyProtection="1">
      <alignment horizontal="center" vertical="center"/>
      <protection locked="0"/>
    </xf>
    <xf numFmtId="0" fontId="5" fillId="141" borderId="18" xfId="49" applyFill="1" applyBorder="1" applyAlignment="1" applyProtection="1">
      <alignment horizontal="center" vertical="center"/>
      <protection locked="0"/>
    </xf>
    <xf numFmtId="0" fontId="5" fillId="141" borderId="359" xfId="49" applyFill="1" applyBorder="1" applyAlignment="1" applyProtection="1">
      <alignment horizontal="center" vertical="center"/>
      <protection locked="0"/>
    </xf>
    <xf numFmtId="0" fontId="5" fillId="141" borderId="360" xfId="49" applyFill="1" applyBorder="1" applyAlignment="1" applyProtection="1">
      <alignment horizontal="center" vertical="center"/>
      <protection locked="0"/>
    </xf>
    <xf numFmtId="0" fontId="58" fillId="141" borderId="26" xfId="49" applyFont="1" applyFill="1" applyBorder="1" applyAlignment="1" applyProtection="1">
      <alignment horizontal="center" vertical="center"/>
      <protection locked="0"/>
    </xf>
    <xf numFmtId="0" fontId="5" fillId="141" borderId="132" xfId="49" applyFill="1" applyBorder="1" applyAlignment="1" applyProtection="1">
      <alignment horizontal="center"/>
      <protection locked="0"/>
    </xf>
    <xf numFmtId="0" fontId="5" fillId="141" borderId="348" xfId="49" applyFill="1" applyBorder="1" applyAlignment="1">
      <alignment horizontal="center" vertical="top" wrapText="1"/>
    </xf>
    <xf numFmtId="0" fontId="5" fillId="141" borderId="348" xfId="49" applyFill="1" applyBorder="1" applyAlignment="1">
      <alignment horizontal="center"/>
    </xf>
    <xf numFmtId="49" fontId="5" fillId="141" borderId="348" xfId="49" applyNumberFormat="1" applyFill="1" applyBorder="1" applyAlignment="1">
      <alignment horizontal="center"/>
    </xf>
    <xf numFmtId="0" fontId="5" fillId="141" borderId="133" xfId="49" applyFill="1" applyBorder="1" applyAlignment="1">
      <alignment horizontal="center"/>
    </xf>
    <xf numFmtId="49" fontId="5" fillId="141" borderId="348" xfId="49" applyNumberFormat="1" applyFill="1" applyBorder="1" applyAlignment="1">
      <alignment horizontal="center" vertical="top" wrapText="1"/>
    </xf>
    <xf numFmtId="0" fontId="5" fillId="141" borderId="133" xfId="49" applyFill="1" applyBorder="1" applyAlignment="1" applyProtection="1">
      <alignment horizontal="center"/>
      <protection locked="0"/>
    </xf>
    <xf numFmtId="0" fontId="5" fillId="141" borderId="134" xfId="49" applyFill="1" applyBorder="1" applyAlignment="1" applyProtection="1">
      <alignment horizontal="center"/>
      <protection locked="0"/>
    </xf>
    <xf numFmtId="0" fontId="5" fillId="141" borderId="26" xfId="49" applyFill="1" applyBorder="1" applyAlignment="1" applyProtection="1">
      <alignment horizontal="center" vertical="center"/>
      <protection locked="0"/>
    </xf>
    <xf numFmtId="0" fontId="58" fillId="141" borderId="132" xfId="49" applyFont="1" applyFill="1" applyBorder="1" applyAlignment="1" applyProtection="1">
      <alignment horizontal="center"/>
      <protection locked="0"/>
    </xf>
    <xf numFmtId="0" fontId="52" fillId="48" borderId="356" xfId="48" applyFont="1" applyFill="1" applyBorder="1" applyAlignment="1">
      <alignment horizontal="center"/>
    </xf>
    <xf numFmtId="0" fontId="51" fillId="57" borderId="356" xfId="48" applyFont="1" applyFill="1" applyBorder="1" applyAlignment="1">
      <alignment horizontal="center"/>
    </xf>
    <xf numFmtId="0" fontId="53" fillId="59" borderId="356" xfId="48" applyFont="1" applyFill="1" applyBorder="1" applyAlignment="1">
      <alignment horizontal="center"/>
    </xf>
    <xf numFmtId="0" fontId="56" fillId="54" borderId="356" xfId="48" applyFont="1" applyFill="1" applyBorder="1" applyAlignment="1" applyProtection="1">
      <alignment horizontal="center"/>
      <protection locked="0"/>
    </xf>
    <xf numFmtId="0" fontId="60" fillId="46" borderId="356" xfId="48" applyFont="1" applyFill="1" applyBorder="1" applyAlignment="1" applyProtection="1">
      <alignment horizontal="center"/>
      <protection locked="0"/>
    </xf>
    <xf numFmtId="0" fontId="61" fillId="60" borderId="356" xfId="48" applyFont="1" applyFill="1" applyBorder="1" applyAlignment="1" applyProtection="1">
      <alignment horizontal="center"/>
      <protection locked="0"/>
    </xf>
    <xf numFmtId="0" fontId="62" fillId="56" borderId="356" xfId="48" applyFont="1" applyFill="1" applyBorder="1" applyAlignment="1" applyProtection="1">
      <alignment horizontal="center"/>
      <protection locked="0"/>
    </xf>
    <xf numFmtId="0" fontId="52" fillId="48" borderId="355" xfId="48" applyFont="1" applyFill="1" applyBorder="1" applyAlignment="1" applyProtection="1">
      <alignment horizontal="center"/>
      <protection locked="0"/>
    </xf>
    <xf numFmtId="0" fontId="50" fillId="55" borderId="355" xfId="48" applyFont="1" applyFill="1" applyBorder="1" applyAlignment="1" applyProtection="1">
      <alignment horizontal="center"/>
      <protection locked="0"/>
    </xf>
    <xf numFmtId="0" fontId="51" fillId="57" borderId="355" xfId="48" applyFont="1" applyFill="1" applyBorder="1" applyAlignment="1" applyProtection="1">
      <alignment horizontal="center"/>
      <protection locked="0"/>
    </xf>
    <xf numFmtId="0" fontId="53" fillId="59" borderId="356" xfId="48" applyFont="1" applyFill="1" applyBorder="1" applyAlignment="1" applyProtection="1">
      <alignment horizontal="center"/>
      <protection locked="0"/>
    </xf>
    <xf numFmtId="0" fontId="50" fillId="55" borderId="356" xfId="48" applyFont="1" applyFill="1" applyBorder="1" applyAlignment="1">
      <alignment horizontal="center"/>
    </xf>
    <xf numFmtId="0" fontId="64" fillId="70" borderId="356" xfId="48" applyFont="1" applyFill="1" applyBorder="1" applyAlignment="1" applyProtection="1">
      <alignment horizontal="center"/>
      <protection locked="0"/>
    </xf>
    <xf numFmtId="0" fontId="80" fillId="58" borderId="356" xfId="48" applyFont="1" applyFill="1" applyBorder="1" applyAlignment="1" applyProtection="1">
      <alignment horizontal="center"/>
      <protection locked="0"/>
    </xf>
    <xf numFmtId="0" fontId="63" fillId="69" borderId="356" xfId="48" applyFont="1" applyFill="1" applyBorder="1" applyAlignment="1" applyProtection="1">
      <alignment horizontal="center"/>
      <protection locked="0"/>
    </xf>
    <xf numFmtId="0" fontId="65" fillId="71" borderId="356" xfId="48" applyFont="1" applyFill="1" applyBorder="1" applyAlignment="1" applyProtection="1">
      <alignment horizontal="center"/>
      <protection locked="0"/>
    </xf>
    <xf numFmtId="0" fontId="67" fillId="72" borderId="356" xfId="48" applyFont="1" applyFill="1" applyBorder="1" applyAlignment="1" applyProtection="1">
      <alignment horizontal="center"/>
      <protection locked="0"/>
    </xf>
    <xf numFmtId="0" fontId="68" fillId="74" borderId="356" xfId="48" applyFont="1" applyFill="1" applyBorder="1" applyAlignment="1" applyProtection="1">
      <alignment horizontal="center"/>
      <protection locked="0"/>
    </xf>
    <xf numFmtId="0" fontId="66" fillId="73" borderId="356" xfId="48" applyFont="1" applyFill="1" applyBorder="1" applyAlignment="1" applyProtection="1">
      <alignment horizontal="center"/>
      <protection locked="0"/>
    </xf>
    <xf numFmtId="0" fontId="56" fillId="54" borderId="356" xfId="48" applyFont="1" applyFill="1" applyBorder="1" applyAlignment="1">
      <alignment horizontal="center"/>
    </xf>
    <xf numFmtId="0" fontId="0" fillId="44" borderId="348" xfId="0" applyFill="1" applyBorder="1"/>
    <xf numFmtId="2" fontId="0" fillId="44" borderId="354" xfId="0" applyNumberFormat="1" applyFill="1" applyBorder="1"/>
    <xf numFmtId="2" fontId="0" fillId="44" borderId="348" xfId="0" applyNumberFormat="1" applyFill="1" applyBorder="1"/>
    <xf numFmtId="1" fontId="0" fillId="44" borderId="28" xfId="0" applyNumberFormat="1" applyFill="1" applyBorder="1"/>
    <xf numFmtId="1" fontId="36" fillId="95" borderId="103" xfId="0" quotePrefix="1" applyNumberFormat="1" applyFont="1" applyFill="1" applyBorder="1" applyAlignment="1">
      <alignment horizontal="center" vertical="center"/>
    </xf>
    <xf numFmtId="1" fontId="36" fillId="95" borderId="104" xfId="0" quotePrefix="1" applyNumberFormat="1" applyFont="1" applyFill="1" applyBorder="1" applyAlignment="1">
      <alignment horizontal="center" vertical="center"/>
    </xf>
    <xf numFmtId="1" fontId="36" fillId="95" borderId="102" xfId="0" quotePrefix="1" applyNumberFormat="1" applyFont="1" applyFill="1" applyBorder="1" applyAlignment="1">
      <alignment horizontal="center" vertical="center"/>
    </xf>
    <xf numFmtId="0" fontId="5" fillId="59" borderId="364" xfId="49" applyFill="1" applyBorder="1" applyAlignment="1" applyProtection="1">
      <alignment horizontal="center" vertical="center"/>
      <protection locked="0"/>
    </xf>
    <xf numFmtId="2" fontId="5" fillId="43" borderId="354" xfId="49" applyNumberFormat="1" applyFill="1" applyBorder="1"/>
    <xf numFmtId="0" fontId="5" fillId="44" borderId="369" xfId="49" applyFill="1" applyBorder="1"/>
    <xf numFmtId="0" fontId="0" fillId="44" borderId="354" xfId="0" applyFill="1" applyBorder="1"/>
    <xf numFmtId="2" fontId="14" fillId="52" borderId="353" xfId="49" applyNumberFormat="1" applyFont="1" applyFill="1" applyBorder="1" applyAlignment="1">
      <alignment horizontal="center" vertical="center"/>
    </xf>
    <xf numFmtId="0" fontId="5" fillId="44" borderId="26" xfId="49" applyFill="1" applyBorder="1"/>
    <xf numFmtId="0" fontId="5" fillId="44" borderId="349" xfId="49" applyFill="1" applyBorder="1"/>
    <xf numFmtId="0" fontId="5" fillId="44" borderId="11" xfId="49" applyFill="1" applyBorder="1"/>
    <xf numFmtId="0" fontId="7" fillId="49" borderId="353" xfId="49" applyFont="1" applyFill="1" applyBorder="1" applyAlignment="1">
      <alignment horizontal="center" vertical="center" wrapText="1"/>
    </xf>
    <xf numFmtId="0" fontId="53" fillId="59" borderId="241" xfId="49" applyFont="1" applyFill="1" applyBorder="1" applyAlignment="1" applyProtection="1">
      <alignment horizontal="center"/>
      <protection locked="0"/>
    </xf>
    <xf numFmtId="0" fontId="53" fillId="59" borderId="371" xfId="49" applyFont="1" applyFill="1" applyBorder="1" applyAlignment="1" applyProtection="1">
      <alignment horizontal="center"/>
      <protection locked="0"/>
    </xf>
    <xf numFmtId="0" fontId="5" fillId="59" borderId="241" xfId="49" applyFill="1" applyBorder="1" applyAlignment="1" applyProtection="1">
      <alignment horizontal="center"/>
      <protection locked="0"/>
    </xf>
    <xf numFmtId="0" fontId="82" fillId="76" borderId="241" xfId="49" applyFont="1" applyFill="1" applyBorder="1" applyAlignment="1" applyProtection="1">
      <alignment horizontal="center"/>
      <protection locked="0"/>
    </xf>
    <xf numFmtId="0" fontId="5" fillId="76" borderId="241" xfId="49" applyFill="1" applyBorder="1" applyAlignment="1" applyProtection="1">
      <alignment horizontal="center"/>
      <protection locked="0"/>
    </xf>
    <xf numFmtId="0" fontId="82" fillId="76" borderId="371" xfId="49" applyFont="1" applyFill="1" applyBorder="1" applyAlignment="1" applyProtection="1">
      <alignment horizontal="center"/>
      <protection locked="0"/>
    </xf>
    <xf numFmtId="0" fontId="81" fillId="77" borderId="241" xfId="49" applyFont="1" applyFill="1" applyBorder="1" applyAlignment="1" applyProtection="1">
      <alignment horizontal="center"/>
      <protection locked="0"/>
    </xf>
    <xf numFmtId="0" fontId="5" fillId="77" borderId="241" xfId="49" applyFill="1" applyBorder="1" applyAlignment="1" applyProtection="1">
      <alignment horizontal="center"/>
      <protection locked="0"/>
    </xf>
    <xf numFmtId="0" fontId="81" fillId="77" borderId="371" xfId="49" applyFont="1" applyFill="1" applyBorder="1" applyAlignment="1" applyProtection="1">
      <alignment horizontal="center"/>
      <protection locked="0"/>
    </xf>
    <xf numFmtId="0" fontId="52" fillId="48" borderId="372" xfId="49" applyFont="1" applyFill="1" applyBorder="1" applyAlignment="1" applyProtection="1">
      <alignment horizontal="center"/>
      <protection locked="0"/>
    </xf>
    <xf numFmtId="0" fontId="52" fillId="48" borderId="241" xfId="49" applyFont="1" applyFill="1" applyBorder="1" applyAlignment="1" applyProtection="1">
      <alignment horizontal="center"/>
      <protection locked="0"/>
    </xf>
    <xf numFmtId="0" fontId="5" fillId="48" borderId="241" xfId="49" applyFill="1" applyBorder="1" applyAlignment="1" applyProtection="1">
      <alignment horizontal="center"/>
      <protection locked="0"/>
    </xf>
    <xf numFmtId="0" fontId="52" fillId="48" borderId="371" xfId="49" applyFont="1" applyFill="1" applyBorder="1" applyAlignment="1" applyProtection="1">
      <alignment horizontal="center"/>
      <protection locked="0"/>
    </xf>
    <xf numFmtId="0" fontId="50" fillId="55" borderId="241" xfId="49" applyFont="1" applyFill="1" applyBorder="1" applyAlignment="1" applyProtection="1">
      <alignment horizontal="center"/>
      <protection locked="0"/>
    </xf>
    <xf numFmtId="0" fontId="5" fillId="55" borderId="241" xfId="49" applyFill="1" applyBorder="1" applyAlignment="1" applyProtection="1">
      <alignment horizontal="center"/>
      <protection locked="0"/>
    </xf>
    <xf numFmtId="0" fontId="50" fillId="55" borderId="371" xfId="49" applyFont="1" applyFill="1" applyBorder="1" applyAlignment="1" applyProtection="1">
      <alignment horizontal="center"/>
      <protection locked="0"/>
    </xf>
    <xf numFmtId="0" fontId="80" fillId="58" borderId="241" xfId="49" applyFont="1" applyFill="1" applyBorder="1" applyAlignment="1" applyProtection="1">
      <alignment horizontal="center"/>
      <protection locked="0"/>
    </xf>
    <xf numFmtId="0" fontId="5" fillId="58" borderId="241" xfId="49" applyFill="1" applyBorder="1" applyAlignment="1" applyProtection="1">
      <alignment horizontal="center"/>
      <protection locked="0"/>
    </xf>
    <xf numFmtId="0" fontId="80" fillId="58" borderId="371" xfId="49" applyFont="1" applyFill="1" applyBorder="1" applyAlignment="1" applyProtection="1">
      <alignment horizontal="center"/>
      <protection locked="0"/>
    </xf>
    <xf numFmtId="0" fontId="60" fillId="46" borderId="241" xfId="49" applyFont="1" applyFill="1" applyBorder="1" applyAlignment="1" applyProtection="1">
      <alignment horizontal="center"/>
      <protection locked="0"/>
    </xf>
    <xf numFmtId="0" fontId="58" fillId="46" borderId="241" xfId="49" applyFont="1" applyFill="1" applyBorder="1" applyAlignment="1" applyProtection="1">
      <alignment horizontal="center"/>
      <protection locked="0"/>
    </xf>
    <xf numFmtId="0" fontId="60" fillId="46" borderId="371" xfId="49" applyFont="1" applyFill="1" applyBorder="1" applyAlignment="1" applyProtection="1">
      <alignment horizontal="center"/>
      <protection locked="0"/>
    </xf>
    <xf numFmtId="0" fontId="61" fillId="60" borderId="241" xfId="49" applyFont="1" applyFill="1" applyBorder="1" applyAlignment="1" applyProtection="1">
      <alignment horizontal="center"/>
      <protection locked="0"/>
    </xf>
    <xf numFmtId="0" fontId="5" fillId="60" borderId="241" xfId="49" applyFill="1" applyBorder="1" applyAlignment="1" applyProtection="1">
      <alignment horizontal="center"/>
      <protection locked="0"/>
    </xf>
    <xf numFmtId="0" fontId="61" fillId="60" borderId="371" xfId="49" applyFont="1" applyFill="1" applyBorder="1" applyAlignment="1" applyProtection="1">
      <alignment horizontal="center"/>
      <protection locked="0"/>
    </xf>
    <xf numFmtId="0" fontId="62" fillId="56" borderId="372" xfId="49" applyFont="1" applyFill="1" applyBorder="1" applyAlignment="1" applyProtection="1">
      <alignment horizontal="center"/>
      <protection locked="0"/>
    </xf>
    <xf numFmtId="0" fontId="62" fillId="56" borderId="241" xfId="49" applyFont="1" applyFill="1" applyBorder="1" applyAlignment="1" applyProtection="1">
      <alignment horizontal="center"/>
      <protection locked="0"/>
    </xf>
    <xf numFmtId="0" fontId="5" fillId="56" borderId="241" xfId="49" applyFill="1" applyBorder="1" applyAlignment="1" applyProtection="1">
      <alignment horizontal="center"/>
      <protection locked="0"/>
    </xf>
    <xf numFmtId="0" fontId="62" fillId="56" borderId="371" xfId="49" applyFont="1" applyFill="1" applyBorder="1" applyAlignment="1" applyProtection="1">
      <alignment horizontal="center"/>
      <protection locked="0"/>
    </xf>
    <xf numFmtId="0" fontId="56" fillId="54" borderId="241" xfId="49" applyFont="1" applyFill="1" applyBorder="1" applyAlignment="1" applyProtection="1">
      <alignment horizontal="center"/>
      <protection locked="0"/>
    </xf>
    <xf numFmtId="0" fontId="58" fillId="54" borderId="241" xfId="49" applyFont="1" applyFill="1" applyBorder="1" applyAlignment="1" applyProtection="1">
      <alignment horizontal="center"/>
      <protection locked="0"/>
    </xf>
    <xf numFmtId="0" fontId="56" fillId="54" borderId="371" xfId="49" applyFont="1" applyFill="1" applyBorder="1" applyAlignment="1" applyProtection="1">
      <alignment horizontal="center"/>
      <protection locked="0"/>
    </xf>
    <xf numFmtId="0" fontId="57" fillId="61" borderId="241" xfId="49" applyFont="1" applyFill="1" applyBorder="1" applyAlignment="1" applyProtection="1">
      <alignment horizontal="center"/>
      <protection locked="0"/>
    </xf>
    <xf numFmtId="0" fontId="5" fillId="61" borderId="241" xfId="49" applyFill="1" applyBorder="1" applyAlignment="1" applyProtection="1">
      <alignment horizontal="center"/>
      <protection locked="0"/>
    </xf>
    <xf numFmtId="0" fontId="57" fillId="61" borderId="371" xfId="49" applyFont="1" applyFill="1" applyBorder="1" applyAlignment="1" applyProtection="1">
      <alignment horizontal="center"/>
      <protection locked="0"/>
    </xf>
    <xf numFmtId="0" fontId="59" fillId="64" borderId="241" xfId="49" applyFont="1" applyFill="1" applyBorder="1" applyAlignment="1" applyProtection="1">
      <alignment horizontal="center"/>
      <protection locked="0"/>
    </xf>
    <xf numFmtId="0" fontId="5" fillId="64" borderId="241" xfId="49" applyFill="1" applyBorder="1" applyAlignment="1" applyProtection="1">
      <alignment horizontal="center"/>
      <protection locked="0"/>
    </xf>
    <xf numFmtId="0" fontId="59" fillId="64" borderId="371" xfId="49" applyFont="1" applyFill="1" applyBorder="1" applyAlignment="1" applyProtection="1">
      <alignment horizontal="center"/>
      <protection locked="0"/>
    </xf>
    <xf numFmtId="0" fontId="5" fillId="141" borderId="241" xfId="49" applyFill="1" applyBorder="1" applyAlignment="1" applyProtection="1">
      <alignment horizontal="center"/>
      <protection locked="0"/>
    </xf>
    <xf numFmtId="0" fontId="58" fillId="141" borderId="241" xfId="49" applyFont="1" applyFill="1" applyBorder="1" applyAlignment="1" applyProtection="1">
      <alignment horizontal="center"/>
      <protection locked="0"/>
    </xf>
    <xf numFmtId="0" fontId="5" fillId="50" borderId="29" xfId="49" applyFill="1" applyBorder="1"/>
    <xf numFmtId="0" fontId="5" fillId="59" borderId="83" xfId="49" applyFill="1" applyBorder="1" applyAlignment="1" applyProtection="1">
      <alignment horizontal="center" vertical="center"/>
      <protection locked="0"/>
    </xf>
    <xf numFmtId="0" fontId="5" fillId="59" borderId="96" xfId="49" applyFill="1" applyBorder="1" applyAlignment="1" applyProtection="1">
      <alignment horizontal="center" vertical="center"/>
      <protection locked="0"/>
    </xf>
    <xf numFmtId="0" fontId="5" fillId="59" borderId="83" xfId="49" applyFill="1" applyBorder="1" applyAlignment="1" applyProtection="1">
      <alignment horizontal="center"/>
      <protection locked="0"/>
    </xf>
    <xf numFmtId="0" fontId="5" fillId="59" borderId="104" xfId="49" applyFill="1" applyBorder="1" applyAlignment="1" applyProtection="1">
      <alignment horizontal="center"/>
      <protection locked="0"/>
    </xf>
    <xf numFmtId="0" fontId="5" fillId="59" borderId="98" xfId="49" applyFill="1" applyBorder="1" applyAlignment="1" applyProtection="1">
      <alignment horizontal="center" vertical="center"/>
      <protection locked="0"/>
    </xf>
    <xf numFmtId="0" fontId="5" fillId="76" borderId="83" xfId="49" applyFill="1" applyBorder="1" applyAlignment="1" applyProtection="1">
      <alignment horizontal="center" vertical="center"/>
      <protection locked="0"/>
    </xf>
    <xf numFmtId="0" fontId="5" fillId="76" borderId="96" xfId="49" applyFill="1" applyBorder="1" applyAlignment="1" applyProtection="1">
      <alignment horizontal="center" vertical="center"/>
      <protection locked="0"/>
    </xf>
    <xf numFmtId="0" fontId="5" fillId="76" borderId="83" xfId="49" applyFill="1" applyBorder="1" applyAlignment="1" applyProtection="1">
      <alignment horizontal="center"/>
      <protection locked="0"/>
    </xf>
    <xf numFmtId="0" fontId="5" fillId="76" borderId="104" xfId="49" applyFill="1" applyBorder="1" applyAlignment="1" applyProtection="1">
      <alignment horizontal="center"/>
      <protection locked="0"/>
    </xf>
    <xf numFmtId="0" fontId="5" fillId="77" borderId="83" xfId="49" applyFill="1" applyBorder="1" applyAlignment="1" applyProtection="1">
      <alignment horizontal="center" vertical="center"/>
      <protection locked="0"/>
    </xf>
    <xf numFmtId="0" fontId="5" fillId="77" borderId="96" xfId="49" applyFill="1" applyBorder="1" applyAlignment="1" applyProtection="1">
      <alignment horizontal="center" vertical="center"/>
      <protection locked="0"/>
    </xf>
    <xf numFmtId="0" fontId="5" fillId="77" borderId="83" xfId="49" applyFill="1" applyBorder="1" applyAlignment="1" applyProtection="1">
      <alignment horizontal="center"/>
      <protection locked="0"/>
    </xf>
    <xf numFmtId="0" fontId="5" fillId="77" borderId="104" xfId="49" applyFill="1" applyBorder="1" applyAlignment="1" applyProtection="1">
      <alignment horizontal="center"/>
      <protection locked="0"/>
    </xf>
    <xf numFmtId="0" fontId="5" fillId="48" borderId="83" xfId="49" applyFill="1" applyBorder="1" applyAlignment="1" applyProtection="1">
      <alignment horizontal="center" vertical="center"/>
      <protection locked="0"/>
    </xf>
    <xf numFmtId="0" fontId="5" fillId="48" borderId="96" xfId="49" applyFill="1" applyBorder="1" applyAlignment="1" applyProtection="1">
      <alignment horizontal="center" vertical="center"/>
      <protection locked="0"/>
    </xf>
    <xf numFmtId="0" fontId="5" fillId="48" borderId="83" xfId="49" applyFill="1" applyBorder="1" applyAlignment="1" applyProtection="1">
      <alignment horizontal="center"/>
      <protection locked="0"/>
    </xf>
    <xf numFmtId="0" fontId="5" fillId="48" borderId="104" xfId="49" applyFill="1" applyBorder="1" applyAlignment="1" applyProtection="1">
      <alignment horizontal="center"/>
      <protection locked="0"/>
    </xf>
    <xf numFmtId="0" fontId="5" fillId="55" borderId="83" xfId="49" applyFill="1" applyBorder="1" applyAlignment="1" applyProtection="1">
      <alignment horizontal="center" vertical="center"/>
      <protection locked="0"/>
    </xf>
    <xf numFmtId="0" fontId="5" fillId="55" borderId="83" xfId="49" applyFill="1" applyBorder="1" applyAlignment="1" applyProtection="1">
      <alignment horizontal="center"/>
      <protection locked="0"/>
    </xf>
    <xf numFmtId="0" fontId="5" fillId="55" borderId="104" xfId="49" applyFill="1" applyBorder="1" applyAlignment="1" applyProtection="1">
      <alignment horizontal="center"/>
      <protection locked="0"/>
    </xf>
    <xf numFmtId="0" fontId="5" fillId="58" borderId="83" xfId="49" applyFill="1" applyBorder="1" applyAlignment="1" applyProtection="1">
      <alignment horizontal="center" vertical="center"/>
      <protection locked="0"/>
    </xf>
    <xf numFmtId="0" fontId="5" fillId="58" borderId="96" xfId="49" applyFill="1" applyBorder="1" applyAlignment="1" applyProtection="1">
      <alignment horizontal="center" vertical="center"/>
      <protection locked="0"/>
    </xf>
    <xf numFmtId="0" fontId="5" fillId="58" borderId="83" xfId="49" applyFill="1" applyBorder="1" applyAlignment="1" applyProtection="1">
      <alignment horizontal="center"/>
      <protection locked="0"/>
    </xf>
    <xf numFmtId="0" fontId="5" fillId="58" borderId="104" xfId="49" applyFill="1" applyBorder="1" applyAlignment="1" applyProtection="1">
      <alignment horizontal="center"/>
      <protection locked="0"/>
    </xf>
    <xf numFmtId="0" fontId="5" fillId="46" borderId="83" xfId="49" applyFill="1" applyBorder="1" applyAlignment="1" applyProtection="1">
      <alignment horizontal="center" vertical="center"/>
      <protection locked="0"/>
    </xf>
    <xf numFmtId="0" fontId="5" fillId="46" borderId="96" xfId="49" applyFill="1" applyBorder="1" applyAlignment="1" applyProtection="1">
      <alignment horizontal="center" vertical="center"/>
      <protection locked="0"/>
    </xf>
    <xf numFmtId="0" fontId="5" fillId="46" borderId="83" xfId="49" applyFill="1" applyBorder="1" applyAlignment="1" applyProtection="1">
      <alignment horizontal="center"/>
      <protection locked="0"/>
    </xf>
    <xf numFmtId="0" fontId="5" fillId="46" borderId="104" xfId="49" applyFill="1" applyBorder="1" applyAlignment="1" applyProtection="1">
      <alignment horizontal="center"/>
      <protection locked="0"/>
    </xf>
    <xf numFmtId="0" fontId="5" fillId="60" borderId="83" xfId="49" applyFill="1" applyBorder="1" applyAlignment="1" applyProtection="1">
      <alignment horizontal="center" vertical="center"/>
      <protection locked="0"/>
    </xf>
    <xf numFmtId="0" fontId="5" fillId="60" borderId="96" xfId="49" applyFill="1" applyBorder="1" applyAlignment="1" applyProtection="1">
      <alignment horizontal="center" vertical="center"/>
      <protection locked="0"/>
    </xf>
    <xf numFmtId="0" fontId="5" fillId="60" borderId="83" xfId="49" applyFill="1" applyBorder="1" applyAlignment="1" applyProtection="1">
      <alignment horizontal="center"/>
      <protection locked="0"/>
    </xf>
    <xf numFmtId="0" fontId="5" fillId="60" borderId="104" xfId="49" applyFill="1" applyBorder="1" applyAlignment="1" applyProtection="1">
      <alignment horizontal="center"/>
      <protection locked="0"/>
    </xf>
    <xf numFmtId="0" fontId="5" fillId="56" borderId="83" xfId="49" applyFill="1" applyBorder="1" applyAlignment="1" applyProtection="1">
      <alignment horizontal="center" vertical="center"/>
      <protection locked="0"/>
    </xf>
    <xf numFmtId="0" fontId="5" fillId="56" borderId="96" xfId="49" applyFill="1" applyBorder="1" applyAlignment="1" applyProtection="1">
      <alignment horizontal="center" vertical="center"/>
      <protection locked="0"/>
    </xf>
    <xf numFmtId="0" fontId="5" fillId="56" borderId="83" xfId="49" applyFill="1" applyBorder="1" applyAlignment="1" applyProtection="1">
      <alignment horizontal="center"/>
      <protection locked="0"/>
    </xf>
    <xf numFmtId="0" fontId="5" fillId="56" borderId="104" xfId="49" applyFill="1" applyBorder="1" applyAlignment="1" applyProtection="1">
      <alignment horizontal="center"/>
      <protection locked="0"/>
    </xf>
    <xf numFmtId="0" fontId="5" fillId="54" borderId="83" xfId="49" applyFill="1" applyBorder="1" applyAlignment="1" applyProtection="1">
      <alignment horizontal="center" vertical="center"/>
      <protection locked="0"/>
    </xf>
    <xf numFmtId="0" fontId="5" fillId="54" borderId="104" xfId="49" applyFill="1" applyBorder="1" applyAlignment="1" applyProtection="1">
      <alignment horizontal="center"/>
      <protection locked="0"/>
    </xf>
    <xf numFmtId="0" fontId="5" fillId="61" borderId="83" xfId="49" applyFill="1" applyBorder="1" applyAlignment="1" applyProtection="1">
      <alignment horizontal="center" vertical="center"/>
      <protection locked="0"/>
    </xf>
    <xf numFmtId="0" fontId="5" fillId="61" borderId="104" xfId="49" applyFill="1" applyBorder="1" applyAlignment="1" applyProtection="1">
      <alignment horizontal="center"/>
      <protection locked="0"/>
    </xf>
    <xf numFmtId="0" fontId="5" fillId="64" borderId="83" xfId="49" applyFill="1" applyBorder="1" applyAlignment="1" applyProtection="1">
      <alignment horizontal="center" vertical="center"/>
      <protection locked="0"/>
    </xf>
    <xf numFmtId="0" fontId="5" fillId="64" borderId="96" xfId="49" applyFill="1" applyBorder="1" applyAlignment="1" applyProtection="1">
      <alignment horizontal="center" vertical="center"/>
      <protection locked="0"/>
    </xf>
    <xf numFmtId="0" fontId="5" fillId="64" borderId="83" xfId="49" applyFill="1" applyBorder="1" applyAlignment="1" applyProtection="1">
      <alignment horizontal="center"/>
      <protection locked="0"/>
    </xf>
    <xf numFmtId="0" fontId="5" fillId="64" borderId="104" xfId="49" applyFill="1" applyBorder="1" applyAlignment="1" applyProtection="1">
      <alignment horizontal="center"/>
      <protection locked="0"/>
    </xf>
    <xf numFmtId="0" fontId="5" fillId="59" borderId="160" xfId="49" applyFill="1" applyBorder="1" applyAlignment="1" applyProtection="1">
      <alignment horizontal="center" vertical="center"/>
      <protection locked="0"/>
    </xf>
    <xf numFmtId="0" fontId="5" fillId="59" borderId="368" xfId="49" applyFill="1" applyBorder="1" applyAlignment="1" applyProtection="1">
      <alignment horizontal="center" vertical="center"/>
      <protection locked="0"/>
    </xf>
    <xf numFmtId="0" fontId="5" fillId="59" borderId="367" xfId="49" applyFill="1" applyBorder="1" applyAlignment="1" applyProtection="1">
      <alignment horizontal="center" vertical="center"/>
      <protection locked="0"/>
    </xf>
    <xf numFmtId="0" fontId="5" fillId="59" borderId="365" xfId="49" applyFill="1" applyBorder="1" applyAlignment="1" applyProtection="1">
      <alignment horizontal="center" vertical="center"/>
      <protection locked="0"/>
    </xf>
    <xf numFmtId="0" fontId="5" fillId="59" borderId="366" xfId="49" applyFill="1" applyBorder="1" applyAlignment="1" applyProtection="1">
      <alignment horizontal="center" vertical="center"/>
      <protection locked="0"/>
    </xf>
    <xf numFmtId="0" fontId="5" fillId="59" borderId="209" xfId="49" applyFill="1" applyBorder="1" applyAlignment="1" applyProtection="1">
      <alignment horizontal="center" vertical="center"/>
      <protection locked="0"/>
    </xf>
    <xf numFmtId="0" fontId="5" fillId="76" borderId="160" xfId="49" applyFill="1" applyBorder="1" applyAlignment="1" applyProtection="1">
      <alignment horizontal="center" vertical="center"/>
      <protection locked="0"/>
    </xf>
    <xf numFmtId="0" fontId="5" fillId="76" borderId="368" xfId="49" applyFill="1" applyBorder="1" applyAlignment="1" applyProtection="1">
      <alignment horizontal="center" vertical="center"/>
      <protection locked="0"/>
    </xf>
    <xf numFmtId="0" fontId="5" fillId="76" borderId="367" xfId="49" applyFill="1" applyBorder="1" applyAlignment="1" applyProtection="1">
      <alignment horizontal="center" vertical="center"/>
      <protection locked="0"/>
    </xf>
    <xf numFmtId="0" fontId="5" fillId="76" borderId="365" xfId="49" applyFill="1" applyBorder="1" applyAlignment="1" applyProtection="1">
      <alignment horizontal="center" vertical="center"/>
      <protection locked="0"/>
    </xf>
    <xf numFmtId="0" fontId="5" fillId="76" borderId="209" xfId="49" applyFill="1" applyBorder="1" applyAlignment="1" applyProtection="1">
      <alignment horizontal="center" vertical="center"/>
      <protection locked="0"/>
    </xf>
    <xf numFmtId="0" fontId="5" fillId="77" borderId="365" xfId="49" applyFill="1" applyBorder="1" applyAlignment="1" applyProtection="1">
      <alignment horizontal="center" vertical="center"/>
      <protection locked="0"/>
    </xf>
    <xf numFmtId="0" fontId="5" fillId="77" borderId="366" xfId="49" applyFill="1" applyBorder="1" applyAlignment="1" applyProtection="1">
      <alignment horizontal="center" vertical="center"/>
      <protection locked="0"/>
    </xf>
    <xf numFmtId="0" fontId="5" fillId="77" borderId="98" xfId="49" applyFill="1" applyBorder="1" applyAlignment="1" applyProtection="1">
      <alignment horizontal="center" vertical="center"/>
      <protection locked="0"/>
    </xf>
    <xf numFmtId="0" fontId="5" fillId="77" borderId="209" xfId="49" applyFill="1" applyBorder="1" applyAlignment="1" applyProtection="1">
      <alignment horizontal="center" vertical="center"/>
      <protection locked="0"/>
    </xf>
    <xf numFmtId="0" fontId="5" fillId="77" borderId="367" xfId="49" applyFill="1" applyBorder="1" applyAlignment="1" applyProtection="1">
      <alignment horizontal="center" vertical="center"/>
      <protection locked="0"/>
    </xf>
    <xf numFmtId="0" fontId="5" fillId="141" borderId="83" xfId="49" applyFill="1" applyBorder="1" applyAlignment="1" applyProtection="1">
      <alignment horizontal="center" vertical="center"/>
      <protection locked="0"/>
    </xf>
    <xf numFmtId="0" fontId="5" fillId="141" borderId="96" xfId="49" applyFill="1" applyBorder="1" applyAlignment="1" applyProtection="1">
      <alignment horizontal="center" vertical="center"/>
      <protection locked="0"/>
    </xf>
    <xf numFmtId="0" fontId="5" fillId="141" borderId="83" xfId="49" applyFill="1" applyBorder="1" applyAlignment="1" applyProtection="1">
      <alignment horizontal="center"/>
      <protection locked="0"/>
    </xf>
    <xf numFmtId="0" fontId="5" fillId="141" borderId="104" xfId="49" applyFill="1" applyBorder="1" applyAlignment="1" applyProtection="1">
      <alignment horizontal="center"/>
      <protection locked="0"/>
    </xf>
    <xf numFmtId="2" fontId="5" fillId="44" borderId="259" xfId="49" applyNumberFormat="1" applyFill="1" applyBorder="1" applyAlignment="1">
      <alignment horizontal="center" vertical="center"/>
    </xf>
    <xf numFmtId="2" fontId="5" fillId="44" borderId="0" xfId="49" applyNumberFormat="1" applyFill="1" applyAlignment="1">
      <alignment horizontal="center" vertical="center"/>
    </xf>
    <xf numFmtId="0" fontId="5" fillId="130" borderId="349" xfId="49" applyFill="1" applyBorder="1"/>
    <xf numFmtId="0" fontId="5" fillId="130" borderId="26" xfId="49" applyFill="1" applyBorder="1"/>
    <xf numFmtId="0" fontId="5" fillId="46" borderId="26" xfId="49" applyFill="1" applyBorder="1"/>
    <xf numFmtId="0" fontId="5" fillId="64" borderId="26" xfId="49" applyFill="1" applyBorder="1"/>
    <xf numFmtId="1" fontId="0" fillId="44" borderId="12" xfId="0" applyNumberFormat="1" applyFill="1" applyBorder="1"/>
    <xf numFmtId="2" fontId="5" fillId="0" borderId="259" xfId="49" applyNumberFormat="1" applyBorder="1" applyAlignment="1" applyProtection="1">
      <alignment horizontal="center" vertical="center"/>
      <protection locked="0"/>
    </xf>
    <xf numFmtId="0" fontId="5" fillId="64" borderId="11" xfId="49" applyFill="1" applyBorder="1"/>
    <xf numFmtId="0" fontId="166" fillId="141" borderId="132" xfId="49" applyFont="1" applyFill="1" applyBorder="1" applyAlignment="1" applyProtection="1">
      <alignment horizontal="center"/>
      <protection locked="0"/>
    </xf>
    <xf numFmtId="0" fontId="166" fillId="141" borderId="11" xfId="49" applyFont="1" applyFill="1" applyBorder="1" applyAlignment="1">
      <alignment horizontal="center" vertical="top" wrapText="1"/>
    </xf>
    <xf numFmtId="0" fontId="166" fillId="141" borderId="133" xfId="49" applyFont="1" applyFill="1" applyBorder="1" applyAlignment="1">
      <alignment horizontal="center"/>
    </xf>
    <xf numFmtId="49" fontId="166" fillId="141" borderId="11" xfId="49" applyNumberFormat="1" applyFont="1" applyFill="1" applyBorder="1" applyAlignment="1">
      <alignment horizontal="center" vertical="top" wrapText="1"/>
    </xf>
    <xf numFmtId="0" fontId="166" fillId="141" borderId="133" xfId="49" applyFont="1" applyFill="1" applyBorder="1" applyAlignment="1" applyProtection="1">
      <alignment horizontal="center"/>
      <protection locked="0"/>
    </xf>
    <xf numFmtId="0" fontId="166" fillId="141" borderId="134" xfId="49" applyFont="1" applyFill="1" applyBorder="1" applyAlignment="1" applyProtection="1">
      <alignment horizontal="center"/>
      <protection locked="0"/>
    </xf>
    <xf numFmtId="0" fontId="166" fillId="141" borderId="350" xfId="49" applyFont="1" applyFill="1" applyBorder="1" applyAlignment="1" applyProtection="1">
      <alignment horizontal="center" vertical="center"/>
      <protection locked="0"/>
    </xf>
    <xf numFmtId="0" fontId="166" fillId="141" borderId="348" xfId="49" applyFont="1" applyFill="1" applyBorder="1" applyAlignment="1">
      <alignment horizontal="center" vertical="top" wrapText="1"/>
    </xf>
    <xf numFmtId="49" fontId="166" fillId="141" borderId="348" xfId="49" applyNumberFormat="1" applyFont="1" applyFill="1" applyBorder="1" applyAlignment="1">
      <alignment horizontal="center" vertical="top" wrapText="1"/>
    </xf>
    <xf numFmtId="0" fontId="166" fillId="141" borderId="18" xfId="49" applyFont="1" applyFill="1" applyBorder="1" applyAlignment="1" applyProtection="1">
      <alignment horizontal="center" vertical="center"/>
      <protection locked="0"/>
    </xf>
    <xf numFmtId="0" fontId="166" fillId="141" borderId="11" xfId="49" applyFont="1" applyFill="1" applyBorder="1" applyAlignment="1" applyProtection="1">
      <alignment horizontal="center" vertical="center"/>
      <protection locked="0"/>
    </xf>
    <xf numFmtId="0" fontId="166" fillId="141" borderId="349" xfId="49" applyFont="1" applyFill="1" applyBorder="1" applyAlignment="1" applyProtection="1">
      <alignment horizontal="center" vertical="center"/>
      <protection locked="0"/>
    </xf>
    <xf numFmtId="0" fontId="166" fillId="141" borderId="26" xfId="49" applyFont="1" applyFill="1" applyBorder="1" applyAlignment="1" applyProtection="1">
      <alignment horizontal="center" vertical="center"/>
      <protection locked="0"/>
    </xf>
    <xf numFmtId="0" fontId="166" fillId="141" borderId="349" xfId="49" applyFont="1" applyFill="1" applyBorder="1" applyAlignment="1">
      <alignment horizontal="center" vertical="top" wrapText="1"/>
    </xf>
    <xf numFmtId="49" fontId="166" fillId="141" borderId="349" xfId="49" applyNumberFormat="1" applyFont="1" applyFill="1" applyBorder="1" applyAlignment="1">
      <alignment horizontal="center" vertical="top" wrapText="1"/>
    </xf>
    <xf numFmtId="0" fontId="166" fillId="141" borderId="26" xfId="49" applyFont="1" applyFill="1" applyBorder="1" applyAlignment="1" applyProtection="1">
      <alignment horizontal="center"/>
      <protection locked="0"/>
    </xf>
    <xf numFmtId="0" fontId="166" fillId="141" borderId="135" xfId="49" applyFont="1" applyFill="1" applyBorder="1" applyAlignment="1" applyProtection="1">
      <alignment horizontal="center"/>
      <protection locked="0"/>
    </xf>
    <xf numFmtId="0" fontId="166" fillId="141" borderId="136" xfId="49" applyFont="1" applyFill="1" applyBorder="1" applyAlignment="1">
      <alignment horizontal="center"/>
    </xf>
    <xf numFmtId="0" fontId="166" fillId="141" borderId="136" xfId="49" applyFont="1" applyFill="1" applyBorder="1" applyAlignment="1" applyProtection="1">
      <alignment horizontal="center"/>
      <protection locked="0"/>
    </xf>
    <xf numFmtId="0" fontId="166" fillId="141" borderId="137" xfId="49" applyFont="1" applyFill="1" applyBorder="1" applyAlignment="1" applyProtection="1">
      <alignment horizontal="center"/>
      <protection locked="0"/>
    </xf>
    <xf numFmtId="0" fontId="166" fillId="141" borderId="11" xfId="49" applyFont="1" applyFill="1" applyBorder="1" applyAlignment="1" applyProtection="1">
      <alignment horizontal="center"/>
      <protection locked="0"/>
    </xf>
    <xf numFmtId="0" fontId="166" fillId="141" borderId="372" xfId="49" applyFont="1" applyFill="1" applyBorder="1" applyAlignment="1" applyProtection="1">
      <alignment horizontal="center"/>
      <protection locked="0"/>
    </xf>
    <xf numFmtId="0" fontId="166" fillId="141" borderId="131" xfId="49" applyFont="1" applyFill="1" applyBorder="1" applyAlignment="1" applyProtection="1">
      <alignment horizontal="center"/>
      <protection locked="0"/>
    </xf>
    <xf numFmtId="0" fontId="166" fillId="141" borderId="241" xfId="49" applyFont="1" applyFill="1" applyBorder="1" applyAlignment="1" applyProtection="1">
      <alignment horizontal="center"/>
      <protection locked="0"/>
    </xf>
    <xf numFmtId="0" fontId="166" fillId="141" borderId="371" xfId="49" applyFont="1" applyFill="1" applyBorder="1" applyAlignment="1" applyProtection="1">
      <alignment horizontal="center"/>
      <protection locked="0"/>
    </xf>
    <xf numFmtId="0" fontId="166" fillId="141" borderId="130" xfId="49" applyFont="1" applyFill="1" applyBorder="1" applyAlignment="1">
      <alignment horizontal="center"/>
    </xf>
    <xf numFmtId="0" fontId="166" fillId="141" borderId="130" xfId="49" applyFont="1" applyFill="1" applyBorder="1" applyAlignment="1" applyProtection="1">
      <alignment horizontal="center"/>
      <protection locked="0"/>
    </xf>
    <xf numFmtId="0" fontId="166" fillId="141" borderId="129" xfId="49" applyFont="1" applyFill="1" applyBorder="1" applyAlignment="1" applyProtection="1">
      <alignment horizontal="center"/>
      <protection locked="0"/>
    </xf>
    <xf numFmtId="0" fontId="167" fillId="141" borderId="348" xfId="49" applyFont="1" applyFill="1" applyBorder="1" applyAlignment="1">
      <alignment horizontal="center" vertical="top" wrapText="1"/>
    </xf>
    <xf numFmtId="0" fontId="167" fillId="141" borderId="136" xfId="49" applyFont="1" applyFill="1" applyBorder="1" applyAlignment="1">
      <alignment horizontal="center"/>
    </xf>
    <xf numFmtId="49" fontId="167" fillId="141" borderId="348" xfId="49" applyNumberFormat="1" applyFont="1" applyFill="1" applyBorder="1" applyAlignment="1">
      <alignment horizontal="center" vertical="top" wrapText="1"/>
    </xf>
    <xf numFmtId="0" fontId="167" fillId="141" borderId="136" xfId="49" applyFont="1" applyFill="1" applyBorder="1" applyAlignment="1" applyProtection="1">
      <alignment horizontal="center"/>
      <protection locked="0"/>
    </xf>
    <xf numFmtId="0" fontId="167" fillId="141" borderId="137" xfId="49" applyFont="1" applyFill="1" applyBorder="1" applyAlignment="1" applyProtection="1">
      <alignment horizontal="center"/>
      <protection locked="0"/>
    </xf>
    <xf numFmtId="0" fontId="5" fillId="141" borderId="374" xfId="49" applyFill="1" applyBorder="1" applyAlignment="1" applyProtection="1">
      <alignment horizontal="center" vertical="center"/>
      <protection locked="0"/>
    </xf>
    <xf numFmtId="0" fontId="50" fillId="55" borderId="137" xfId="49" applyFont="1" applyFill="1" applyBorder="1" applyAlignment="1" applyProtection="1">
      <alignment horizontal="center"/>
      <protection locked="0"/>
    </xf>
    <xf numFmtId="0" fontId="80" fillId="58" borderId="137" xfId="49" applyFont="1" applyFill="1" applyBorder="1" applyAlignment="1" applyProtection="1">
      <alignment horizontal="center"/>
      <protection locked="0"/>
    </xf>
    <xf numFmtId="0" fontId="58" fillId="46" borderId="134" xfId="49" applyFont="1" applyFill="1" applyBorder="1" applyAlignment="1" applyProtection="1">
      <alignment horizontal="center"/>
      <protection locked="0"/>
    </xf>
    <xf numFmtId="0" fontId="62" fillId="56" borderId="131" xfId="49" applyFont="1" applyFill="1" applyBorder="1" applyAlignment="1" applyProtection="1">
      <alignment horizontal="center"/>
      <protection locked="0"/>
    </xf>
    <xf numFmtId="0" fontId="58" fillId="54" borderId="134" xfId="49" applyFont="1" applyFill="1" applyBorder="1" applyAlignment="1" applyProtection="1">
      <alignment horizontal="center"/>
      <protection locked="0"/>
    </xf>
    <xf numFmtId="0" fontId="58" fillId="141" borderId="134" xfId="49" applyFont="1" applyFill="1" applyBorder="1" applyAlignment="1" applyProtection="1">
      <alignment horizontal="center"/>
      <protection locked="0"/>
    </xf>
    <xf numFmtId="0" fontId="14" fillId="131" borderId="376" xfId="48" applyFont="1" applyFill="1" applyBorder="1" applyAlignment="1">
      <alignment horizontal="center" vertical="center"/>
    </xf>
    <xf numFmtId="0" fontId="5" fillId="48" borderId="377" xfId="48" applyFill="1" applyBorder="1"/>
    <xf numFmtId="0" fontId="5" fillId="48" borderId="376" xfId="48" applyFill="1" applyBorder="1"/>
    <xf numFmtId="0" fontId="5" fillId="67" borderId="377" xfId="48" applyFill="1" applyBorder="1"/>
    <xf numFmtId="0" fontId="5" fillId="0" borderId="18" xfId="48" applyBorder="1" applyAlignment="1">
      <alignment horizontal="center"/>
    </xf>
    <xf numFmtId="2" fontId="7" fillId="49" borderId="378" xfId="48" applyNumberFormat="1" applyFont="1" applyFill="1" applyBorder="1" applyAlignment="1">
      <alignment horizontal="center" vertical="center" wrapText="1"/>
    </xf>
    <xf numFmtId="0" fontId="5" fillId="0" borderId="24" xfId="48" applyBorder="1" applyAlignment="1">
      <alignment horizontal="center"/>
    </xf>
    <xf numFmtId="2" fontId="5" fillId="0" borderId="18" xfId="48" applyNumberFormat="1" applyBorder="1" applyAlignment="1">
      <alignment horizontal="center"/>
    </xf>
    <xf numFmtId="0" fontId="5" fillId="0" borderId="376" xfId="48" applyBorder="1" applyAlignment="1">
      <alignment horizontal="center"/>
    </xf>
    <xf numFmtId="0" fontId="148" fillId="50" borderId="380" xfId="47" applyFont="1" applyFill="1" applyBorder="1" applyProtection="1"/>
    <xf numFmtId="0" fontId="7" fillId="61" borderId="353" xfId="0" applyFont="1" applyFill="1" applyBorder="1" applyAlignment="1">
      <alignment horizontal="center" vertical="center" wrapText="1"/>
    </xf>
    <xf numFmtId="0" fontId="5" fillId="54" borderId="126" xfId="0" applyFont="1" applyFill="1" applyBorder="1" applyAlignment="1" applyProtection="1">
      <alignment horizontal="center" vertical="center"/>
      <protection locked="0"/>
    </xf>
    <xf numFmtId="0" fontId="5" fillId="54" borderId="127" xfId="0" applyFont="1" applyFill="1" applyBorder="1" applyAlignment="1" applyProtection="1">
      <alignment horizontal="center" vertical="center"/>
      <protection locked="0"/>
    </xf>
    <xf numFmtId="0" fontId="5" fillId="54" borderId="208" xfId="0" applyFont="1" applyFill="1" applyBorder="1" applyAlignment="1" applyProtection="1">
      <alignment horizontal="center" vertical="center"/>
      <protection locked="0"/>
    </xf>
    <xf numFmtId="0" fontId="5" fillId="54" borderId="128" xfId="0" applyFont="1" applyFill="1" applyBorder="1" applyAlignment="1" applyProtection="1">
      <alignment horizontal="center" vertical="center"/>
      <protection locked="0"/>
    </xf>
    <xf numFmtId="0" fontId="5" fillId="54" borderId="176" xfId="0" applyFont="1" applyFill="1" applyBorder="1" applyAlignment="1" applyProtection="1">
      <alignment horizontal="center"/>
      <protection locked="0"/>
    </xf>
    <xf numFmtId="0" fontId="5" fillId="54" borderId="127" xfId="0" applyFont="1" applyFill="1" applyBorder="1" applyAlignment="1" applyProtection="1">
      <alignment horizontal="center"/>
      <protection locked="0"/>
    </xf>
    <xf numFmtId="0" fontId="5" fillId="54" borderId="208" xfId="0" applyFont="1" applyFill="1" applyBorder="1" applyAlignment="1" applyProtection="1">
      <alignment horizontal="center"/>
      <protection locked="0"/>
    </xf>
    <xf numFmtId="0" fontId="5" fillId="54" borderId="126" xfId="0" applyFont="1" applyFill="1" applyBorder="1" applyAlignment="1" applyProtection="1">
      <alignment horizontal="center"/>
      <protection locked="0"/>
    </xf>
    <xf numFmtId="0" fontId="5" fillId="54" borderId="128" xfId="0" applyFont="1" applyFill="1" applyBorder="1" applyAlignment="1" applyProtection="1">
      <alignment horizontal="center"/>
      <protection locked="0"/>
    </xf>
    <xf numFmtId="0" fontId="5" fillId="54" borderId="127" xfId="0" applyFont="1" applyFill="1" applyBorder="1" applyAlignment="1">
      <alignment horizontal="center" vertical="center"/>
    </xf>
    <xf numFmtId="0" fontId="5" fillId="61" borderId="126" xfId="0" applyFont="1" applyFill="1" applyBorder="1" applyAlignment="1" applyProtection="1">
      <alignment horizontal="center" vertical="center"/>
      <protection locked="0"/>
    </xf>
    <xf numFmtId="0" fontId="5" fillId="61" borderId="127" xfId="0" applyFont="1" applyFill="1" applyBorder="1" applyAlignment="1" applyProtection="1">
      <alignment horizontal="center" vertical="center"/>
      <protection locked="0"/>
    </xf>
    <xf numFmtId="0" fontId="5" fillId="61" borderId="128" xfId="0" applyFont="1" applyFill="1" applyBorder="1" applyAlignment="1" applyProtection="1">
      <alignment horizontal="center" vertical="center"/>
      <protection locked="0"/>
    </xf>
    <xf numFmtId="0" fontId="5" fillId="43" borderId="126" xfId="0" applyFont="1" applyFill="1" applyBorder="1" applyAlignment="1" applyProtection="1">
      <alignment horizontal="center" vertical="center"/>
      <protection locked="0"/>
    </xf>
    <xf numFmtId="0" fontId="5" fillId="43" borderId="127" xfId="0" applyFont="1" applyFill="1" applyBorder="1" applyAlignment="1" applyProtection="1">
      <alignment horizontal="center" vertical="center"/>
      <protection locked="0"/>
    </xf>
    <xf numFmtId="0" fontId="5" fillId="43" borderId="128" xfId="0" applyFont="1" applyFill="1" applyBorder="1" applyAlignment="1" applyProtection="1">
      <alignment horizontal="center" vertical="center"/>
      <protection locked="0"/>
    </xf>
    <xf numFmtId="0" fontId="5" fillId="126" borderId="126" xfId="0" applyFont="1" applyFill="1" applyBorder="1" applyAlignment="1" applyProtection="1">
      <alignment horizontal="center" vertical="center"/>
      <protection locked="0"/>
    </xf>
    <xf numFmtId="0" fontId="5" fillId="126" borderId="127" xfId="0" applyFont="1" applyFill="1" applyBorder="1" applyAlignment="1" applyProtection="1">
      <alignment horizontal="center" vertical="center"/>
      <protection locked="0"/>
    </xf>
    <xf numFmtId="0" fontId="5" fillId="126" borderId="128" xfId="0" applyFont="1" applyFill="1" applyBorder="1" applyAlignment="1" applyProtection="1">
      <alignment horizontal="center" vertical="center"/>
      <protection locked="0"/>
    </xf>
    <xf numFmtId="0" fontId="5" fillId="43" borderId="176" xfId="0" applyFont="1" applyFill="1" applyBorder="1" applyAlignment="1" applyProtection="1">
      <alignment horizontal="center"/>
      <protection locked="0"/>
    </xf>
    <xf numFmtId="0" fontId="5" fillId="43" borderId="127" xfId="0" applyFont="1" applyFill="1" applyBorder="1" applyAlignment="1" applyProtection="1">
      <alignment horizontal="center"/>
      <protection locked="0"/>
    </xf>
    <xf numFmtId="0" fontId="5" fillId="43" borderId="128" xfId="0" applyFont="1" applyFill="1" applyBorder="1" applyAlignment="1" applyProtection="1">
      <alignment horizontal="center"/>
      <protection locked="0"/>
    </xf>
    <xf numFmtId="0" fontId="5" fillId="67" borderId="126" xfId="0" applyFont="1" applyFill="1" applyBorder="1" applyAlignment="1" applyProtection="1">
      <alignment horizontal="center" vertical="center"/>
      <protection locked="0"/>
    </xf>
    <xf numFmtId="0" fontId="5" fillId="67" borderId="127" xfId="0" applyFont="1" applyFill="1" applyBorder="1" applyAlignment="1" applyProtection="1">
      <alignment horizontal="center" vertical="center"/>
      <protection locked="0"/>
    </xf>
    <xf numFmtId="0" fontId="5" fillId="67" borderId="128" xfId="0" applyFont="1" applyFill="1" applyBorder="1" applyAlignment="1" applyProtection="1">
      <alignment horizontal="center" vertical="center"/>
      <protection locked="0"/>
    </xf>
    <xf numFmtId="0" fontId="5" fillId="67" borderId="127" xfId="0" applyFont="1" applyFill="1" applyBorder="1" applyAlignment="1">
      <alignment horizontal="center" vertical="center"/>
    </xf>
    <xf numFmtId="0" fontId="5" fillId="67" borderId="128" xfId="0" applyFont="1" applyFill="1" applyBorder="1" applyAlignment="1">
      <alignment horizontal="center" vertical="center"/>
    </xf>
    <xf numFmtId="0" fontId="5" fillId="96" borderId="126" xfId="0" applyFont="1" applyFill="1" applyBorder="1" applyAlignment="1" applyProtection="1">
      <alignment horizontal="center" vertical="center"/>
      <protection locked="0"/>
    </xf>
    <xf numFmtId="0" fontId="5" fillId="96" borderId="127" xfId="0" applyFont="1" applyFill="1" applyBorder="1" applyAlignment="1" applyProtection="1">
      <alignment horizontal="center" vertical="center"/>
      <protection locked="0"/>
    </xf>
    <xf numFmtId="0" fontId="5" fillId="96" borderId="128" xfId="0" applyFont="1" applyFill="1" applyBorder="1" applyAlignment="1" applyProtection="1">
      <alignment horizontal="center" vertical="center"/>
      <protection locked="0"/>
    </xf>
    <xf numFmtId="0" fontId="5" fillId="96" borderId="176" xfId="0" applyFont="1" applyFill="1" applyBorder="1" applyAlignment="1" applyProtection="1">
      <alignment horizontal="center" vertical="center"/>
      <protection locked="0"/>
    </xf>
    <xf numFmtId="0" fontId="5" fillId="64" borderId="126" xfId="0" applyFont="1" applyFill="1" applyBorder="1" applyAlignment="1" applyProtection="1">
      <alignment horizontal="center" vertical="center"/>
      <protection locked="0"/>
    </xf>
    <xf numFmtId="0" fontId="5" fillId="64" borderId="127" xfId="0" applyFont="1" applyFill="1" applyBorder="1" applyAlignment="1" applyProtection="1">
      <alignment horizontal="center" vertical="center"/>
      <protection locked="0"/>
    </xf>
    <xf numFmtId="0" fontId="5" fillId="64" borderId="128" xfId="0" applyFont="1" applyFill="1" applyBorder="1" applyAlignment="1" applyProtection="1">
      <alignment horizontal="center" vertical="center"/>
      <protection locked="0"/>
    </xf>
    <xf numFmtId="0" fontId="5" fillId="127" borderId="127" xfId="0" applyFont="1" applyFill="1" applyBorder="1" applyAlignment="1">
      <alignment horizontal="center" vertical="center"/>
    </xf>
    <xf numFmtId="0" fontId="5" fillId="127" borderId="127" xfId="0" applyFont="1" applyFill="1" applyBorder="1" applyAlignment="1" applyProtection="1">
      <alignment horizontal="center" vertical="center"/>
      <protection locked="0"/>
    </xf>
    <xf numFmtId="0" fontId="5" fillId="127" borderId="127" xfId="0" applyFont="1" applyFill="1" applyBorder="1" applyAlignment="1" applyProtection="1">
      <alignment horizontal="center"/>
      <protection locked="0"/>
    </xf>
    <xf numFmtId="0" fontId="5" fillId="127" borderId="128" xfId="0" applyFont="1" applyFill="1" applyBorder="1" applyAlignment="1" applyProtection="1">
      <alignment horizontal="center"/>
      <protection locked="0"/>
    </xf>
    <xf numFmtId="0" fontId="5" fillId="127" borderId="176" xfId="0" applyFont="1" applyFill="1" applyBorder="1" applyAlignment="1">
      <alignment horizontal="center" vertical="center"/>
    </xf>
    <xf numFmtId="0" fontId="5" fillId="55" borderId="126" xfId="0" applyFont="1" applyFill="1" applyBorder="1" applyAlignment="1" applyProtection="1">
      <alignment horizontal="center" vertical="center"/>
      <protection locked="0"/>
    </xf>
    <xf numFmtId="0" fontId="5" fillId="55" borderId="127" xfId="0" applyFont="1" applyFill="1" applyBorder="1" applyAlignment="1" applyProtection="1">
      <alignment horizontal="center" vertical="center"/>
      <protection locked="0"/>
    </xf>
    <xf numFmtId="0" fontId="5" fillId="55" borderId="128" xfId="0" applyFont="1" applyFill="1" applyBorder="1" applyAlignment="1" applyProtection="1">
      <alignment horizontal="center" vertical="center"/>
      <protection locked="0"/>
    </xf>
    <xf numFmtId="0" fontId="5" fillId="55" borderId="176" xfId="0" applyFont="1" applyFill="1" applyBorder="1" applyAlignment="1" applyProtection="1">
      <alignment horizontal="center" vertical="center"/>
      <protection locked="0"/>
    </xf>
    <xf numFmtId="0" fontId="5" fillId="123" borderId="126" xfId="0" applyFont="1" applyFill="1" applyBorder="1" applyAlignment="1" applyProtection="1">
      <alignment horizontal="center" vertical="center"/>
      <protection locked="0"/>
    </xf>
    <xf numFmtId="0" fontId="5" fillId="123" borderId="127" xfId="0" applyFont="1" applyFill="1" applyBorder="1" applyAlignment="1" applyProtection="1">
      <alignment horizontal="center" vertical="center"/>
      <protection locked="0"/>
    </xf>
    <xf numFmtId="0" fontId="5" fillId="123" borderId="128" xfId="0" applyFont="1" applyFill="1" applyBorder="1" applyAlignment="1" applyProtection="1">
      <alignment horizontal="center" vertical="center"/>
      <protection locked="0"/>
    </xf>
    <xf numFmtId="0" fontId="5" fillId="124" borderId="126" xfId="0" applyFont="1" applyFill="1" applyBorder="1" applyAlignment="1" applyProtection="1">
      <alignment horizontal="center" vertical="center"/>
      <protection locked="0"/>
    </xf>
    <xf numFmtId="0" fontId="5" fillId="124" borderId="127" xfId="0" applyFont="1" applyFill="1" applyBorder="1" applyAlignment="1" applyProtection="1">
      <alignment horizontal="center" vertical="center"/>
      <protection locked="0"/>
    </xf>
    <xf numFmtId="0" fontId="5" fillId="124" borderId="128" xfId="0" applyFont="1" applyFill="1" applyBorder="1" applyAlignment="1" applyProtection="1">
      <alignment horizontal="center" vertical="center"/>
      <protection locked="0"/>
    </xf>
    <xf numFmtId="0" fontId="5" fillId="45" borderId="126" xfId="0" applyFont="1" applyFill="1" applyBorder="1" applyAlignment="1" applyProtection="1">
      <alignment horizontal="center" vertical="center"/>
      <protection locked="0"/>
    </xf>
    <xf numFmtId="0" fontId="5" fillId="45" borderId="127" xfId="0" applyFont="1" applyFill="1" applyBorder="1" applyAlignment="1" applyProtection="1">
      <alignment horizontal="center" vertical="center"/>
      <protection locked="0"/>
    </xf>
    <xf numFmtId="0" fontId="5" fillId="45" borderId="128" xfId="0" applyFont="1" applyFill="1" applyBorder="1" applyAlignment="1" applyProtection="1">
      <alignment horizontal="center" vertical="center"/>
      <protection locked="0"/>
    </xf>
    <xf numFmtId="0" fontId="5" fillId="122" borderId="126" xfId="0" applyFont="1" applyFill="1" applyBorder="1" applyAlignment="1" applyProtection="1">
      <alignment horizontal="center" vertical="center"/>
      <protection locked="0"/>
    </xf>
    <xf numFmtId="0" fontId="5" fillId="122" borderId="127" xfId="0" applyFont="1" applyFill="1" applyBorder="1" applyAlignment="1" applyProtection="1">
      <alignment horizontal="center" vertical="center"/>
      <protection locked="0"/>
    </xf>
    <xf numFmtId="0" fontId="5" fillId="122" borderId="128" xfId="0" applyFont="1" applyFill="1" applyBorder="1" applyAlignment="1" applyProtection="1">
      <alignment horizontal="center" vertical="center"/>
      <protection locked="0"/>
    </xf>
    <xf numFmtId="0" fontId="5" fillId="68" borderId="126" xfId="0" applyFont="1" applyFill="1" applyBorder="1" applyAlignment="1" applyProtection="1">
      <alignment horizontal="center" vertical="center"/>
      <protection locked="0"/>
    </xf>
    <xf numFmtId="0" fontId="5" fillId="68" borderId="127" xfId="0" applyFont="1" applyFill="1" applyBorder="1" applyAlignment="1" applyProtection="1">
      <alignment horizontal="center" vertical="center"/>
      <protection locked="0"/>
    </xf>
    <xf numFmtId="0" fontId="5" fillId="68" borderId="128" xfId="0" applyFont="1" applyFill="1" applyBorder="1" applyAlignment="1" applyProtection="1">
      <alignment horizontal="center" vertical="center"/>
      <protection locked="0"/>
    </xf>
    <xf numFmtId="0" fontId="5" fillId="91" borderId="126" xfId="0" applyFont="1" applyFill="1" applyBorder="1" applyAlignment="1" applyProtection="1">
      <alignment horizontal="center" vertical="center"/>
      <protection locked="0"/>
    </xf>
    <xf numFmtId="0" fontId="5" fillId="91" borderId="127" xfId="0" applyFont="1" applyFill="1" applyBorder="1" applyAlignment="1" applyProtection="1">
      <alignment horizontal="center" vertical="center"/>
      <protection locked="0"/>
    </xf>
    <xf numFmtId="0" fontId="5" fillId="91" borderId="128" xfId="0" applyFont="1" applyFill="1" applyBorder="1" applyAlignment="1" applyProtection="1">
      <alignment horizontal="center" vertical="center"/>
      <protection locked="0"/>
    </xf>
    <xf numFmtId="0" fontId="5" fillId="65" borderId="126" xfId="0" applyFont="1" applyFill="1" applyBorder="1" applyAlignment="1" applyProtection="1">
      <alignment horizontal="center" vertical="center"/>
      <protection locked="0"/>
    </xf>
    <xf numFmtId="0" fontId="5" fillId="65" borderId="127" xfId="0" applyFont="1" applyFill="1" applyBorder="1" applyAlignment="1" applyProtection="1">
      <alignment horizontal="center" vertical="center"/>
      <protection locked="0"/>
    </xf>
    <xf numFmtId="0" fontId="5" fillId="65" borderId="128" xfId="0" applyFont="1" applyFill="1" applyBorder="1" applyAlignment="1" applyProtection="1">
      <alignment horizontal="center" vertical="center"/>
      <protection locked="0"/>
    </xf>
    <xf numFmtId="0" fontId="5" fillId="125" borderId="126" xfId="0" applyFont="1" applyFill="1" applyBorder="1" applyAlignment="1" applyProtection="1">
      <alignment horizontal="center" vertical="center"/>
      <protection locked="0"/>
    </xf>
    <xf numFmtId="0" fontId="5" fillId="125" borderId="127" xfId="0" applyFont="1" applyFill="1" applyBorder="1" applyAlignment="1" applyProtection="1">
      <alignment horizontal="center" vertical="center"/>
      <protection locked="0"/>
    </xf>
    <xf numFmtId="0" fontId="5" fillId="125" borderId="128" xfId="0" applyFont="1" applyFill="1" applyBorder="1" applyAlignment="1" applyProtection="1">
      <alignment horizontal="center" vertical="center"/>
      <protection locked="0"/>
    </xf>
    <xf numFmtId="0" fontId="5" fillId="24" borderId="126" xfId="0" applyFont="1" applyFill="1" applyBorder="1" applyAlignment="1" applyProtection="1">
      <alignment horizontal="center" vertical="center"/>
      <protection locked="0"/>
    </xf>
    <xf numFmtId="0" fontId="5" fillId="24" borderId="127" xfId="0" applyFont="1" applyFill="1" applyBorder="1" applyAlignment="1" applyProtection="1">
      <alignment horizontal="center" vertical="center"/>
      <protection locked="0"/>
    </xf>
    <xf numFmtId="0" fontId="5" fillId="24" borderId="128" xfId="0" applyFont="1" applyFill="1" applyBorder="1" applyAlignment="1" applyProtection="1">
      <alignment horizontal="center" vertical="center"/>
      <protection locked="0"/>
    </xf>
    <xf numFmtId="0" fontId="5" fillId="24" borderId="176" xfId="0" applyFont="1" applyFill="1" applyBorder="1" applyAlignment="1" applyProtection="1">
      <alignment horizontal="center"/>
      <protection locked="0"/>
    </xf>
    <xf numFmtId="0" fontId="5" fillId="24" borderId="127" xfId="0" applyFont="1" applyFill="1" applyBorder="1" applyAlignment="1" applyProtection="1">
      <alignment horizontal="center"/>
      <protection locked="0"/>
    </xf>
    <xf numFmtId="0" fontId="5" fillId="24" borderId="128" xfId="0" applyFont="1" applyFill="1" applyBorder="1" applyAlignment="1" applyProtection="1">
      <alignment horizontal="center"/>
      <protection locked="0"/>
    </xf>
    <xf numFmtId="0" fontId="5" fillId="24" borderId="126" xfId="0" applyFont="1" applyFill="1" applyBorder="1" applyAlignment="1">
      <alignment horizontal="center" vertical="center"/>
    </xf>
    <xf numFmtId="0" fontId="5" fillId="24" borderId="127" xfId="0" applyFont="1" applyFill="1" applyBorder="1" applyAlignment="1">
      <alignment horizontal="center" vertical="center"/>
    </xf>
    <xf numFmtId="0" fontId="5" fillId="24" borderId="128" xfId="0" applyFont="1" applyFill="1" applyBorder="1" applyAlignment="1">
      <alignment horizontal="center" vertical="center"/>
    </xf>
    <xf numFmtId="0" fontId="7" fillId="61" borderId="381" xfId="0" applyFont="1" applyFill="1" applyBorder="1" applyAlignment="1">
      <alignment horizontal="center" vertical="center" wrapText="1"/>
    </xf>
    <xf numFmtId="0" fontId="5" fillId="54" borderId="382" xfId="0" applyFont="1" applyFill="1" applyBorder="1" applyAlignment="1" applyProtection="1">
      <alignment horizontal="center" vertical="center"/>
      <protection locked="0"/>
    </xf>
    <xf numFmtId="0" fontId="5" fillId="54" borderId="383" xfId="0" applyFont="1" applyFill="1" applyBorder="1" applyAlignment="1" applyProtection="1">
      <alignment horizontal="center" vertical="center"/>
      <protection locked="0"/>
    </xf>
    <xf numFmtId="0" fontId="5" fillId="54" borderId="384" xfId="0" applyFont="1" applyFill="1" applyBorder="1" applyAlignment="1" applyProtection="1">
      <alignment horizontal="center" vertical="center"/>
      <protection locked="0"/>
    </xf>
    <xf numFmtId="0" fontId="5" fillId="54" borderId="382" xfId="0" applyFont="1" applyFill="1" applyBorder="1" applyAlignment="1">
      <alignment horizontal="center" vertical="center"/>
    </xf>
    <xf numFmtId="0" fontId="5" fillId="54" borderId="383" xfId="0" applyFont="1" applyFill="1" applyBorder="1" applyAlignment="1">
      <alignment horizontal="center" vertical="center"/>
    </xf>
    <xf numFmtId="0" fontId="5" fillId="54" borderId="385" xfId="0" applyFont="1" applyFill="1" applyBorder="1" applyAlignment="1">
      <alignment horizontal="center" vertical="center"/>
    </xf>
    <xf numFmtId="0" fontId="5" fillId="54" borderId="386" xfId="0" applyFont="1" applyFill="1" applyBorder="1" applyAlignment="1" applyProtection="1">
      <alignment horizontal="center"/>
      <protection locked="0"/>
    </xf>
    <xf numFmtId="0" fontId="5" fillId="54" borderId="383" xfId="0" applyFont="1" applyFill="1" applyBorder="1" applyAlignment="1" applyProtection="1">
      <alignment horizontal="center"/>
      <protection locked="0"/>
    </xf>
    <xf numFmtId="0" fontId="5" fillId="54" borderId="384" xfId="0" applyFont="1" applyFill="1" applyBorder="1" applyAlignment="1" applyProtection="1">
      <alignment horizontal="center"/>
      <protection locked="0"/>
    </xf>
    <xf numFmtId="0" fontId="5" fillId="61" borderId="382" xfId="0" applyFont="1" applyFill="1" applyBorder="1" applyAlignment="1" applyProtection="1">
      <alignment horizontal="center" vertical="center"/>
      <protection locked="0"/>
    </xf>
    <xf numFmtId="0" fontId="5" fillId="61" borderId="383" xfId="0" applyFont="1" applyFill="1" applyBorder="1" applyAlignment="1" applyProtection="1">
      <alignment horizontal="center" vertical="center"/>
      <protection locked="0"/>
    </xf>
    <xf numFmtId="0" fontId="5" fillId="43" borderId="382" xfId="0" applyFont="1" applyFill="1" applyBorder="1" applyAlignment="1" applyProtection="1">
      <alignment horizontal="center" vertical="center"/>
      <protection locked="0"/>
    </xf>
    <xf numFmtId="0" fontId="5" fillId="43" borderId="383" xfId="0" applyFont="1" applyFill="1" applyBorder="1" applyAlignment="1" applyProtection="1">
      <alignment horizontal="center" vertical="center"/>
      <protection locked="0"/>
    </xf>
    <xf numFmtId="0" fontId="5" fillId="43" borderId="383" xfId="0" applyFont="1" applyFill="1" applyBorder="1" applyAlignment="1">
      <alignment horizontal="center" vertical="center"/>
    </xf>
    <xf numFmtId="0" fontId="5" fillId="43" borderId="385" xfId="0" applyFont="1" applyFill="1" applyBorder="1" applyAlignment="1">
      <alignment horizontal="center" vertical="center"/>
    </xf>
    <xf numFmtId="0" fontId="5" fillId="126" borderId="382" xfId="0" applyFont="1" applyFill="1" applyBorder="1" applyAlignment="1" applyProtection="1">
      <alignment horizontal="center" vertical="center"/>
      <protection locked="0"/>
    </xf>
    <xf numFmtId="0" fontId="5" fillId="126" borderId="383" xfId="0" applyFont="1" applyFill="1" applyBorder="1" applyAlignment="1" applyProtection="1">
      <alignment horizontal="center" vertical="center"/>
      <protection locked="0"/>
    </xf>
    <xf numFmtId="0" fontId="5" fillId="126" borderId="383" xfId="0" applyFont="1" applyFill="1" applyBorder="1" applyAlignment="1">
      <alignment horizontal="center" vertical="center"/>
    </xf>
    <xf numFmtId="0" fontId="5" fillId="126" borderId="385" xfId="0" applyFont="1" applyFill="1" applyBorder="1" applyAlignment="1">
      <alignment horizontal="center" vertical="center"/>
    </xf>
    <xf numFmtId="0" fontId="5" fillId="43" borderId="386" xfId="0" applyFont="1" applyFill="1" applyBorder="1" applyAlignment="1" applyProtection="1">
      <alignment horizontal="center"/>
      <protection locked="0"/>
    </xf>
    <xf numFmtId="0" fontId="5" fillId="43" borderId="383" xfId="0" applyFont="1" applyFill="1" applyBorder="1" applyAlignment="1" applyProtection="1">
      <alignment horizontal="center"/>
      <protection locked="0"/>
    </xf>
    <xf numFmtId="0" fontId="5" fillId="43" borderId="383" xfId="0" applyFont="1" applyFill="1" applyBorder="1" applyAlignment="1">
      <alignment horizontal="center"/>
    </xf>
    <xf numFmtId="0" fontId="5" fillId="43" borderId="385" xfId="0" applyFont="1" applyFill="1" applyBorder="1" applyAlignment="1">
      <alignment horizontal="center"/>
    </xf>
    <xf numFmtId="0" fontId="5" fillId="67" borderId="382" xfId="0" applyFont="1" applyFill="1" applyBorder="1" applyAlignment="1" applyProtection="1">
      <alignment horizontal="center" vertical="center"/>
      <protection locked="0"/>
    </xf>
    <xf numFmtId="0" fontId="5" fillId="67" borderId="383" xfId="0" applyFont="1" applyFill="1" applyBorder="1" applyAlignment="1" applyProtection="1">
      <alignment horizontal="center" vertical="center"/>
      <protection locked="0"/>
    </xf>
    <xf numFmtId="0" fontId="5" fillId="67" borderId="383" xfId="0" applyFont="1" applyFill="1" applyBorder="1" applyAlignment="1">
      <alignment horizontal="center" vertical="center"/>
    </xf>
    <xf numFmtId="0" fontId="5" fillId="67" borderId="385" xfId="0" applyFont="1" applyFill="1" applyBorder="1" applyAlignment="1">
      <alignment horizontal="center" vertical="center"/>
    </xf>
    <xf numFmtId="0" fontId="5" fillId="67" borderId="383" xfId="0" applyFont="1" applyFill="1" applyBorder="1" applyAlignment="1" applyProtection="1">
      <alignment horizontal="center"/>
      <protection locked="0"/>
    </xf>
    <xf numFmtId="0" fontId="5" fillId="67" borderId="383" xfId="0" applyFont="1" applyFill="1" applyBorder="1" applyAlignment="1">
      <alignment horizontal="center"/>
    </xf>
    <xf numFmtId="0" fontId="5" fillId="67" borderId="385" xfId="0" applyFont="1" applyFill="1" applyBorder="1" applyAlignment="1">
      <alignment horizontal="center"/>
    </xf>
    <xf numFmtId="0" fontId="5" fillId="67" borderId="386" xfId="0" applyFont="1" applyFill="1" applyBorder="1" applyAlignment="1" applyProtection="1">
      <alignment horizontal="center"/>
      <protection locked="0"/>
    </xf>
    <xf numFmtId="0" fontId="5" fillId="96" borderId="382" xfId="0" applyFont="1" applyFill="1" applyBorder="1" applyAlignment="1" applyProtection="1">
      <alignment horizontal="center" vertical="center"/>
      <protection locked="0"/>
    </xf>
    <xf numFmtId="0" fontId="5" fillId="96" borderId="383" xfId="0" applyFont="1" applyFill="1" applyBorder="1" applyAlignment="1" applyProtection="1">
      <alignment horizontal="center" vertical="center"/>
      <protection locked="0"/>
    </xf>
    <xf numFmtId="0" fontId="5" fillId="96" borderId="383" xfId="0" applyFont="1" applyFill="1" applyBorder="1" applyAlignment="1">
      <alignment horizontal="center" vertical="center"/>
    </xf>
    <xf numFmtId="0" fontId="5" fillId="96" borderId="385" xfId="0" applyFont="1" applyFill="1" applyBorder="1" applyAlignment="1">
      <alignment horizontal="center" vertical="center"/>
    </xf>
    <xf numFmtId="0" fontId="5" fillId="64" borderId="382" xfId="0" applyFont="1" applyFill="1" applyBorder="1" applyAlignment="1" applyProtection="1">
      <alignment horizontal="center" vertical="center"/>
      <protection locked="0"/>
    </xf>
    <xf numFmtId="0" fontId="5" fillId="64" borderId="383" xfId="0" applyFont="1" applyFill="1" applyBorder="1" applyAlignment="1" applyProtection="1">
      <alignment horizontal="center" vertical="center"/>
      <protection locked="0"/>
    </xf>
    <xf numFmtId="0" fontId="5" fillId="64" borderId="383" xfId="0" applyFont="1" applyFill="1" applyBorder="1" applyAlignment="1">
      <alignment horizontal="center" vertical="center"/>
    </xf>
    <xf numFmtId="0" fontId="5" fillId="64" borderId="385" xfId="0" applyFont="1" applyFill="1" applyBorder="1" applyAlignment="1">
      <alignment horizontal="center" vertical="center"/>
    </xf>
    <xf numFmtId="0" fontId="5" fillId="127" borderId="386" xfId="0" applyFont="1" applyFill="1" applyBorder="1" applyAlignment="1" applyProtection="1">
      <alignment horizontal="center"/>
      <protection locked="0"/>
    </xf>
    <xf numFmtId="0" fontId="5" fillId="127" borderId="383" xfId="0" applyFont="1" applyFill="1" applyBorder="1" applyAlignment="1" applyProtection="1">
      <alignment horizontal="center"/>
      <protection locked="0"/>
    </xf>
    <xf numFmtId="0" fontId="5" fillId="127" borderId="383" xfId="0" applyFont="1" applyFill="1" applyBorder="1" applyAlignment="1">
      <alignment horizontal="center"/>
    </xf>
    <xf numFmtId="0" fontId="5" fillId="127" borderId="385" xfId="0" applyFont="1" applyFill="1" applyBorder="1" applyAlignment="1">
      <alignment horizontal="center"/>
    </xf>
    <xf numFmtId="0" fontId="5" fillId="55" borderId="382" xfId="0" applyFont="1" applyFill="1" applyBorder="1" applyAlignment="1" applyProtection="1">
      <alignment horizontal="center" vertical="center"/>
      <protection locked="0"/>
    </xf>
    <xf numFmtId="0" fontId="5" fillId="55" borderId="383" xfId="0" applyFont="1" applyFill="1" applyBorder="1" applyAlignment="1" applyProtection="1">
      <alignment horizontal="center" vertical="center"/>
      <protection locked="0"/>
    </xf>
    <xf numFmtId="0" fontId="5" fillId="55" borderId="383" xfId="0" applyFont="1" applyFill="1" applyBorder="1" applyAlignment="1">
      <alignment horizontal="center" vertical="center"/>
    </xf>
    <xf numFmtId="0" fontId="5" fillId="55" borderId="385" xfId="0" applyFont="1" applyFill="1" applyBorder="1" applyAlignment="1">
      <alignment horizontal="center" vertical="center"/>
    </xf>
    <xf numFmtId="0" fontId="5" fillId="123" borderId="382" xfId="0" applyFont="1" applyFill="1" applyBorder="1" applyAlignment="1" applyProtection="1">
      <alignment horizontal="center" vertical="center"/>
      <protection locked="0"/>
    </xf>
    <xf numFmtId="0" fontId="5" fillId="123" borderId="383" xfId="0" applyFont="1" applyFill="1" applyBorder="1" applyAlignment="1" applyProtection="1">
      <alignment horizontal="center" vertical="center"/>
      <protection locked="0"/>
    </xf>
    <xf numFmtId="0" fontId="5" fillId="123" borderId="383" xfId="0" applyFont="1" applyFill="1" applyBorder="1" applyAlignment="1">
      <alignment horizontal="center" vertical="center"/>
    </xf>
    <xf numFmtId="0" fontId="5" fillId="123" borderId="385" xfId="0" applyFont="1" applyFill="1" applyBorder="1" applyAlignment="1">
      <alignment horizontal="center" vertical="center"/>
    </xf>
    <xf numFmtId="0" fontId="5" fillId="43" borderId="385" xfId="0" applyFont="1" applyFill="1" applyBorder="1" applyAlignment="1" applyProtection="1">
      <alignment horizontal="center" vertical="center"/>
      <protection locked="0"/>
    </xf>
    <xf numFmtId="0" fontId="5" fillId="43" borderId="385" xfId="0" applyFont="1" applyFill="1" applyBorder="1" applyAlignment="1" applyProtection="1">
      <alignment horizontal="center"/>
      <protection locked="0"/>
    </xf>
    <xf numFmtId="0" fontId="5" fillId="124" borderId="382" xfId="0" applyFont="1" applyFill="1" applyBorder="1" applyAlignment="1" applyProtection="1">
      <alignment horizontal="center" vertical="center"/>
      <protection locked="0"/>
    </xf>
    <xf numFmtId="0" fontId="5" fillId="124" borderId="383" xfId="0" applyFont="1" applyFill="1" applyBorder="1" applyAlignment="1" applyProtection="1">
      <alignment horizontal="center" vertical="center"/>
      <protection locked="0"/>
    </xf>
    <xf numFmtId="0" fontId="5" fillId="124" borderId="383" xfId="0" applyFont="1" applyFill="1" applyBorder="1" applyAlignment="1">
      <alignment horizontal="center" vertical="center"/>
    </xf>
    <xf numFmtId="0" fontId="5" fillId="124" borderId="385" xfId="0" applyFont="1" applyFill="1" applyBorder="1" applyAlignment="1">
      <alignment horizontal="center" vertical="center"/>
    </xf>
    <xf numFmtId="0" fontId="5" fillId="45" borderId="382" xfId="0" applyFont="1" applyFill="1" applyBorder="1" applyAlignment="1" applyProtection="1">
      <alignment horizontal="center" vertical="center"/>
      <protection locked="0"/>
    </xf>
    <xf numFmtId="0" fontId="5" fillId="45" borderId="383" xfId="0" applyFont="1" applyFill="1" applyBorder="1" applyAlignment="1" applyProtection="1">
      <alignment horizontal="center" vertical="center"/>
      <protection locked="0"/>
    </xf>
    <xf numFmtId="0" fontId="5" fillId="45" borderId="383" xfId="0" applyFont="1" applyFill="1" applyBorder="1" applyAlignment="1">
      <alignment horizontal="center" vertical="center"/>
    </xf>
    <xf numFmtId="0" fontId="5" fillId="45" borderId="385" xfId="0" applyFont="1" applyFill="1" applyBorder="1" applyAlignment="1">
      <alignment horizontal="center" vertical="center"/>
    </xf>
    <xf numFmtId="0" fontId="5" fillId="61" borderId="383" xfId="0" applyFont="1" applyFill="1" applyBorder="1" applyAlignment="1">
      <alignment horizontal="center" vertical="center"/>
    </xf>
    <xf numFmtId="0" fontId="5" fillId="61" borderId="385" xfId="0" applyFont="1" applyFill="1" applyBorder="1" applyAlignment="1">
      <alignment horizontal="center" vertical="center"/>
    </xf>
    <xf numFmtId="0" fontId="5" fillId="122" borderId="382" xfId="0" applyFont="1" applyFill="1" applyBorder="1" applyAlignment="1" applyProtection="1">
      <alignment horizontal="center" vertical="center"/>
      <protection locked="0"/>
    </xf>
    <xf numFmtId="0" fontId="5" fillId="122" borderId="383" xfId="0" applyFont="1" applyFill="1" applyBorder="1" applyAlignment="1" applyProtection="1">
      <alignment horizontal="center" vertical="center"/>
      <protection locked="0"/>
    </xf>
    <xf numFmtId="0" fontId="5" fillId="122" borderId="383" xfId="0" applyFont="1" applyFill="1" applyBorder="1" applyAlignment="1">
      <alignment horizontal="center" vertical="center"/>
    </xf>
    <xf numFmtId="0" fontId="5" fillId="122" borderId="385" xfId="0" applyFont="1" applyFill="1" applyBorder="1" applyAlignment="1">
      <alignment horizontal="center" vertical="center"/>
    </xf>
    <xf numFmtId="0" fontId="5" fillId="68" borderId="382" xfId="0" applyFont="1" applyFill="1" applyBorder="1" applyAlignment="1" applyProtection="1">
      <alignment horizontal="center" vertical="center"/>
      <protection locked="0"/>
    </xf>
    <xf numFmtId="0" fontId="5" fillId="68" borderId="383" xfId="0" applyFont="1" applyFill="1" applyBorder="1" applyAlignment="1" applyProtection="1">
      <alignment horizontal="center" vertical="center"/>
      <protection locked="0"/>
    </xf>
    <xf numFmtId="0" fontId="5" fillId="68" borderId="383" xfId="0" applyFont="1" applyFill="1" applyBorder="1" applyAlignment="1">
      <alignment horizontal="center" vertical="center"/>
    </xf>
    <xf numFmtId="0" fontId="5" fillId="68" borderId="385" xfId="0" applyFont="1" applyFill="1" applyBorder="1" applyAlignment="1">
      <alignment horizontal="center" vertical="center"/>
    </xf>
    <xf numFmtId="0" fontId="5" fillId="91" borderId="382" xfId="0" applyFont="1" applyFill="1" applyBorder="1" applyAlignment="1" applyProtection="1">
      <alignment horizontal="center" vertical="center"/>
      <protection locked="0"/>
    </xf>
    <xf numFmtId="0" fontId="5" fillId="91" borderId="383" xfId="0" applyFont="1" applyFill="1" applyBorder="1" applyAlignment="1" applyProtection="1">
      <alignment horizontal="center" vertical="center"/>
      <protection locked="0"/>
    </xf>
    <xf numFmtId="0" fontId="5" fillId="91" borderId="383" xfId="0" applyFont="1" applyFill="1" applyBorder="1" applyAlignment="1">
      <alignment horizontal="center" vertical="center"/>
    </xf>
    <xf numFmtId="0" fontId="5" fillId="91" borderId="385" xfId="0" applyFont="1" applyFill="1" applyBorder="1" applyAlignment="1">
      <alignment horizontal="center" vertical="center"/>
    </xf>
    <xf numFmtId="0" fontId="5" fillId="65" borderId="382" xfId="0" applyFont="1" applyFill="1" applyBorder="1" applyAlignment="1" applyProtection="1">
      <alignment horizontal="center" vertical="center"/>
      <protection locked="0"/>
    </xf>
    <xf numFmtId="0" fontId="5" fillId="65" borderId="383" xfId="0" applyFont="1" applyFill="1" applyBorder="1" applyAlignment="1" applyProtection="1">
      <alignment horizontal="center" vertical="center"/>
      <protection locked="0"/>
    </xf>
    <xf numFmtId="0" fontId="5" fillId="65" borderId="383" xfId="0" applyFont="1" applyFill="1" applyBorder="1" applyAlignment="1">
      <alignment horizontal="center" vertical="center"/>
    </xf>
    <xf numFmtId="0" fontId="5" fillId="65" borderId="385" xfId="0" applyFont="1" applyFill="1" applyBorder="1" applyAlignment="1">
      <alignment horizontal="center" vertical="center"/>
    </xf>
    <xf numFmtId="0" fontId="5" fillId="125" borderId="382" xfId="0" applyFont="1" applyFill="1" applyBorder="1" applyAlignment="1" applyProtection="1">
      <alignment horizontal="center" vertical="center"/>
      <protection locked="0"/>
    </xf>
    <xf numFmtId="0" fontId="5" fillId="125" borderId="383" xfId="0" applyFont="1" applyFill="1" applyBorder="1" applyAlignment="1" applyProtection="1">
      <alignment horizontal="center" vertical="center"/>
      <protection locked="0"/>
    </xf>
    <xf numFmtId="0" fontId="5" fillId="125" borderId="383" xfId="0" applyFont="1" applyFill="1" applyBorder="1" applyAlignment="1">
      <alignment horizontal="center" vertical="center"/>
    </xf>
    <xf numFmtId="0" fontId="5" fillId="125" borderId="385" xfId="0" applyFont="1" applyFill="1" applyBorder="1" applyAlignment="1">
      <alignment horizontal="center" vertical="center"/>
    </xf>
    <xf numFmtId="0" fontId="5" fillId="24" borderId="382" xfId="0" applyFont="1" applyFill="1" applyBorder="1" applyAlignment="1" applyProtection="1">
      <alignment horizontal="center" vertical="center"/>
      <protection locked="0"/>
    </xf>
    <xf numFmtId="0" fontId="5" fillId="24" borderId="383" xfId="0" applyFont="1" applyFill="1" applyBorder="1" applyAlignment="1" applyProtection="1">
      <alignment horizontal="center" vertical="center"/>
      <protection locked="0"/>
    </xf>
    <xf numFmtId="0" fontId="5" fillId="24" borderId="383" xfId="0" applyFont="1" applyFill="1" applyBorder="1" applyAlignment="1">
      <alignment horizontal="center" vertical="center"/>
    </xf>
    <xf numFmtId="0" fontId="5" fillId="24" borderId="385" xfId="0" applyFont="1" applyFill="1" applyBorder="1" applyAlignment="1">
      <alignment horizontal="center" vertical="center"/>
    </xf>
    <xf numFmtId="0" fontId="5" fillId="24" borderId="386" xfId="0" applyFont="1" applyFill="1" applyBorder="1" applyAlignment="1" applyProtection="1">
      <alignment horizontal="center"/>
      <protection locked="0"/>
    </xf>
    <xf numFmtId="0" fontId="5" fillId="24" borderId="383" xfId="0" applyFont="1" applyFill="1" applyBorder="1" applyAlignment="1" applyProtection="1">
      <alignment horizontal="center"/>
      <protection locked="0"/>
    </xf>
    <xf numFmtId="0" fontId="5" fillId="24" borderId="383" xfId="0" applyFont="1" applyFill="1" applyBorder="1" applyAlignment="1">
      <alignment horizontal="center"/>
    </xf>
    <xf numFmtId="0" fontId="5" fillId="24" borderId="385" xfId="0" applyFont="1" applyFill="1" applyBorder="1" applyAlignment="1">
      <alignment horizontal="center"/>
    </xf>
    <xf numFmtId="0" fontId="5" fillId="61" borderId="384" xfId="0" applyFont="1" applyFill="1" applyBorder="1" applyAlignment="1" applyProtection="1">
      <alignment horizontal="center" vertical="center"/>
      <protection locked="0"/>
    </xf>
    <xf numFmtId="0" fontId="5" fillId="61" borderId="382" xfId="0" applyFont="1" applyFill="1" applyBorder="1" applyAlignment="1">
      <alignment horizontal="center" vertical="center"/>
    </xf>
    <xf numFmtId="0" fontId="5" fillId="44" borderId="387" xfId="0" applyFont="1" applyFill="1" applyBorder="1"/>
    <xf numFmtId="0" fontId="5" fillId="54" borderId="208" xfId="0" applyFont="1" applyFill="1" applyBorder="1" applyAlignment="1">
      <alignment horizontal="center" vertical="center"/>
    </xf>
    <xf numFmtId="0" fontId="5" fillId="54" borderId="388" xfId="0" applyFont="1" applyFill="1" applyBorder="1" applyAlignment="1">
      <alignment horizontal="center" vertical="center"/>
    </xf>
    <xf numFmtId="0" fontId="5" fillId="54" borderId="389" xfId="0" applyFont="1" applyFill="1" applyBorder="1" applyAlignment="1">
      <alignment horizontal="center" vertical="center"/>
    </xf>
    <xf numFmtId="49" fontId="0" fillId="49" borderId="93" xfId="0" applyNumberFormat="1" applyFill="1" applyBorder="1" applyAlignment="1">
      <alignment horizontal="center"/>
    </xf>
    <xf numFmtId="49" fontId="0" fillId="49" borderId="127" xfId="0" applyNumberFormat="1" applyFill="1" applyBorder="1" applyAlignment="1">
      <alignment horizontal="center"/>
    </xf>
    <xf numFmtId="0" fontId="0" fillId="44" borderId="29" xfId="0" applyFill="1" applyBorder="1" applyAlignment="1">
      <alignment horizontal="right"/>
    </xf>
    <xf numFmtId="0" fontId="5" fillId="126" borderId="386" xfId="0" applyFont="1" applyFill="1" applyBorder="1" applyAlignment="1">
      <alignment horizontal="center" vertical="center"/>
    </xf>
    <xf numFmtId="0" fontId="5" fillId="126" borderId="176" xfId="0" applyFont="1" applyFill="1" applyBorder="1" applyAlignment="1" applyProtection="1">
      <alignment horizontal="center" vertical="center"/>
      <protection locked="0"/>
    </xf>
    <xf numFmtId="0" fontId="5" fillId="126" borderId="385" xfId="0" applyFont="1" applyFill="1" applyBorder="1" applyAlignment="1" applyProtection="1">
      <alignment horizontal="center" vertical="center"/>
      <protection locked="0"/>
    </xf>
    <xf numFmtId="0" fontId="5" fillId="67" borderId="386" xfId="0" applyFont="1" applyFill="1" applyBorder="1" applyAlignment="1">
      <alignment horizontal="center" vertical="center"/>
    </xf>
    <xf numFmtId="0" fontId="5" fillId="67" borderId="176" xfId="0" applyFont="1" applyFill="1" applyBorder="1" applyAlignment="1" applyProtection="1">
      <alignment horizontal="center" vertical="center"/>
      <protection locked="0"/>
    </xf>
    <xf numFmtId="0" fontId="5" fillId="67" borderId="385" xfId="0" applyFont="1" applyFill="1" applyBorder="1" applyAlignment="1" applyProtection="1">
      <alignment horizontal="center" vertical="center"/>
      <protection locked="0"/>
    </xf>
    <xf numFmtId="0" fontId="5" fillId="67" borderId="386" xfId="0" applyFont="1" applyFill="1" applyBorder="1" applyAlignment="1">
      <alignment horizontal="center"/>
    </xf>
    <xf numFmtId="0" fontId="5" fillId="67" borderId="176" xfId="0" applyFont="1" applyFill="1" applyBorder="1" applyAlignment="1">
      <alignment horizontal="center" vertical="center"/>
    </xf>
    <xf numFmtId="0" fontId="5" fillId="67" borderId="385" xfId="0" applyFont="1" applyFill="1" applyBorder="1" applyAlignment="1" applyProtection="1">
      <alignment horizontal="center"/>
      <protection locked="0"/>
    </xf>
    <xf numFmtId="0" fontId="5" fillId="96" borderId="386" xfId="0" applyFont="1" applyFill="1" applyBorder="1" applyAlignment="1">
      <alignment horizontal="center" vertical="center"/>
    </xf>
    <xf numFmtId="0" fontId="5" fillId="96" borderId="385" xfId="0" applyFont="1" applyFill="1" applyBorder="1" applyAlignment="1" applyProtection="1">
      <alignment horizontal="center" vertical="center"/>
      <protection locked="0"/>
    </xf>
    <xf numFmtId="0" fontId="5" fillId="54" borderId="386" xfId="0" applyFont="1" applyFill="1" applyBorder="1" applyAlignment="1">
      <alignment horizontal="center" vertical="center"/>
    </xf>
    <xf numFmtId="0" fontId="5" fillId="54" borderId="176" xfId="0" applyFont="1" applyFill="1" applyBorder="1" applyAlignment="1" applyProtection="1">
      <alignment horizontal="center" vertical="center"/>
      <protection locked="0"/>
    </xf>
    <xf numFmtId="0" fontId="5" fillId="54" borderId="385" xfId="0" applyFont="1" applyFill="1" applyBorder="1" applyAlignment="1" applyProtection="1">
      <alignment horizontal="center" vertical="center"/>
      <protection locked="0"/>
    </xf>
    <xf numFmtId="0" fontId="5" fillId="64" borderId="386" xfId="0" applyFont="1" applyFill="1" applyBorder="1" applyAlignment="1">
      <alignment horizontal="center" vertical="center"/>
    </xf>
    <xf numFmtId="0" fontId="5" fillId="64" borderId="176" xfId="0" applyFont="1" applyFill="1" applyBorder="1" applyAlignment="1" applyProtection="1">
      <alignment horizontal="center" vertical="center"/>
      <protection locked="0"/>
    </xf>
    <xf numFmtId="0" fontId="5" fillId="64" borderId="385" xfId="0" applyFont="1" applyFill="1" applyBorder="1" applyAlignment="1" applyProtection="1">
      <alignment horizontal="center" vertical="center"/>
      <protection locked="0"/>
    </xf>
    <xf numFmtId="0" fontId="5" fillId="126" borderId="384" xfId="0" applyFont="1" applyFill="1" applyBorder="1" applyAlignment="1" applyProtection="1">
      <alignment horizontal="center" vertical="center"/>
      <protection locked="0"/>
    </xf>
    <xf numFmtId="0" fontId="5" fillId="126" borderId="208" xfId="0" applyFont="1" applyFill="1" applyBorder="1" applyAlignment="1" applyProtection="1">
      <alignment horizontal="center" vertical="center"/>
      <protection locked="0"/>
    </xf>
    <xf numFmtId="0" fontId="5" fillId="126" borderId="382" xfId="0" applyFont="1" applyFill="1" applyBorder="1" applyAlignment="1">
      <alignment horizontal="center" vertical="center"/>
    </xf>
    <xf numFmtId="0" fontId="5" fillId="126" borderId="390" xfId="0" applyFont="1" applyFill="1" applyBorder="1" applyAlignment="1" applyProtection="1">
      <alignment horizontal="center" vertical="center"/>
      <protection locked="0"/>
    </xf>
    <xf numFmtId="0" fontId="5" fillId="54" borderId="390" xfId="0" applyFont="1" applyFill="1" applyBorder="1" applyAlignment="1" applyProtection="1">
      <alignment horizontal="center" vertical="center"/>
      <protection locked="0"/>
    </xf>
    <xf numFmtId="0" fontId="5" fillId="127" borderId="386" xfId="0" applyFont="1" applyFill="1" applyBorder="1" applyAlignment="1">
      <alignment horizontal="center"/>
    </xf>
    <xf numFmtId="0" fontId="5" fillId="127" borderId="385" xfId="0" applyFont="1" applyFill="1" applyBorder="1" applyAlignment="1" applyProtection="1">
      <alignment horizontal="center"/>
      <protection locked="0"/>
    </xf>
    <xf numFmtId="0" fontId="5" fillId="127" borderId="128" xfId="0" applyFont="1" applyFill="1" applyBorder="1" applyAlignment="1" applyProtection="1">
      <alignment horizontal="center" vertical="center"/>
      <protection locked="0"/>
    </xf>
    <xf numFmtId="0" fontId="5" fillId="55" borderId="386" xfId="0" applyFont="1" applyFill="1" applyBorder="1" applyAlignment="1">
      <alignment horizontal="center" vertical="center"/>
    </xf>
    <xf numFmtId="0" fontId="5" fillId="55" borderId="385" xfId="0" applyFont="1" applyFill="1" applyBorder="1" applyAlignment="1" applyProtection="1">
      <alignment horizontal="center" vertical="center"/>
      <protection locked="0"/>
    </xf>
    <xf numFmtId="0" fontId="5" fillId="123" borderId="384" xfId="0" applyFont="1" applyFill="1" applyBorder="1" applyAlignment="1" applyProtection="1">
      <alignment horizontal="center" vertical="center"/>
      <protection locked="0"/>
    </xf>
    <xf numFmtId="0" fontId="5" fillId="123" borderId="208" xfId="0" applyFont="1" applyFill="1" applyBorder="1" applyAlignment="1" applyProtection="1">
      <alignment horizontal="center" vertical="center"/>
      <protection locked="0"/>
    </xf>
    <xf numFmtId="0" fontId="5" fillId="123" borderId="382" xfId="0" applyFont="1" applyFill="1" applyBorder="1" applyAlignment="1">
      <alignment horizontal="center" vertical="center"/>
    </xf>
    <xf numFmtId="0" fontId="5" fillId="123" borderId="390" xfId="0" applyFont="1" applyFill="1" applyBorder="1" applyAlignment="1" applyProtection="1">
      <alignment horizontal="center" vertical="center"/>
      <protection locked="0"/>
    </xf>
    <xf numFmtId="0" fontId="5" fillId="124" borderId="384" xfId="0" applyFont="1" applyFill="1" applyBorder="1" applyAlignment="1" applyProtection="1">
      <alignment horizontal="center" vertical="center"/>
      <protection locked="0"/>
    </xf>
    <xf numFmtId="0" fontId="5" fillId="124" borderId="208" xfId="0" applyFont="1" applyFill="1" applyBorder="1" applyAlignment="1" applyProtection="1">
      <alignment horizontal="center" vertical="center"/>
      <protection locked="0"/>
    </xf>
    <xf numFmtId="0" fontId="5" fillId="124" borderId="382" xfId="0" applyFont="1" applyFill="1" applyBorder="1" applyAlignment="1">
      <alignment horizontal="center" vertical="center"/>
    </xf>
    <xf numFmtId="0" fontId="5" fillId="124" borderId="390" xfId="0" applyFont="1" applyFill="1" applyBorder="1" applyAlignment="1" applyProtection="1">
      <alignment horizontal="center" vertical="center"/>
      <protection locked="0"/>
    </xf>
    <xf numFmtId="0" fontId="5" fillId="55" borderId="384" xfId="0" applyFont="1" applyFill="1" applyBorder="1" applyAlignment="1" applyProtection="1">
      <alignment horizontal="center" vertical="center"/>
      <protection locked="0"/>
    </xf>
    <xf numFmtId="0" fontId="5" fillId="55" borderId="208" xfId="0" applyFont="1" applyFill="1" applyBorder="1" applyAlignment="1" applyProtection="1">
      <alignment horizontal="center" vertical="center"/>
      <protection locked="0"/>
    </xf>
    <xf numFmtId="0" fontId="5" fillId="55" borderId="382" xfId="0" applyFont="1" applyFill="1" applyBorder="1" applyAlignment="1">
      <alignment horizontal="center" vertical="center"/>
    </xf>
    <xf numFmtId="0" fontId="5" fillId="55" borderId="390" xfId="0" applyFont="1" applyFill="1" applyBorder="1" applyAlignment="1" applyProtection="1">
      <alignment horizontal="center" vertical="center"/>
      <protection locked="0"/>
    </xf>
    <xf numFmtId="0" fontId="5" fillId="45" borderId="384" xfId="0" applyFont="1" applyFill="1" applyBorder="1" applyAlignment="1" applyProtection="1">
      <alignment horizontal="center" vertical="center"/>
      <protection locked="0"/>
    </xf>
    <xf numFmtId="0" fontId="5" fillId="45" borderId="208" xfId="0" applyFont="1" applyFill="1" applyBorder="1" applyAlignment="1" applyProtection="1">
      <alignment horizontal="center" vertical="center"/>
      <protection locked="0"/>
    </xf>
    <xf numFmtId="0" fontId="5" fillId="45" borderId="382" xfId="0" applyFont="1" applyFill="1" applyBorder="1" applyAlignment="1">
      <alignment horizontal="center" vertical="center"/>
    </xf>
    <xf numFmtId="0" fontId="5" fillId="45" borderId="390" xfId="0" applyFont="1" applyFill="1" applyBorder="1" applyAlignment="1" applyProtection="1">
      <alignment horizontal="center" vertical="center"/>
      <protection locked="0"/>
    </xf>
    <xf numFmtId="0" fontId="5" fillId="61" borderId="208" xfId="0" applyFont="1" applyFill="1" applyBorder="1" applyAlignment="1" applyProtection="1">
      <alignment horizontal="center" vertical="center"/>
      <protection locked="0"/>
    </xf>
    <xf numFmtId="0" fontId="5" fillId="61" borderId="390" xfId="0" applyFont="1" applyFill="1" applyBorder="1" applyAlignment="1" applyProtection="1">
      <alignment horizontal="center" vertical="center"/>
      <protection locked="0"/>
    </xf>
    <xf numFmtId="0" fontId="5" fillId="122" borderId="384" xfId="0" applyFont="1" applyFill="1" applyBorder="1" applyAlignment="1" applyProtection="1">
      <alignment horizontal="center" vertical="center"/>
      <protection locked="0"/>
    </xf>
    <xf numFmtId="0" fontId="5" fillId="122" borderId="208" xfId="0" applyFont="1" applyFill="1" applyBorder="1" applyAlignment="1" applyProtection="1">
      <alignment horizontal="center" vertical="center"/>
      <protection locked="0"/>
    </xf>
    <xf numFmtId="0" fontId="5" fillId="122" borderId="382" xfId="0" applyFont="1" applyFill="1" applyBorder="1" applyAlignment="1">
      <alignment horizontal="center" vertical="center"/>
    </xf>
    <xf numFmtId="0" fontId="5" fillId="122" borderId="390" xfId="0" applyFont="1" applyFill="1" applyBorder="1" applyAlignment="1" applyProtection="1">
      <alignment horizontal="center" vertical="center"/>
      <protection locked="0"/>
    </xf>
    <xf numFmtId="0" fontId="5" fillId="68" borderId="384" xfId="0" applyFont="1" applyFill="1" applyBorder="1" applyAlignment="1" applyProtection="1">
      <alignment horizontal="center" vertical="center"/>
      <protection locked="0"/>
    </xf>
    <xf numFmtId="0" fontId="5" fillId="68" borderId="208" xfId="0" applyFont="1" applyFill="1" applyBorder="1" applyAlignment="1" applyProtection="1">
      <alignment horizontal="center" vertical="center"/>
      <protection locked="0"/>
    </xf>
    <xf numFmtId="0" fontId="5" fillId="68" borderId="382" xfId="0" applyFont="1" applyFill="1" applyBorder="1" applyAlignment="1">
      <alignment horizontal="center" vertical="center"/>
    </xf>
    <xf numFmtId="0" fontId="5" fillId="68" borderId="390" xfId="0" applyFont="1" applyFill="1" applyBorder="1" applyAlignment="1" applyProtection="1">
      <alignment horizontal="center" vertical="center"/>
      <protection locked="0"/>
    </xf>
    <xf numFmtId="0" fontId="5" fillId="91" borderId="384" xfId="0" applyFont="1" applyFill="1" applyBorder="1" applyAlignment="1" applyProtection="1">
      <alignment horizontal="center" vertical="center"/>
      <protection locked="0"/>
    </xf>
    <xf numFmtId="0" fontId="5" fillId="91" borderId="208" xfId="0" applyFont="1" applyFill="1" applyBorder="1" applyAlignment="1" applyProtection="1">
      <alignment horizontal="center" vertical="center"/>
      <protection locked="0"/>
    </xf>
    <xf numFmtId="0" fontId="5" fillId="91" borderId="382" xfId="0" applyFont="1" applyFill="1" applyBorder="1" applyAlignment="1">
      <alignment horizontal="center" vertical="center"/>
    </xf>
    <xf numFmtId="0" fontId="5" fillId="91" borderId="390" xfId="0" applyFont="1" applyFill="1" applyBorder="1" applyAlignment="1" applyProtection="1">
      <alignment horizontal="center" vertical="center"/>
      <protection locked="0"/>
    </xf>
    <xf numFmtId="0" fontId="5" fillId="65" borderId="384" xfId="0" applyFont="1" applyFill="1" applyBorder="1" applyAlignment="1" applyProtection="1">
      <alignment horizontal="center" vertical="center"/>
      <protection locked="0"/>
    </xf>
    <xf numFmtId="0" fontId="5" fillId="65" borderId="208" xfId="0" applyFont="1" applyFill="1" applyBorder="1" applyAlignment="1" applyProtection="1">
      <alignment horizontal="center" vertical="center"/>
      <protection locked="0"/>
    </xf>
    <xf numFmtId="0" fontId="5" fillId="65" borderId="382" xfId="0" applyFont="1" applyFill="1" applyBorder="1" applyAlignment="1">
      <alignment horizontal="center" vertical="center"/>
    </xf>
    <xf numFmtId="0" fontId="5" fillId="65" borderId="390" xfId="0" applyFont="1" applyFill="1" applyBorder="1" applyAlignment="1" applyProtection="1">
      <alignment horizontal="center" vertical="center"/>
      <protection locked="0"/>
    </xf>
    <xf numFmtId="0" fontId="5" fillId="125" borderId="384" xfId="0" applyFont="1" applyFill="1" applyBorder="1" applyAlignment="1" applyProtection="1">
      <alignment horizontal="center" vertical="center"/>
      <protection locked="0"/>
    </xf>
    <xf numFmtId="0" fontId="5" fillId="125" borderId="208" xfId="0" applyFont="1" applyFill="1" applyBorder="1" applyAlignment="1" applyProtection="1">
      <alignment horizontal="center" vertical="center"/>
      <protection locked="0"/>
    </xf>
    <xf numFmtId="0" fontId="5" fillId="125" borderId="382" xfId="0" applyFont="1" applyFill="1" applyBorder="1" applyAlignment="1">
      <alignment horizontal="center" vertical="center"/>
    </xf>
    <xf numFmtId="0" fontId="5" fillId="125" borderId="390" xfId="0" applyFont="1" applyFill="1" applyBorder="1" applyAlignment="1" applyProtection="1">
      <alignment horizontal="center" vertical="center"/>
      <protection locked="0"/>
    </xf>
    <xf numFmtId="164" fontId="5" fillId="24" borderId="391" xfId="0" applyNumberFormat="1" applyFont="1" applyFill="1" applyBorder="1" applyAlignment="1">
      <alignment horizontal="center" vertical="center" wrapText="1"/>
    </xf>
    <xf numFmtId="2" fontId="5" fillId="0" borderId="391" xfId="0" applyNumberFormat="1" applyFont="1" applyBorder="1" applyAlignment="1">
      <alignment horizontal="center" vertical="center"/>
    </xf>
    <xf numFmtId="164" fontId="0" fillId="0" borderId="40" xfId="0" applyNumberFormat="1" applyBorder="1" applyAlignment="1" applyProtection="1">
      <alignment horizontal="center" vertical="center"/>
      <protection locked="0"/>
    </xf>
    <xf numFmtId="164" fontId="0" fillId="141" borderId="35" xfId="0" applyNumberFormat="1" applyFill="1" applyBorder="1" applyAlignment="1" applyProtection="1">
      <alignment horizontal="center" vertical="center"/>
      <protection locked="0"/>
    </xf>
    <xf numFmtId="164" fontId="0" fillId="141" borderId="41" xfId="0" applyNumberFormat="1" applyFill="1" applyBorder="1" applyAlignment="1" applyProtection="1">
      <alignment horizontal="center" vertical="center"/>
      <protection locked="0"/>
    </xf>
    <xf numFmtId="164" fontId="0" fillId="141" borderId="31" xfId="0" applyNumberFormat="1" applyFill="1" applyBorder="1" applyAlignment="1" applyProtection="1">
      <alignment horizontal="center" vertical="center"/>
      <protection locked="0"/>
    </xf>
    <xf numFmtId="0" fontId="0" fillId="0" borderId="0" xfId="0" applyAlignment="1" applyProtection="1">
      <alignment horizontal="center"/>
      <protection locked="0"/>
    </xf>
    <xf numFmtId="2" fontId="5" fillId="67" borderId="103" xfId="49" applyNumberFormat="1" applyFill="1" applyBorder="1" applyAlignment="1" applyProtection="1">
      <alignment horizontal="center" vertical="center"/>
      <protection locked="0"/>
    </xf>
    <xf numFmtId="2" fontId="5" fillId="87" borderId="103" xfId="49" applyNumberForma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9" fillId="0" borderId="377" xfId="0" applyFont="1" applyBorder="1" applyAlignment="1">
      <alignment horizontal="center"/>
    </xf>
    <xf numFmtId="0" fontId="5" fillId="54" borderId="91" xfId="48" applyFill="1" applyBorder="1" applyAlignment="1">
      <alignment horizontal="center" vertical="center"/>
    </xf>
    <xf numFmtId="0" fontId="5" fillId="54" borderId="153" xfId="48" applyFill="1" applyBorder="1" applyAlignment="1">
      <alignment horizontal="center" vertical="center"/>
    </xf>
    <xf numFmtId="0" fontId="5" fillId="114" borderId="392" xfId="48" applyFill="1" applyBorder="1" applyAlignment="1">
      <alignment horizontal="center"/>
    </xf>
    <xf numFmtId="0" fontId="5" fillId="114" borderId="393" xfId="48" applyFill="1" applyBorder="1" applyAlignment="1">
      <alignment horizontal="center"/>
    </xf>
    <xf numFmtId="0" fontId="5" fillId="114" borderId="394" xfId="48" applyFill="1" applyBorder="1" applyAlignment="1">
      <alignment horizontal="center"/>
    </xf>
    <xf numFmtId="1" fontId="5" fillId="46" borderId="393" xfId="48" applyNumberFormat="1" applyFill="1" applyBorder="1" applyAlignment="1">
      <alignment horizontal="center"/>
    </xf>
    <xf numFmtId="0" fontId="5" fillId="46" borderId="393" xfId="48" applyFill="1" applyBorder="1" applyAlignment="1">
      <alignment horizontal="center"/>
    </xf>
    <xf numFmtId="0" fontId="5" fillId="48" borderId="393" xfId="48" applyFill="1" applyBorder="1" applyAlignment="1">
      <alignment horizontal="center" vertical="top"/>
    </xf>
    <xf numFmtId="0" fontId="5" fillId="0" borderId="394" xfId="48" applyBorder="1" applyAlignment="1">
      <alignment horizontal="center"/>
    </xf>
    <xf numFmtId="0" fontId="5" fillId="114" borderId="379" xfId="48" applyFill="1" applyBorder="1" applyAlignment="1">
      <alignment horizontal="center"/>
    </xf>
    <xf numFmtId="0" fontId="5" fillId="114" borderId="391" xfId="48" applyFill="1" applyBorder="1" applyAlignment="1">
      <alignment horizontal="center"/>
    </xf>
    <xf numFmtId="0" fontId="5" fillId="114" borderId="377" xfId="48" applyFill="1" applyBorder="1" applyAlignment="1">
      <alignment horizontal="center"/>
    </xf>
    <xf numFmtId="0" fontId="5" fillId="0" borderId="393" xfId="48" applyBorder="1" applyAlignment="1">
      <alignment horizontal="center" vertical="center"/>
    </xf>
    <xf numFmtId="1" fontId="5" fillId="44" borderId="395" xfId="48" applyNumberFormat="1" applyFill="1" applyBorder="1" applyAlignment="1" applyProtection="1">
      <alignment horizontal="center"/>
      <protection locked="0"/>
    </xf>
    <xf numFmtId="1" fontId="5" fillId="46" borderId="391" xfId="48" applyNumberFormat="1" applyFill="1" applyBorder="1" applyAlignment="1">
      <alignment horizontal="center"/>
    </xf>
    <xf numFmtId="0" fontId="5" fillId="46" borderId="391" xfId="48" applyFill="1" applyBorder="1" applyAlignment="1">
      <alignment horizontal="center"/>
    </xf>
    <xf numFmtId="0" fontId="5" fillId="48" borderId="391" xfId="48" applyFill="1" applyBorder="1" applyAlignment="1">
      <alignment horizontal="center" vertical="top"/>
    </xf>
    <xf numFmtId="0" fontId="5" fillId="0" borderId="396" xfId="48" applyBorder="1" applyAlignment="1">
      <alignment horizontal="center" vertical="center"/>
    </xf>
    <xf numFmtId="0" fontId="5" fillId="0" borderId="397" xfId="48" applyBorder="1" applyAlignment="1">
      <alignment horizontal="center" vertical="center"/>
    </xf>
    <xf numFmtId="0" fontId="5" fillId="0" borderId="26" xfId="48" applyBorder="1" applyAlignment="1">
      <alignment horizontal="center"/>
    </xf>
    <xf numFmtId="0" fontId="5" fillId="54" borderId="398" xfId="48" applyFill="1" applyBorder="1" applyAlignment="1">
      <alignment horizontal="center" vertical="center"/>
    </xf>
    <xf numFmtId="0" fontId="5" fillId="54" borderId="399" xfId="48" applyFill="1" applyBorder="1" applyAlignment="1">
      <alignment horizontal="center" vertical="center"/>
    </xf>
    <xf numFmtId="1" fontId="5" fillId="46" borderId="378" xfId="48" applyNumberFormat="1" applyFill="1" applyBorder="1" applyAlignment="1">
      <alignment horizontal="center"/>
    </xf>
    <xf numFmtId="0" fontId="5" fillId="114" borderId="378" xfId="48" applyFill="1" applyBorder="1" applyAlignment="1">
      <alignment horizontal="center"/>
    </xf>
    <xf numFmtId="0" fontId="5" fillId="46" borderId="378" xfId="48" applyFill="1" applyBorder="1" applyAlignment="1">
      <alignment horizontal="center"/>
    </xf>
    <xf numFmtId="0" fontId="5" fillId="48" borderId="378" xfId="48" applyFill="1" applyBorder="1" applyAlignment="1">
      <alignment horizontal="center" vertical="top"/>
    </xf>
    <xf numFmtId="0" fontId="5" fillId="0" borderId="378" xfId="48" applyBorder="1" applyAlignment="1">
      <alignment horizontal="center" vertical="center"/>
    </xf>
    <xf numFmtId="0" fontId="67" fillId="72" borderId="160" xfId="48" applyFont="1" applyFill="1" applyBorder="1" applyAlignment="1" applyProtection="1">
      <alignment horizontal="center"/>
      <protection locked="0"/>
    </xf>
    <xf numFmtId="1" fontId="5" fillId="0" borderId="399" xfId="48" applyNumberFormat="1" applyBorder="1" applyAlignment="1">
      <alignment horizontal="center"/>
    </xf>
    <xf numFmtId="0" fontId="5" fillId="114" borderId="29" xfId="48" applyFill="1" applyBorder="1" applyAlignment="1">
      <alignment horizontal="center"/>
    </xf>
    <xf numFmtId="0" fontId="5" fillId="114" borderId="26" xfId="48" applyFill="1" applyBorder="1" applyAlignment="1">
      <alignment horizontal="center"/>
    </xf>
    <xf numFmtId="0" fontId="5" fillId="114" borderId="18" xfId="48" applyFill="1" applyBorder="1" applyAlignment="1">
      <alignment horizontal="center"/>
    </xf>
    <xf numFmtId="1" fontId="5" fillId="46" borderId="26" xfId="48" applyNumberFormat="1" applyFill="1" applyBorder="1" applyAlignment="1">
      <alignment horizontal="center"/>
    </xf>
    <xf numFmtId="1" fontId="5" fillId="0" borderId="209" xfId="48" applyNumberFormat="1" applyBorder="1" applyAlignment="1" applyProtection="1">
      <alignment horizontal="center"/>
      <protection locked="0"/>
    </xf>
    <xf numFmtId="0" fontId="5" fillId="46" borderId="26" xfId="48" applyFill="1" applyBorder="1" applyAlignment="1">
      <alignment horizontal="center"/>
    </xf>
    <xf numFmtId="1" fontId="5" fillId="0" borderId="209" xfId="48" applyNumberFormat="1" applyBorder="1" applyAlignment="1">
      <alignment horizontal="center"/>
    </xf>
    <xf numFmtId="0" fontId="5" fillId="48" borderId="26" xfId="48" applyFill="1" applyBorder="1" applyAlignment="1">
      <alignment horizontal="center" vertical="top"/>
    </xf>
    <xf numFmtId="0" fontId="5" fillId="46" borderId="29" xfId="48" applyFill="1" applyBorder="1" applyAlignment="1" applyProtection="1">
      <alignment horizontal="center"/>
      <protection locked="0"/>
    </xf>
    <xf numFmtId="1" fontId="5" fillId="0" borderId="105" xfId="48" applyNumberFormat="1" applyBorder="1" applyAlignment="1">
      <alignment horizontal="center"/>
    </xf>
    <xf numFmtId="168" fontId="5" fillId="44" borderId="395" xfId="48" applyNumberFormat="1" applyFill="1" applyBorder="1" applyAlignment="1" applyProtection="1">
      <alignment horizontal="center"/>
      <protection locked="0"/>
    </xf>
    <xf numFmtId="168" fontId="5" fillId="44" borderId="99" xfId="48" applyNumberFormat="1" applyFill="1" applyBorder="1" applyAlignment="1" applyProtection="1">
      <alignment horizontal="center"/>
      <protection locked="0"/>
    </xf>
    <xf numFmtId="0" fontId="5" fillId="46" borderId="400" xfId="48" applyFill="1" applyBorder="1" applyAlignment="1">
      <alignment horizontal="center"/>
    </xf>
    <xf numFmtId="0" fontId="5" fillId="114" borderId="400" xfId="48" applyFill="1" applyBorder="1" applyAlignment="1">
      <alignment horizontal="center"/>
    </xf>
    <xf numFmtId="0" fontId="5" fillId="48" borderId="400" xfId="48" applyFill="1" applyBorder="1" applyAlignment="1">
      <alignment horizontal="center" vertical="top"/>
    </xf>
    <xf numFmtId="0" fontId="5" fillId="0" borderId="401" xfId="48" applyBorder="1" applyAlignment="1">
      <alignment horizontal="center"/>
    </xf>
    <xf numFmtId="0" fontId="5" fillId="0" borderId="400" xfId="48" applyBorder="1" applyAlignment="1">
      <alignment horizontal="center" vertical="center"/>
    </xf>
    <xf numFmtId="0" fontId="5" fillId="46" borderId="402" xfId="48" applyFill="1" applyBorder="1" applyAlignment="1">
      <alignment horizontal="center"/>
    </xf>
    <xf numFmtId="0" fontId="5" fillId="114" borderId="402" xfId="48" applyFill="1" applyBorder="1" applyAlignment="1">
      <alignment horizontal="center"/>
    </xf>
    <xf numFmtId="0" fontId="5" fillId="48" borderId="402" xfId="48" applyFill="1" applyBorder="1" applyAlignment="1">
      <alignment horizontal="center" vertical="top"/>
    </xf>
    <xf numFmtId="0" fontId="5" fillId="54" borderId="403" xfId="48" applyFill="1" applyBorder="1" applyAlignment="1">
      <alignment horizontal="center" vertical="center"/>
    </xf>
    <xf numFmtId="0" fontId="67" fillId="72" borderId="209" xfId="48" applyFont="1" applyFill="1" applyBorder="1" applyAlignment="1">
      <alignment horizontal="center"/>
    </xf>
    <xf numFmtId="0" fontId="5" fillId="55" borderId="303" xfId="48" applyFill="1" applyBorder="1" applyAlignment="1" applyProtection="1">
      <alignment horizontal="center"/>
      <protection locked="0"/>
    </xf>
    <xf numFmtId="0" fontId="0" fillId="0" borderId="402" xfId="0" applyBorder="1" applyAlignment="1">
      <alignment horizontal="center" vertical="top"/>
    </xf>
    <xf numFmtId="0" fontId="0" fillId="54" borderId="402" xfId="0" applyFill="1" applyBorder="1" applyAlignment="1">
      <alignment horizontal="center"/>
    </xf>
    <xf numFmtId="49" fontId="9" fillId="48" borderId="402" xfId="0" applyNumberFormat="1" applyFont="1" applyFill="1" applyBorder="1" applyAlignment="1">
      <alignment horizontal="center"/>
    </xf>
    <xf numFmtId="49" fontId="0" fillId="43" borderId="402" xfId="0" applyNumberFormat="1" applyFill="1" applyBorder="1" applyAlignment="1">
      <alignment horizontal="center" vertical="top"/>
    </xf>
    <xf numFmtId="0" fontId="5" fillId="48" borderId="402" xfId="0" applyFont="1" applyFill="1" applyBorder="1"/>
    <xf numFmtId="168" fontId="0" fillId="0" borderId="402" xfId="0" applyNumberFormat="1" applyBorder="1" applyAlignment="1" applyProtection="1">
      <alignment horizontal="center"/>
      <protection locked="0"/>
    </xf>
    <xf numFmtId="0" fontId="0" fillId="46" borderId="402" xfId="0" applyFill="1" applyBorder="1" applyAlignment="1" applyProtection="1">
      <alignment horizontal="center"/>
      <protection locked="0"/>
    </xf>
    <xf numFmtId="0" fontId="5" fillId="48" borderId="402" xfId="0" applyFont="1" applyFill="1" applyBorder="1" applyAlignment="1">
      <alignment horizontal="center" vertical="top"/>
    </xf>
    <xf numFmtId="49" fontId="0" fillId="43" borderId="357" xfId="0" applyNumberFormat="1" applyFill="1" applyBorder="1" applyAlignment="1">
      <alignment horizontal="center" vertical="top"/>
    </xf>
    <xf numFmtId="49" fontId="0" fillId="43" borderId="354" xfId="0" applyNumberFormat="1" applyFill="1" applyBorder="1" applyAlignment="1">
      <alignment horizontal="center" vertical="top"/>
    </xf>
    <xf numFmtId="0" fontId="90" fillId="49" borderId="398" xfId="0" applyFont="1" applyFill="1" applyBorder="1" applyAlignment="1" applyProtection="1">
      <alignment horizontal="center" vertical="center"/>
      <protection locked="0"/>
    </xf>
    <xf numFmtId="0" fontId="90" fillId="49" borderId="356" xfId="0" applyFont="1" applyFill="1" applyBorder="1" applyAlignment="1" applyProtection="1">
      <alignment horizontal="center" vertical="center"/>
      <protection locked="0"/>
    </xf>
    <xf numFmtId="0" fontId="72" fillId="49" borderId="158" xfId="0" applyFont="1" applyFill="1" applyBorder="1" applyAlignment="1" applyProtection="1">
      <alignment horizontal="center" vertical="center"/>
      <protection locked="0"/>
    </xf>
    <xf numFmtId="169" fontId="72" fillId="0" borderId="158" xfId="0" applyNumberFormat="1" applyFont="1" applyBorder="1" applyAlignment="1" applyProtection="1">
      <alignment horizontal="center" vertical="center"/>
      <protection locked="0"/>
    </xf>
    <xf numFmtId="49" fontId="0" fillId="43" borderId="400" xfId="0" applyNumberFormat="1" applyFill="1" applyBorder="1" applyAlignment="1">
      <alignment horizontal="center" vertical="top"/>
    </xf>
    <xf numFmtId="0" fontId="5" fillId="48" borderId="400" xfId="0" applyFont="1" applyFill="1" applyBorder="1"/>
    <xf numFmtId="2" fontId="72" fillId="0" borderId="159" xfId="0" applyNumberFormat="1" applyFont="1" applyBorder="1" applyAlignment="1" applyProtection="1">
      <alignment horizontal="center" vertical="center"/>
      <protection locked="0"/>
    </xf>
    <xf numFmtId="168" fontId="72" fillId="0" borderId="284" xfId="0" applyNumberFormat="1" applyFont="1" applyBorder="1" applyAlignment="1" applyProtection="1">
      <alignment horizontal="center" vertical="center"/>
      <protection locked="0"/>
    </xf>
    <xf numFmtId="1" fontId="72" fillId="0" borderId="158" xfId="0" applyNumberFormat="1" applyFont="1" applyBorder="1" applyAlignment="1" applyProtection="1">
      <alignment horizontal="center" vertical="center"/>
      <protection locked="0"/>
    </xf>
    <xf numFmtId="168" fontId="0" fillId="0" borderId="400" xfId="0" applyNumberFormat="1" applyBorder="1" applyAlignment="1" applyProtection="1">
      <alignment horizontal="center"/>
      <protection locked="0"/>
    </xf>
    <xf numFmtId="1" fontId="72" fillId="0" borderId="249" xfId="0" applyNumberFormat="1" applyFont="1" applyBorder="1" applyAlignment="1" applyProtection="1">
      <alignment horizontal="center" vertical="center"/>
      <protection locked="0"/>
    </xf>
    <xf numFmtId="0" fontId="0" fillId="46" borderId="400" xfId="0" applyFill="1" applyBorder="1" applyAlignment="1" applyProtection="1">
      <alignment horizontal="center"/>
      <protection locked="0"/>
    </xf>
    <xf numFmtId="1" fontId="72" fillId="0" borderId="160" xfId="0" applyNumberFormat="1" applyFont="1" applyBorder="1" applyAlignment="1" applyProtection="1">
      <alignment horizontal="center" vertical="center"/>
      <protection locked="0"/>
    </xf>
    <xf numFmtId="49" fontId="0" fillId="43" borderId="104" xfId="0" applyNumberFormat="1" applyFill="1" applyBorder="1" applyAlignment="1">
      <alignment horizontal="center" vertical="top"/>
    </xf>
    <xf numFmtId="0" fontId="5" fillId="48" borderId="104" xfId="0" applyFont="1" applyFill="1" applyBorder="1"/>
    <xf numFmtId="168" fontId="0" fillId="0" borderId="104" xfId="0" applyNumberFormat="1" applyBorder="1" applyAlignment="1" applyProtection="1">
      <alignment horizontal="center"/>
      <protection locked="0"/>
    </xf>
    <xf numFmtId="0" fontId="0" fillId="46" borderId="104" xfId="0" applyFill="1" applyBorder="1" applyAlignment="1" applyProtection="1">
      <alignment horizontal="center"/>
      <protection locked="0"/>
    </xf>
    <xf numFmtId="49" fontId="5" fillId="48" borderId="402" xfId="0" applyNumberFormat="1" applyFont="1" applyFill="1" applyBorder="1" applyAlignment="1">
      <alignment horizontal="center"/>
    </xf>
    <xf numFmtId="0" fontId="7" fillId="128" borderId="26" xfId="0" applyFont="1" applyFill="1" applyBorder="1" applyAlignment="1" applyProtection="1">
      <alignment horizontal="center" vertical="center"/>
      <protection locked="0"/>
    </xf>
    <xf numFmtId="0" fontId="90" fillId="49" borderId="300" xfId="0" applyFont="1" applyFill="1" applyBorder="1" applyAlignment="1" applyProtection="1">
      <alignment horizontal="center" vertical="center"/>
      <protection locked="0"/>
    </xf>
    <xf numFmtId="0" fontId="114" fillId="49" borderId="92" xfId="0" applyFont="1" applyFill="1" applyBorder="1" applyAlignment="1" applyProtection="1">
      <alignment horizontal="center" vertical="center"/>
      <protection locked="0"/>
    </xf>
    <xf numFmtId="0" fontId="114" fillId="49" borderId="143" xfId="0" applyFont="1" applyFill="1" applyBorder="1" applyAlignment="1" applyProtection="1">
      <alignment horizontal="center" vertical="center"/>
      <protection locked="0"/>
    </xf>
    <xf numFmtId="0" fontId="5" fillId="48" borderId="400" xfId="0" applyFont="1" applyFill="1" applyBorder="1" applyAlignment="1">
      <alignment horizontal="center" vertical="top"/>
    </xf>
    <xf numFmtId="169" fontId="72" fillId="0" borderId="406" xfId="0" applyNumberFormat="1" applyFont="1" applyBorder="1" applyAlignment="1" applyProtection="1">
      <alignment horizontal="center" vertical="center"/>
      <protection locked="0"/>
    </xf>
    <xf numFmtId="49" fontId="0" fillId="43" borderId="407" xfId="0" applyNumberFormat="1" applyFill="1" applyBorder="1" applyAlignment="1">
      <alignment horizontal="center" vertical="top"/>
    </xf>
    <xf numFmtId="0" fontId="5" fillId="48" borderId="407" xfId="0" applyFont="1" applyFill="1" applyBorder="1"/>
    <xf numFmtId="2" fontId="72" fillId="0" borderId="408" xfId="0" applyNumberFormat="1" applyFont="1" applyBorder="1" applyAlignment="1" applyProtection="1">
      <alignment horizontal="center" vertical="center"/>
      <protection locked="0"/>
    </xf>
    <xf numFmtId="168" fontId="72" fillId="0" borderId="409" xfId="0" applyNumberFormat="1" applyFont="1" applyBorder="1" applyAlignment="1" applyProtection="1">
      <alignment horizontal="center" vertical="center"/>
      <protection locked="0"/>
    </xf>
    <xf numFmtId="1" fontId="72" fillId="0" borderId="406" xfId="0" applyNumberFormat="1" applyFont="1" applyBorder="1" applyAlignment="1" applyProtection="1">
      <alignment horizontal="center" vertical="center"/>
      <protection locked="0"/>
    </xf>
    <xf numFmtId="168" fontId="0" fillId="0" borderId="407" xfId="0" applyNumberFormat="1" applyBorder="1" applyAlignment="1" applyProtection="1">
      <alignment horizontal="center"/>
      <protection locked="0"/>
    </xf>
    <xf numFmtId="1" fontId="72" fillId="0" borderId="410" xfId="0" applyNumberFormat="1" applyFont="1" applyBorder="1" applyAlignment="1" applyProtection="1">
      <alignment horizontal="center" vertical="center"/>
      <protection locked="0"/>
    </xf>
    <xf numFmtId="0" fontId="0" fillId="46" borderId="407" xfId="0" applyFill="1" applyBorder="1" applyAlignment="1" applyProtection="1">
      <alignment horizontal="center"/>
      <protection locked="0"/>
    </xf>
    <xf numFmtId="1" fontId="72" fillId="0" borderId="405" xfId="0" applyNumberFormat="1" applyFont="1" applyBorder="1" applyAlignment="1" applyProtection="1">
      <alignment horizontal="center" vertical="center"/>
      <protection locked="0"/>
    </xf>
    <xf numFmtId="0" fontId="5" fillId="48" borderId="407" xfId="0" applyFont="1" applyFill="1" applyBorder="1" applyAlignment="1">
      <alignment horizontal="center" vertical="top"/>
    </xf>
    <xf numFmtId="2" fontId="72" fillId="0" borderId="405" xfId="0" applyNumberFormat="1" applyFont="1" applyBorder="1" applyAlignment="1" applyProtection="1">
      <alignment horizontal="center" vertical="center"/>
      <protection locked="0"/>
    </xf>
    <xf numFmtId="0" fontId="72" fillId="49" borderId="356" xfId="0" applyFont="1" applyFill="1" applyBorder="1" applyAlignment="1" applyProtection="1">
      <alignment horizontal="center" vertical="center"/>
      <protection locked="0"/>
    </xf>
    <xf numFmtId="0" fontId="72" fillId="49" borderId="412" xfId="0" applyFont="1" applyFill="1" applyBorder="1" applyAlignment="1" applyProtection="1">
      <alignment horizontal="center" vertical="center"/>
      <protection locked="0"/>
    </xf>
    <xf numFmtId="169" fontId="72" fillId="0" borderId="414" xfId="0" applyNumberFormat="1" applyFont="1" applyBorder="1" applyAlignment="1" applyProtection="1">
      <alignment horizontal="center" vertical="center"/>
      <protection locked="0"/>
    </xf>
    <xf numFmtId="49" fontId="0" fillId="43" borderId="415" xfId="0" applyNumberFormat="1" applyFill="1" applyBorder="1" applyAlignment="1">
      <alignment horizontal="center" vertical="top"/>
    </xf>
    <xf numFmtId="0" fontId="5" fillId="48" borderId="415" xfId="0" applyFont="1" applyFill="1" applyBorder="1"/>
    <xf numFmtId="2" fontId="72" fillId="0" borderId="416" xfId="0" applyNumberFormat="1" applyFont="1" applyBorder="1" applyAlignment="1" applyProtection="1">
      <alignment horizontal="center" vertical="center"/>
      <protection locked="0"/>
    </xf>
    <xf numFmtId="168" fontId="72" fillId="0" borderId="417" xfId="0" applyNumberFormat="1" applyFont="1" applyBorder="1" applyAlignment="1" applyProtection="1">
      <alignment horizontal="center" vertical="center"/>
      <protection locked="0"/>
    </xf>
    <xf numFmtId="1" fontId="72" fillId="0" borderId="414" xfId="0" applyNumberFormat="1" applyFont="1" applyBorder="1" applyAlignment="1" applyProtection="1">
      <alignment horizontal="center" vertical="center"/>
      <protection locked="0"/>
    </xf>
    <xf numFmtId="168" fontId="0" fillId="0" borderId="415" xfId="0" applyNumberFormat="1" applyBorder="1" applyAlignment="1" applyProtection="1">
      <alignment horizontal="center"/>
      <protection locked="0"/>
    </xf>
    <xf numFmtId="1" fontId="72" fillId="0" borderId="418" xfId="0" applyNumberFormat="1" applyFont="1" applyBorder="1" applyAlignment="1" applyProtection="1">
      <alignment horizontal="center" vertical="center"/>
      <protection locked="0"/>
    </xf>
    <xf numFmtId="0" fontId="0" fillId="46" borderId="415" xfId="0" applyFill="1" applyBorder="1" applyAlignment="1" applyProtection="1">
      <alignment horizontal="center"/>
      <protection locked="0"/>
    </xf>
    <xf numFmtId="1" fontId="72" fillId="0" borderId="413" xfId="0" applyNumberFormat="1" applyFont="1" applyBorder="1" applyAlignment="1" applyProtection="1">
      <alignment horizontal="center" vertical="center"/>
      <protection locked="0"/>
    </xf>
    <xf numFmtId="0" fontId="5" fillId="48" borderId="415" xfId="0" applyFont="1" applyFill="1" applyBorder="1" applyAlignment="1">
      <alignment horizontal="center" vertical="top"/>
    </xf>
    <xf numFmtId="2" fontId="72" fillId="0" borderId="413" xfId="0" applyNumberFormat="1" applyFont="1" applyBorder="1" applyAlignment="1" applyProtection="1">
      <alignment horizontal="center" vertical="center"/>
      <protection locked="0"/>
    </xf>
    <xf numFmtId="49" fontId="0" fillId="43" borderId="11" xfId="0" applyNumberFormat="1" applyFill="1" applyBorder="1" applyAlignment="1">
      <alignment horizontal="center" vertical="top"/>
    </xf>
    <xf numFmtId="0" fontId="5" fillId="48" borderId="11" xfId="0" applyFont="1" applyFill="1" applyBorder="1"/>
    <xf numFmtId="168" fontId="0" fillId="0" borderId="11" xfId="0" applyNumberFormat="1" applyBorder="1" applyAlignment="1" applyProtection="1">
      <alignment horizontal="center"/>
      <protection locked="0"/>
    </xf>
    <xf numFmtId="0" fontId="0" fillId="46" borderId="11" xfId="0" applyFill="1" applyBorder="1" applyAlignment="1" applyProtection="1">
      <alignment horizontal="center"/>
      <protection locked="0"/>
    </xf>
    <xf numFmtId="0" fontId="5" fillId="48" borderId="11" xfId="0" applyFont="1" applyFill="1" applyBorder="1" applyAlignment="1">
      <alignment horizontal="center" vertical="top"/>
    </xf>
    <xf numFmtId="0" fontId="114" fillId="49" borderId="398" xfId="0" applyFont="1" applyFill="1" applyBorder="1" applyAlignment="1" applyProtection="1">
      <alignment horizontal="center" vertical="center"/>
      <protection locked="0"/>
    </xf>
    <xf numFmtId="0" fontId="114" fillId="49" borderId="411" xfId="0" applyFont="1" applyFill="1" applyBorder="1" applyAlignment="1" applyProtection="1">
      <alignment horizontal="center" vertical="center"/>
      <protection locked="0"/>
    </xf>
    <xf numFmtId="0" fontId="168" fillId="128" borderId="26" xfId="0" applyFont="1" applyFill="1" applyBorder="1" applyAlignment="1" applyProtection="1">
      <alignment horizontal="center" vertical="center"/>
      <protection locked="0"/>
    </xf>
    <xf numFmtId="0" fontId="94" fillId="76" borderId="400" xfId="0" applyFont="1" applyFill="1" applyBorder="1" applyAlignment="1" applyProtection="1">
      <alignment horizontal="center" vertical="center"/>
      <protection locked="0"/>
    </xf>
    <xf numFmtId="0" fontId="90" fillId="49" borderId="264" xfId="0" applyFont="1" applyFill="1" applyBorder="1" applyAlignment="1" applyProtection="1">
      <alignment horizontal="center" vertical="center"/>
      <protection locked="0"/>
    </xf>
    <xf numFmtId="168" fontId="72" fillId="0" borderId="395" xfId="0" applyNumberFormat="1" applyFont="1" applyBorder="1" applyAlignment="1" applyProtection="1">
      <alignment horizontal="center" vertical="center"/>
      <protection locked="0"/>
    </xf>
    <xf numFmtId="0" fontId="58" fillId="49" borderId="142" xfId="0" applyFont="1" applyFill="1" applyBorder="1" applyAlignment="1">
      <alignment horizontal="center" vertical="center"/>
    </xf>
    <xf numFmtId="0" fontId="58" fillId="45" borderId="26" xfId="0" applyFont="1" applyFill="1" applyBorder="1" applyAlignment="1" applyProtection="1">
      <alignment horizontal="center" vertical="center"/>
      <protection locked="0"/>
    </xf>
    <xf numFmtId="0" fontId="72" fillId="49" borderId="264" xfId="0" applyFont="1" applyFill="1" applyBorder="1" applyAlignment="1" applyProtection="1">
      <alignment horizontal="center" vertical="center"/>
      <protection locked="0"/>
    </xf>
    <xf numFmtId="169" fontId="72" fillId="0" borderId="356" xfId="0" applyNumberFormat="1" applyFont="1" applyBorder="1" applyAlignment="1" applyProtection="1">
      <alignment horizontal="center" vertical="center"/>
      <protection locked="0"/>
    </xf>
    <xf numFmtId="2" fontId="72" fillId="0" borderId="398" xfId="0" applyNumberFormat="1" applyFont="1" applyBorder="1" applyAlignment="1" applyProtection="1">
      <alignment horizontal="center" vertical="center"/>
      <protection locked="0"/>
    </xf>
    <xf numFmtId="168" fontId="72" fillId="0" borderId="300" xfId="0" applyNumberFormat="1" applyFont="1" applyBorder="1" applyAlignment="1" applyProtection="1">
      <alignment horizontal="center" vertical="center"/>
      <protection locked="0"/>
    </xf>
    <xf numFmtId="2" fontId="72" fillId="0" borderId="399" xfId="0" applyNumberFormat="1" applyFont="1" applyBorder="1" applyAlignment="1" applyProtection="1">
      <alignment horizontal="center" vertical="center"/>
      <protection locked="0"/>
    </xf>
    <xf numFmtId="0" fontId="72" fillId="49" borderId="419" xfId="0" applyFont="1" applyFill="1" applyBorder="1" applyAlignment="1" applyProtection="1">
      <alignment horizontal="center" vertical="center"/>
      <protection locked="0"/>
    </xf>
    <xf numFmtId="0" fontId="83" fillId="48" borderId="26" xfId="0" applyFont="1" applyFill="1" applyBorder="1" applyAlignment="1" applyProtection="1">
      <alignment horizontal="center" vertical="center"/>
      <protection locked="0"/>
    </xf>
    <xf numFmtId="0" fontId="58" fillId="48" borderId="26" xfId="0" applyFont="1" applyFill="1" applyBorder="1" applyAlignment="1" applyProtection="1">
      <alignment horizontal="center" vertical="center"/>
      <protection locked="0"/>
    </xf>
    <xf numFmtId="2" fontId="72" fillId="0" borderId="160" xfId="0" applyNumberFormat="1" applyFont="1" applyBorder="1" applyAlignment="1" applyProtection="1">
      <alignment horizontal="center" vertical="center"/>
      <protection locked="0"/>
    </xf>
    <xf numFmtId="168" fontId="0" fillId="0" borderId="373" xfId="0" applyNumberFormat="1" applyBorder="1" applyAlignment="1" applyProtection="1">
      <alignment horizontal="center"/>
      <protection locked="0"/>
    </xf>
    <xf numFmtId="49" fontId="0" fillId="43" borderId="373" xfId="0" applyNumberFormat="1" applyFill="1" applyBorder="1" applyAlignment="1">
      <alignment horizontal="center" vertical="top"/>
    </xf>
    <xf numFmtId="0" fontId="0" fillId="46" borderId="373" xfId="0" applyFill="1" applyBorder="1" applyAlignment="1" applyProtection="1">
      <alignment horizontal="center"/>
      <protection locked="0"/>
    </xf>
    <xf numFmtId="168" fontId="0" fillId="0" borderId="102" xfId="0" applyNumberFormat="1" applyBorder="1" applyAlignment="1" applyProtection="1">
      <alignment horizontal="center"/>
      <protection locked="0"/>
    </xf>
    <xf numFmtId="49" fontId="0" fillId="43" borderId="102" xfId="0" applyNumberFormat="1" applyFill="1" applyBorder="1" applyAlignment="1">
      <alignment horizontal="center" vertical="top"/>
    </xf>
    <xf numFmtId="0" fontId="0" fillId="46" borderId="102" xfId="0" applyFill="1" applyBorder="1" applyAlignment="1" applyProtection="1">
      <alignment horizontal="center"/>
      <protection locked="0"/>
    </xf>
    <xf numFmtId="0" fontId="72" fillId="49" borderId="404" xfId="0" applyFont="1" applyFill="1" applyBorder="1" applyAlignment="1" applyProtection="1">
      <alignment horizontal="center" vertical="center"/>
      <protection locked="0"/>
    </xf>
    <xf numFmtId="0" fontId="72" fillId="49" borderId="255" xfId="0" applyFont="1" applyFill="1" applyBorder="1" applyAlignment="1" applyProtection="1">
      <alignment horizontal="center" vertical="center"/>
      <protection locked="0"/>
    </xf>
    <xf numFmtId="0" fontId="95" fillId="64" borderId="400" xfId="0" applyFont="1" applyFill="1" applyBorder="1" applyAlignment="1" applyProtection="1">
      <alignment horizontal="center" vertical="center"/>
      <protection locked="0"/>
    </xf>
    <xf numFmtId="1" fontId="72" fillId="0" borderId="356" xfId="0" applyNumberFormat="1" applyFont="1" applyBorder="1" applyAlignment="1" applyProtection="1">
      <alignment horizontal="center" vertical="center"/>
      <protection locked="0"/>
    </xf>
    <xf numFmtId="1" fontId="72" fillId="0" borderId="264" xfId="0" applyNumberFormat="1" applyFont="1" applyBorder="1" applyAlignment="1" applyProtection="1">
      <alignment horizontal="center" vertical="center"/>
      <protection locked="0"/>
    </xf>
    <xf numFmtId="1" fontId="72" fillId="0" borderId="399" xfId="0" applyNumberFormat="1" applyFont="1" applyBorder="1" applyAlignment="1" applyProtection="1">
      <alignment horizontal="center" vertical="center"/>
      <protection locked="0"/>
    </xf>
    <xf numFmtId="1" fontId="72" fillId="0" borderId="419" xfId="0" applyNumberFormat="1" applyFont="1" applyBorder="1" applyAlignment="1" applyProtection="1">
      <alignment horizontal="center" vertical="center"/>
      <protection locked="0"/>
    </xf>
    <xf numFmtId="168" fontId="0" fillId="0" borderId="420" xfId="0" applyNumberFormat="1" applyBorder="1" applyAlignment="1" applyProtection="1">
      <alignment horizontal="center"/>
      <protection locked="0"/>
    </xf>
    <xf numFmtId="1" fontId="72" fillId="0" borderId="421" xfId="0" applyNumberFormat="1" applyFont="1" applyBorder="1" applyAlignment="1" applyProtection="1">
      <alignment horizontal="center" vertical="center"/>
      <protection locked="0"/>
    </xf>
    <xf numFmtId="49" fontId="0" fillId="43" borderId="420" xfId="0" applyNumberFormat="1" applyFill="1" applyBorder="1" applyAlignment="1">
      <alignment horizontal="center" vertical="top"/>
    </xf>
    <xf numFmtId="0" fontId="0" fillId="46" borderId="420" xfId="0" applyFill="1" applyBorder="1" applyAlignment="1" applyProtection="1">
      <alignment horizontal="center"/>
      <protection locked="0"/>
    </xf>
    <xf numFmtId="1" fontId="72" fillId="0" borderId="403" xfId="0" applyNumberFormat="1" applyFont="1" applyBorder="1" applyAlignment="1" applyProtection="1">
      <alignment horizontal="center" vertical="center"/>
      <protection locked="0"/>
    </xf>
    <xf numFmtId="49" fontId="0" fillId="43" borderId="423" xfId="0" applyNumberFormat="1" applyFill="1" applyBorder="1" applyAlignment="1">
      <alignment horizontal="center" vertical="top"/>
    </xf>
    <xf numFmtId="49" fontId="0" fillId="43" borderId="422" xfId="0" applyNumberFormat="1" applyFill="1" applyBorder="1" applyAlignment="1">
      <alignment horizontal="center" vertical="top"/>
    </xf>
    <xf numFmtId="0" fontId="72" fillId="49" borderId="424" xfId="0" applyFont="1" applyFill="1" applyBorder="1" applyAlignment="1" applyProtection="1">
      <alignment horizontal="center" vertical="center"/>
      <protection locked="0"/>
    </xf>
    <xf numFmtId="0" fontId="9" fillId="48" borderId="91" xfId="0" applyFont="1" applyFill="1" applyBorder="1" applyAlignment="1" applyProtection="1">
      <alignment horizontal="center" vertical="center"/>
      <protection locked="0"/>
    </xf>
    <xf numFmtId="0" fontId="9" fillId="49" borderId="92" xfId="0" applyFont="1" applyFill="1" applyBorder="1" applyAlignment="1">
      <alignment horizontal="center" vertical="center"/>
    </xf>
    <xf numFmtId="0" fontId="9" fillId="49" borderId="148" xfId="0" applyFont="1" applyFill="1" applyBorder="1" applyAlignment="1" applyProtection="1">
      <alignment horizontal="center" vertical="center"/>
      <protection locked="0"/>
    </xf>
    <xf numFmtId="0" fontId="7" fillId="128" borderId="11" xfId="0" applyFont="1" applyFill="1" applyBorder="1" applyAlignment="1" applyProtection="1">
      <alignment horizontal="center" vertical="center"/>
      <protection locked="0"/>
    </xf>
    <xf numFmtId="168" fontId="72" fillId="0" borderId="398" xfId="0" applyNumberFormat="1" applyFont="1" applyBorder="1" applyAlignment="1" applyProtection="1">
      <alignment horizontal="center" vertical="center"/>
      <protection locked="0"/>
    </xf>
    <xf numFmtId="0" fontId="5" fillId="43" borderId="12" xfId="0" applyFont="1" applyFill="1" applyBorder="1" applyAlignment="1" applyProtection="1">
      <alignment horizontal="center"/>
      <protection locked="0"/>
    </xf>
    <xf numFmtId="0" fontId="14" fillId="51" borderId="400" xfId="0" applyFont="1" applyFill="1" applyBorder="1" applyAlignment="1">
      <alignment horizontal="center" vertical="center"/>
    </xf>
    <xf numFmtId="1" fontId="0" fillId="43" borderId="402" xfId="0" applyNumberFormat="1" applyFill="1" applyBorder="1" applyProtection="1">
      <protection locked="0"/>
    </xf>
    <xf numFmtId="0" fontId="148" fillId="50" borderId="425" xfId="47" applyFont="1" applyFill="1" applyBorder="1" applyProtection="1"/>
    <xf numFmtId="0" fontId="7" fillId="49" borderId="426" xfId="0" applyFont="1" applyFill="1" applyBorder="1" applyAlignment="1">
      <alignment horizontal="center" vertical="center" wrapText="1"/>
    </xf>
    <xf numFmtId="0" fontId="148" fillId="50" borderId="18" xfId="47" applyFont="1" applyFill="1" applyBorder="1" applyProtection="1"/>
    <xf numFmtId="0" fontId="5" fillId="44" borderId="276" xfId="0" applyFont="1" applyFill="1" applyBorder="1" applyAlignment="1" applyProtection="1">
      <alignment horizontal="center"/>
      <protection locked="0"/>
    </xf>
    <xf numFmtId="0" fontId="5" fillId="44" borderId="250" xfId="0" applyFont="1" applyFill="1" applyBorder="1" applyAlignment="1" applyProtection="1">
      <alignment horizontal="center"/>
      <protection locked="0"/>
    </xf>
    <xf numFmtId="0" fontId="5" fillId="44" borderId="18" xfId="0" applyFont="1" applyFill="1" applyBorder="1"/>
    <xf numFmtId="0" fontId="14" fillId="51" borderId="428" xfId="0" applyFont="1" applyFill="1" applyBorder="1" applyAlignment="1">
      <alignment horizontal="center" vertical="center"/>
    </xf>
    <xf numFmtId="49" fontId="0" fillId="43" borderId="428" xfId="0" applyNumberFormat="1" applyFill="1" applyBorder="1" applyAlignment="1">
      <alignment horizontal="center" vertical="top"/>
    </xf>
    <xf numFmtId="1" fontId="0" fillId="43" borderId="402" xfId="0" applyNumberFormat="1" applyFill="1" applyBorder="1"/>
    <xf numFmtId="0" fontId="5" fillId="114" borderId="429" xfId="48" applyFill="1" applyBorder="1" applyAlignment="1">
      <alignment horizontal="center"/>
    </xf>
    <xf numFmtId="0" fontId="5" fillId="114" borderId="430" xfId="48" applyFill="1" applyBorder="1" applyAlignment="1">
      <alignment horizontal="center"/>
    </xf>
    <xf numFmtId="0" fontId="5" fillId="114" borderId="431" xfId="48" applyFill="1" applyBorder="1" applyAlignment="1">
      <alignment horizontal="center"/>
    </xf>
    <xf numFmtId="0" fontId="5" fillId="0" borderId="400" xfId="48" applyBorder="1" applyAlignment="1">
      <alignment horizontal="center"/>
    </xf>
    <xf numFmtId="0" fontId="5" fillId="0" borderId="11" xfId="48" applyBorder="1" applyAlignment="1">
      <alignment horizontal="center"/>
    </xf>
    <xf numFmtId="0" fontId="5" fillId="0" borderId="432" xfId="48" applyBorder="1" applyAlignment="1">
      <alignment horizontal="center"/>
    </xf>
    <xf numFmtId="0" fontId="5" fillId="0" borderId="432" xfId="48" applyBorder="1" applyAlignment="1">
      <alignment horizontal="center" vertical="center"/>
    </xf>
    <xf numFmtId="1" fontId="5" fillId="46" borderId="429" xfId="48" applyNumberFormat="1" applyFill="1" applyBorder="1" applyAlignment="1">
      <alignment horizontal="center"/>
    </xf>
    <xf numFmtId="1" fontId="5" fillId="44" borderId="101" xfId="48" applyNumberFormat="1" applyFill="1" applyBorder="1" applyAlignment="1" applyProtection="1">
      <alignment horizontal="center"/>
      <protection locked="0"/>
    </xf>
    <xf numFmtId="1" fontId="5" fillId="44" borderId="433" xfId="48" applyNumberFormat="1" applyFill="1" applyBorder="1" applyAlignment="1" applyProtection="1">
      <alignment horizontal="center"/>
      <protection locked="0"/>
    </xf>
    <xf numFmtId="1" fontId="5" fillId="46" borderId="430" xfId="48" applyNumberFormat="1" applyFill="1" applyBorder="1" applyAlignment="1">
      <alignment horizontal="center"/>
    </xf>
    <xf numFmtId="1" fontId="5" fillId="0" borderId="403" xfId="48" applyNumberFormat="1" applyBorder="1" applyAlignment="1" applyProtection="1">
      <alignment horizontal="center"/>
      <protection locked="0"/>
    </xf>
    <xf numFmtId="0" fontId="5" fillId="114" borderId="407" xfId="48" applyFill="1" applyBorder="1" applyAlignment="1">
      <alignment horizontal="center"/>
    </xf>
    <xf numFmtId="0" fontId="5" fillId="46" borderId="407" xfId="48" applyFill="1" applyBorder="1" applyAlignment="1">
      <alignment horizontal="center"/>
    </xf>
    <xf numFmtId="1" fontId="5" fillId="0" borderId="403" xfId="48" applyNumberFormat="1" applyBorder="1" applyAlignment="1">
      <alignment horizontal="center"/>
    </xf>
    <xf numFmtId="1" fontId="5" fillId="46" borderId="432" xfId="48" applyNumberFormat="1" applyFill="1" applyBorder="1" applyAlignment="1">
      <alignment horizontal="center"/>
    </xf>
    <xf numFmtId="0" fontId="5" fillId="114" borderId="432" xfId="48" applyFill="1" applyBorder="1" applyAlignment="1">
      <alignment horizontal="center"/>
    </xf>
    <xf numFmtId="0" fontId="5" fillId="46" borderId="432" xfId="48" applyFill="1" applyBorder="1" applyAlignment="1">
      <alignment horizontal="center"/>
    </xf>
    <xf numFmtId="0" fontId="5" fillId="46" borderId="430" xfId="48" applyFill="1" applyBorder="1" applyAlignment="1">
      <alignment horizontal="center"/>
    </xf>
    <xf numFmtId="0" fontId="5" fillId="0" borderId="435" xfId="48" applyBorder="1" applyAlignment="1">
      <alignment horizontal="center" vertical="center"/>
    </xf>
    <xf numFmtId="0" fontId="5" fillId="0" borderId="434" xfId="48" applyBorder="1" applyAlignment="1">
      <alignment horizontal="center" vertical="center"/>
    </xf>
    <xf numFmtId="0" fontId="14" fillId="51" borderId="432" xfId="0" applyFont="1" applyFill="1" applyBorder="1" applyAlignment="1">
      <alignment horizontal="center" vertical="center"/>
    </xf>
    <xf numFmtId="0" fontId="5" fillId="50" borderId="436" xfId="49" applyFill="1" applyBorder="1"/>
    <xf numFmtId="0" fontId="5" fillId="44" borderId="436" xfId="49" applyFill="1" applyBorder="1"/>
    <xf numFmtId="0" fontId="5" fillId="43" borderId="430" xfId="49" applyFill="1" applyBorder="1"/>
    <xf numFmtId="0" fontId="52" fillId="43" borderId="430" xfId="48" applyFont="1" applyFill="1" applyBorder="1" applyAlignment="1" applyProtection="1">
      <alignment horizontal="center"/>
      <protection locked="0"/>
    </xf>
    <xf numFmtId="0" fontId="58" fillId="43" borderId="430" xfId="48" applyFont="1" applyFill="1" applyBorder="1" applyAlignment="1" applyProtection="1">
      <alignment horizontal="center"/>
      <protection locked="0"/>
    </xf>
    <xf numFmtId="0" fontId="50" fillId="43" borderId="430" xfId="48" applyFont="1" applyFill="1" applyBorder="1" applyAlignment="1" applyProtection="1">
      <alignment horizontal="center"/>
      <protection locked="0"/>
    </xf>
    <xf numFmtId="0" fontId="80" fillId="43" borderId="430" xfId="48" applyFont="1" applyFill="1" applyBorder="1" applyAlignment="1" applyProtection="1">
      <alignment horizontal="center"/>
      <protection locked="0"/>
    </xf>
    <xf numFmtId="0" fontId="56" fillId="43" borderId="430" xfId="48" applyFont="1" applyFill="1" applyBorder="1" applyAlignment="1" applyProtection="1">
      <alignment horizontal="center"/>
      <protection locked="0"/>
    </xf>
    <xf numFmtId="0" fontId="57" fillId="43" borderId="430" xfId="48" applyFont="1" applyFill="1" applyBorder="1" applyAlignment="1" applyProtection="1">
      <alignment horizontal="center"/>
      <protection locked="0"/>
    </xf>
    <xf numFmtId="0" fontId="59" fillId="43" borderId="430" xfId="48" applyFont="1" applyFill="1" applyBorder="1" applyAlignment="1" applyProtection="1">
      <alignment horizontal="center"/>
      <protection locked="0"/>
    </xf>
    <xf numFmtId="0" fontId="60" fillId="43" borderId="430" xfId="48" applyFont="1" applyFill="1" applyBorder="1" applyAlignment="1" applyProtection="1">
      <alignment horizontal="center"/>
      <protection locked="0"/>
    </xf>
    <xf numFmtId="0" fontId="61" fillId="43" borderId="430" xfId="48" applyFont="1" applyFill="1" applyBorder="1" applyAlignment="1" applyProtection="1">
      <alignment horizontal="center"/>
      <protection locked="0"/>
    </xf>
    <xf numFmtId="0" fontId="62" fillId="43" borderId="430" xfId="48" applyFont="1" applyFill="1" applyBorder="1" applyAlignment="1" applyProtection="1">
      <alignment horizontal="center"/>
      <protection locked="0"/>
    </xf>
    <xf numFmtId="0" fontId="69" fillId="47" borderId="392" xfId="49" applyFont="1" applyFill="1" applyBorder="1" applyAlignment="1">
      <alignment horizontal="center" vertical="center" wrapText="1"/>
    </xf>
    <xf numFmtId="2" fontId="5" fillId="0" borderId="127" xfId="49" applyNumberFormat="1" applyBorder="1" applyAlignment="1" applyProtection="1">
      <alignment horizontal="center" vertical="center"/>
      <protection locked="0"/>
    </xf>
    <xf numFmtId="2" fontId="5" fillId="0" borderId="208" xfId="49" applyNumberFormat="1" applyBorder="1" applyAlignment="1" applyProtection="1">
      <alignment horizontal="center" vertical="center"/>
      <protection locked="0"/>
    </xf>
    <xf numFmtId="0" fontId="69" fillId="143" borderId="348" xfId="49" applyFont="1" applyFill="1" applyBorder="1" applyAlignment="1">
      <alignment horizontal="center" vertical="center" wrapText="1"/>
    </xf>
    <xf numFmtId="0" fontId="58" fillId="48" borderId="348" xfId="48" applyFont="1" applyFill="1" applyBorder="1" applyAlignment="1" applyProtection="1">
      <alignment horizontal="center"/>
      <protection locked="0"/>
    </xf>
    <xf numFmtId="2" fontId="7" fillId="44" borderId="352" xfId="49" applyNumberFormat="1" applyFont="1" applyFill="1" applyBorder="1" applyAlignment="1">
      <alignment horizontal="center" vertical="center" wrapText="1"/>
    </xf>
    <xf numFmtId="2" fontId="5" fillId="44" borderId="78" xfId="49" applyNumberFormat="1" applyFill="1" applyBorder="1" applyAlignment="1" applyProtection="1">
      <alignment horizontal="center" vertical="center"/>
      <protection locked="0"/>
    </xf>
    <xf numFmtId="2" fontId="5" fillId="44" borderId="79" xfId="49" applyNumberFormat="1" applyFill="1" applyBorder="1" applyAlignment="1" applyProtection="1">
      <alignment horizontal="center" vertical="center"/>
      <protection locked="0"/>
    </xf>
    <xf numFmtId="2" fontId="5" fillId="44" borderId="77" xfId="49" applyNumberFormat="1" applyFill="1" applyBorder="1" applyAlignment="1" applyProtection="1">
      <alignment horizontal="center" vertical="center"/>
      <protection locked="0"/>
    </xf>
    <xf numFmtId="0" fontId="7" fillId="61" borderId="437" xfId="0" applyFont="1" applyFill="1" applyBorder="1" applyAlignment="1">
      <alignment horizontal="center" vertical="center" wrapText="1"/>
    </xf>
    <xf numFmtId="0" fontId="5" fillId="44" borderId="210" xfId="49" applyFill="1" applyBorder="1" applyAlignment="1" applyProtection="1">
      <alignment horizontal="center"/>
      <protection locked="0"/>
    </xf>
    <xf numFmtId="0" fontId="5" fillId="44" borderId="82" xfId="49" applyFill="1" applyBorder="1" applyAlignment="1" applyProtection="1">
      <alignment horizontal="center"/>
      <protection locked="0"/>
    </xf>
    <xf numFmtId="0" fontId="5" fillId="44" borderId="82" xfId="49" applyFill="1" applyBorder="1" applyAlignment="1">
      <alignment horizontal="center"/>
    </xf>
    <xf numFmtId="0" fontId="5" fillId="44" borderId="80" xfId="49" applyFill="1" applyBorder="1" applyAlignment="1">
      <alignment horizontal="center"/>
    </xf>
    <xf numFmtId="2" fontId="5" fillId="43" borderId="370" xfId="49" applyNumberFormat="1" applyFill="1" applyBorder="1" applyAlignment="1" applyProtection="1">
      <alignment horizontal="center" vertical="center"/>
      <protection locked="0"/>
    </xf>
    <xf numFmtId="2" fontId="5" fillId="43" borderId="370" xfId="49" applyNumberFormat="1" applyFill="1" applyBorder="1"/>
    <xf numFmtId="2" fontId="69" fillId="66" borderId="370" xfId="49" applyNumberFormat="1" applyFont="1" applyFill="1" applyBorder="1" applyAlignment="1">
      <alignment horizontal="center" vertical="center" wrapText="1"/>
    </xf>
    <xf numFmtId="2" fontId="69" fillId="66" borderId="438" xfId="49" applyNumberFormat="1" applyFont="1" applyFill="1" applyBorder="1" applyAlignment="1">
      <alignment horizontal="center" vertical="center" wrapText="1"/>
    </xf>
    <xf numFmtId="2" fontId="5" fillId="43" borderId="438" xfId="49" applyNumberFormat="1" applyFill="1" applyBorder="1" applyAlignment="1" applyProtection="1">
      <alignment horizontal="center" vertical="center"/>
      <protection locked="0"/>
    </xf>
    <xf numFmtId="2" fontId="5" fillId="43" borderId="438" xfId="49" applyNumberFormat="1" applyFill="1" applyBorder="1"/>
    <xf numFmtId="0" fontId="5" fillId="50" borderId="348" xfId="49" applyFill="1" applyBorder="1"/>
    <xf numFmtId="2" fontId="69" fillId="66" borderId="348" xfId="49" applyNumberFormat="1" applyFont="1" applyFill="1" applyBorder="1" applyAlignment="1">
      <alignment horizontal="center" vertical="center" wrapText="1"/>
    </xf>
    <xf numFmtId="2" fontId="5" fillId="43" borderId="348" xfId="49" applyNumberFormat="1" applyFill="1" applyBorder="1" applyAlignment="1" applyProtection="1">
      <alignment horizontal="center" vertical="center"/>
      <protection locked="0"/>
    </xf>
    <xf numFmtId="2" fontId="69" fillId="66" borderId="357" xfId="49" applyNumberFormat="1" applyFont="1" applyFill="1" applyBorder="1" applyAlignment="1">
      <alignment horizontal="center" vertical="center" wrapText="1"/>
    </xf>
    <xf numFmtId="2" fontId="5" fillId="43" borderId="357" xfId="49" applyNumberFormat="1" applyFill="1" applyBorder="1" applyAlignment="1" applyProtection="1">
      <alignment horizontal="center" vertical="center"/>
      <protection locked="0"/>
    </xf>
    <xf numFmtId="2" fontId="5" fillId="43" borderId="357" xfId="49" applyNumberFormat="1" applyFill="1" applyBorder="1"/>
    <xf numFmtId="2" fontId="5" fillId="46" borderId="0" xfId="49" applyNumberFormat="1" applyFill="1"/>
    <xf numFmtId="2" fontId="7" fillId="46" borderId="349" xfId="49" applyNumberFormat="1" applyFont="1" applyFill="1" applyBorder="1" applyAlignment="1">
      <alignment horizontal="center" vertical="center" wrapText="1"/>
    </xf>
    <xf numFmtId="2" fontId="5" fillId="46" borderId="94" xfId="49" applyNumberFormat="1" applyFill="1" applyBorder="1" applyAlignment="1" applyProtection="1">
      <alignment horizontal="center"/>
      <protection locked="0"/>
    </xf>
    <xf numFmtId="2" fontId="5" fillId="46" borderId="93" xfId="49" applyNumberFormat="1" applyFill="1" applyBorder="1" applyAlignment="1" applyProtection="1">
      <alignment horizontal="center"/>
      <protection locked="0"/>
    </xf>
    <xf numFmtId="2" fontId="5" fillId="46" borderId="76" xfId="49" applyNumberFormat="1" applyFill="1" applyBorder="1" applyAlignment="1" applyProtection="1">
      <alignment horizontal="center"/>
      <protection locked="0"/>
    </xf>
    <xf numFmtId="1" fontId="5" fillId="0" borderId="93" xfId="49" applyNumberFormat="1" applyBorder="1" applyAlignment="1" applyProtection="1">
      <alignment horizontal="center"/>
      <protection locked="0"/>
    </xf>
    <xf numFmtId="1" fontId="5" fillId="0" borderId="76" xfId="49" applyNumberFormat="1" applyBorder="1" applyAlignment="1" applyProtection="1">
      <alignment horizontal="center"/>
      <protection locked="0"/>
    </xf>
    <xf numFmtId="1" fontId="5" fillId="0" borderId="94" xfId="49" applyNumberFormat="1" applyBorder="1" applyAlignment="1" applyProtection="1">
      <alignment horizontal="center"/>
      <protection locked="0"/>
    </xf>
    <xf numFmtId="1" fontId="5" fillId="0" borderId="249" xfId="49" applyNumberFormat="1" applyBorder="1" applyAlignment="1" applyProtection="1">
      <alignment horizontal="center"/>
      <protection locked="0"/>
    </xf>
    <xf numFmtId="1" fontId="5" fillId="43" borderId="348" xfId="49" applyNumberFormat="1" applyFill="1" applyBorder="1" applyAlignment="1" applyProtection="1">
      <alignment horizontal="center"/>
      <protection locked="0"/>
    </xf>
    <xf numFmtId="0" fontId="7" fillId="50" borderId="348" xfId="49" applyFont="1" applyFill="1" applyBorder="1" applyAlignment="1">
      <alignment horizontal="center" vertical="center" wrapText="1"/>
    </xf>
    <xf numFmtId="1" fontId="5" fillId="46" borderId="348" xfId="49" applyNumberFormat="1" applyFill="1" applyBorder="1" applyAlignment="1">
      <alignment horizontal="center"/>
    </xf>
    <xf numFmtId="1" fontId="5" fillId="43" borderId="348" xfId="49" applyNumberFormat="1" applyFill="1" applyBorder="1" applyAlignment="1">
      <alignment horizontal="center"/>
    </xf>
    <xf numFmtId="0" fontId="5" fillId="44" borderId="77" xfId="49" applyFill="1" applyBorder="1" applyAlignment="1">
      <alignment horizontal="center"/>
    </xf>
    <xf numFmtId="1" fontId="5" fillId="44" borderId="78" xfId="49" applyNumberFormat="1" applyFill="1" applyBorder="1" applyAlignment="1">
      <alignment horizontal="center"/>
    </xf>
    <xf numFmtId="1" fontId="5" fillId="44" borderId="79" xfId="49" applyNumberFormat="1" applyFill="1" applyBorder="1" applyAlignment="1">
      <alignment horizontal="center"/>
    </xf>
    <xf numFmtId="1" fontId="5" fillId="44" borderId="77" xfId="49" applyNumberFormat="1" applyFill="1" applyBorder="1" applyAlignment="1">
      <alignment horizontal="center"/>
    </xf>
    <xf numFmtId="1" fontId="5" fillId="48" borderId="348" xfId="49" applyNumberFormat="1" applyFill="1" applyBorder="1" applyAlignment="1">
      <alignment horizontal="center"/>
    </xf>
    <xf numFmtId="0" fontId="148" fillId="48" borderId="440" xfId="49" applyFont="1" applyFill="1" applyBorder="1" applyAlignment="1">
      <alignment horizontal="center" vertical="center" wrapText="1"/>
    </xf>
    <xf numFmtId="0" fontId="148" fillId="55" borderId="440" xfId="49" applyFont="1" applyFill="1" applyBorder="1" applyAlignment="1">
      <alignment horizontal="center" vertical="center" wrapText="1"/>
    </xf>
    <xf numFmtId="0" fontId="148" fillId="58" borderId="440" xfId="49" applyFont="1" applyFill="1" applyBorder="1" applyAlignment="1">
      <alignment horizontal="center" vertical="center" wrapText="1"/>
    </xf>
    <xf numFmtId="0" fontId="162" fillId="45" borderId="440" xfId="49" applyFont="1" applyFill="1" applyBorder="1" applyAlignment="1">
      <alignment horizontal="center" vertical="center" wrapText="1"/>
    </xf>
    <xf numFmtId="0" fontId="162" fillId="76" borderId="440" xfId="49" applyFont="1" applyFill="1" applyBorder="1" applyAlignment="1">
      <alignment horizontal="center" vertical="center" wrapText="1"/>
    </xf>
    <xf numFmtId="0" fontId="162" fillId="77" borderId="440" xfId="49" applyFont="1" applyFill="1" applyBorder="1" applyAlignment="1">
      <alignment horizontal="center" vertical="center" wrapText="1"/>
    </xf>
    <xf numFmtId="0" fontId="148" fillId="54" borderId="440" xfId="49" applyFont="1" applyFill="1" applyBorder="1" applyAlignment="1">
      <alignment horizontal="center" vertical="center" wrapText="1"/>
    </xf>
    <xf numFmtId="0" fontId="148" fillId="61" borderId="440" xfId="49" applyFont="1" applyFill="1" applyBorder="1" applyAlignment="1">
      <alignment horizontal="center" vertical="center" wrapText="1"/>
    </xf>
    <xf numFmtId="0" fontId="148" fillId="64" borderId="440" xfId="49" applyFont="1" applyFill="1" applyBorder="1" applyAlignment="1">
      <alignment horizontal="center" vertical="center" wrapText="1"/>
    </xf>
    <xf numFmtId="0" fontId="148" fillId="46" borderId="440" xfId="49" applyFont="1" applyFill="1" applyBorder="1" applyAlignment="1">
      <alignment horizontal="center" vertical="center" wrapText="1"/>
    </xf>
    <xf numFmtId="0" fontId="148" fillId="60" borderId="440" xfId="49" applyFont="1" applyFill="1" applyBorder="1" applyAlignment="1">
      <alignment horizontal="center" vertical="center" wrapText="1"/>
    </xf>
    <xf numFmtId="0" fontId="148" fillId="56" borderId="440" xfId="49" applyFont="1" applyFill="1" applyBorder="1" applyAlignment="1">
      <alignment horizontal="center" vertical="center" wrapText="1"/>
    </xf>
    <xf numFmtId="0" fontId="7" fillId="49" borderId="348" xfId="49" applyFont="1" applyFill="1" applyBorder="1" applyAlignment="1">
      <alignment horizontal="center" vertical="center" wrapText="1"/>
    </xf>
    <xf numFmtId="0" fontId="5" fillId="50" borderId="348" xfId="49" applyFill="1" applyBorder="1" applyAlignment="1" applyProtection="1">
      <alignment horizontal="center"/>
      <protection locked="0"/>
    </xf>
    <xf numFmtId="0" fontId="52" fillId="48" borderId="441" xfId="0" applyFont="1" applyFill="1" applyBorder="1" applyAlignment="1" applyProtection="1">
      <alignment horizontal="center"/>
      <protection locked="0"/>
    </xf>
    <xf numFmtId="0" fontId="52" fillId="48" borderId="142" xfId="0" applyFont="1" applyFill="1" applyBorder="1" applyAlignment="1" applyProtection="1">
      <alignment horizontal="center"/>
      <protection locked="0"/>
    </xf>
    <xf numFmtId="0" fontId="9" fillId="48" borderId="142" xfId="0" applyFont="1" applyFill="1" applyBorder="1" applyAlignment="1" applyProtection="1">
      <alignment horizontal="center"/>
      <protection locked="0"/>
    </xf>
    <xf numFmtId="0" fontId="52" fillId="48" borderId="143" xfId="0" applyFont="1" applyFill="1" applyBorder="1" applyAlignment="1" applyProtection="1">
      <alignment horizontal="center"/>
      <protection locked="0"/>
    </xf>
    <xf numFmtId="0" fontId="50" fillId="55" borderId="441" xfId="0" applyFont="1" applyFill="1" applyBorder="1" applyAlignment="1" applyProtection="1">
      <alignment horizontal="center"/>
      <protection locked="0"/>
    </xf>
    <xf numFmtId="0" fontId="50" fillId="55" borderId="142" xfId="0" applyFont="1" applyFill="1" applyBorder="1" applyAlignment="1" applyProtection="1">
      <alignment horizontal="center"/>
      <protection locked="0"/>
    </xf>
    <xf numFmtId="0" fontId="9" fillId="55" borderId="142" xfId="0" applyFont="1" applyFill="1" applyBorder="1" applyAlignment="1" applyProtection="1">
      <alignment horizontal="center"/>
      <protection locked="0"/>
    </xf>
    <xf numFmtId="0" fontId="50" fillId="55" borderId="143" xfId="0" applyFont="1" applyFill="1" applyBorder="1" applyAlignment="1" applyProtection="1">
      <alignment horizontal="center"/>
      <protection locked="0"/>
    </xf>
    <xf numFmtId="0" fontId="80" fillId="58" borderId="441" xfId="0" applyFont="1" applyFill="1" applyBorder="1" applyAlignment="1" applyProtection="1">
      <alignment horizontal="center"/>
      <protection locked="0"/>
    </xf>
    <xf numFmtId="0" fontId="80" fillId="58" borderId="142" xfId="0" applyFont="1" applyFill="1" applyBorder="1" applyAlignment="1" applyProtection="1">
      <alignment horizontal="center"/>
      <protection locked="0"/>
    </xf>
    <xf numFmtId="0" fontId="9" fillId="58" borderId="142" xfId="0" applyFont="1" applyFill="1" applyBorder="1" applyAlignment="1" applyProtection="1">
      <alignment horizontal="center"/>
      <protection locked="0"/>
    </xf>
    <xf numFmtId="0" fontId="80" fillId="58" borderId="143" xfId="0" applyFont="1" applyFill="1" applyBorder="1" applyAlignment="1" applyProtection="1">
      <alignment horizontal="center"/>
      <protection locked="0"/>
    </xf>
    <xf numFmtId="0" fontId="83" fillId="45" borderId="441" xfId="0" applyFont="1" applyFill="1" applyBorder="1" applyAlignment="1" applyProtection="1">
      <alignment horizontal="center"/>
      <protection locked="0"/>
    </xf>
    <xf numFmtId="0" fontId="83" fillId="45" borderId="142" xfId="0" applyFont="1" applyFill="1" applyBorder="1" applyAlignment="1" applyProtection="1">
      <alignment horizontal="center"/>
      <protection locked="0"/>
    </xf>
    <xf numFmtId="0" fontId="58" fillId="45" borderId="142" xfId="0" applyFont="1" applyFill="1" applyBorder="1" applyAlignment="1" applyProtection="1">
      <alignment horizontal="center"/>
      <protection locked="0"/>
    </xf>
    <xf numFmtId="0" fontId="83" fillId="45" borderId="143" xfId="0" applyFont="1" applyFill="1" applyBorder="1" applyAlignment="1" applyProtection="1">
      <alignment horizontal="center"/>
      <protection locked="0"/>
    </xf>
    <xf numFmtId="0" fontId="82" fillId="76" borderId="441" xfId="0" applyFont="1" applyFill="1" applyBorder="1" applyAlignment="1" applyProtection="1">
      <alignment horizontal="center"/>
      <protection locked="0"/>
    </xf>
    <xf numFmtId="0" fontId="82" fillId="76" borderId="142" xfId="0" applyFont="1" applyFill="1" applyBorder="1" applyAlignment="1" applyProtection="1">
      <alignment horizontal="center"/>
      <protection locked="0"/>
    </xf>
    <xf numFmtId="0" fontId="58" fillId="76" borderId="142" xfId="0" applyFont="1" applyFill="1" applyBorder="1" applyAlignment="1" applyProtection="1">
      <alignment horizontal="center"/>
      <protection locked="0"/>
    </xf>
    <xf numFmtId="0" fontId="82" fillId="76" borderId="143" xfId="0" applyFont="1" applyFill="1" applyBorder="1" applyAlignment="1" applyProtection="1">
      <alignment horizontal="center"/>
      <protection locked="0"/>
    </xf>
    <xf numFmtId="0" fontId="81" fillId="77" borderId="441" xfId="0" applyFont="1" applyFill="1" applyBorder="1" applyAlignment="1" applyProtection="1">
      <alignment horizontal="center"/>
      <protection locked="0"/>
    </xf>
    <xf numFmtId="0" fontId="81" fillId="77" borderId="142" xfId="0" applyFont="1" applyFill="1" applyBorder="1" applyAlignment="1" applyProtection="1">
      <alignment horizontal="center"/>
      <protection locked="0"/>
    </xf>
    <xf numFmtId="0" fontId="58" fillId="77" borderId="142" xfId="0" applyFont="1" applyFill="1" applyBorder="1" applyAlignment="1" applyProtection="1">
      <alignment horizontal="center"/>
      <protection locked="0"/>
    </xf>
    <xf numFmtId="0" fontId="81" fillId="77" borderId="143" xfId="0" applyFont="1" applyFill="1" applyBorder="1" applyAlignment="1" applyProtection="1">
      <alignment horizontal="center"/>
      <protection locked="0"/>
    </xf>
    <xf numFmtId="0" fontId="56" fillId="54" borderId="441" xfId="0" applyFont="1" applyFill="1" applyBorder="1" applyAlignment="1" applyProtection="1">
      <alignment horizontal="center"/>
      <protection locked="0"/>
    </xf>
    <xf numFmtId="0" fontId="56" fillId="54" borderId="142"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56" fillId="54" borderId="143" xfId="0" applyFont="1" applyFill="1" applyBorder="1" applyAlignment="1" applyProtection="1">
      <alignment horizontal="center"/>
      <protection locked="0"/>
    </xf>
    <xf numFmtId="0" fontId="57" fillId="61" borderId="441" xfId="0" applyFont="1" applyFill="1" applyBorder="1" applyAlignment="1" applyProtection="1">
      <alignment horizontal="center"/>
      <protection locked="0"/>
    </xf>
    <xf numFmtId="0" fontId="57" fillId="61" borderId="142" xfId="0" applyFont="1" applyFill="1" applyBorder="1" applyAlignment="1" applyProtection="1">
      <alignment horizontal="center"/>
      <protection locked="0"/>
    </xf>
    <xf numFmtId="0" fontId="9" fillId="61" borderId="142" xfId="0" applyFont="1" applyFill="1" applyBorder="1" applyAlignment="1" applyProtection="1">
      <alignment horizontal="center"/>
      <protection locked="0"/>
    </xf>
    <xf numFmtId="0" fontId="57" fillId="61" borderId="143" xfId="0" applyFont="1" applyFill="1" applyBorder="1" applyAlignment="1" applyProtection="1">
      <alignment horizontal="center"/>
      <protection locked="0"/>
    </xf>
    <xf numFmtId="0" fontId="59" fillId="64" borderId="441" xfId="0" applyFont="1" applyFill="1" applyBorder="1" applyAlignment="1" applyProtection="1">
      <alignment horizontal="center"/>
      <protection locked="0"/>
    </xf>
    <xf numFmtId="0" fontId="59" fillId="64" borderId="142" xfId="0" applyFont="1" applyFill="1" applyBorder="1" applyAlignment="1" applyProtection="1">
      <alignment horizontal="center"/>
      <protection locked="0"/>
    </xf>
    <xf numFmtId="0" fontId="9" fillId="64" borderId="142" xfId="0" applyFont="1" applyFill="1" applyBorder="1" applyAlignment="1" applyProtection="1">
      <alignment horizontal="center"/>
      <protection locked="0"/>
    </xf>
    <xf numFmtId="0" fontId="59" fillId="64" borderId="143" xfId="0" applyFont="1" applyFill="1" applyBorder="1" applyAlignment="1" applyProtection="1">
      <alignment horizontal="center"/>
      <protection locked="0"/>
    </xf>
    <xf numFmtId="0" fontId="60" fillId="46" borderId="441" xfId="0" applyFont="1" applyFill="1" applyBorder="1" applyAlignment="1" applyProtection="1">
      <alignment horizontal="center"/>
      <protection locked="0"/>
    </xf>
    <xf numFmtId="0" fontId="60" fillId="46" borderId="142" xfId="0" applyFont="1" applyFill="1" applyBorder="1" applyAlignment="1" applyProtection="1">
      <alignment horizontal="center"/>
      <protection locked="0"/>
    </xf>
    <xf numFmtId="0" fontId="9" fillId="46" borderId="142" xfId="0" applyFont="1" applyFill="1" applyBorder="1" applyAlignment="1" applyProtection="1">
      <alignment horizontal="center"/>
      <protection locked="0"/>
    </xf>
    <xf numFmtId="0" fontId="60" fillId="46" borderId="143" xfId="0" applyFont="1" applyFill="1" applyBorder="1" applyAlignment="1" applyProtection="1">
      <alignment horizontal="center"/>
      <protection locked="0"/>
    </xf>
    <xf numFmtId="0" fontId="61" fillId="60" borderId="441" xfId="0" applyFont="1" applyFill="1" applyBorder="1" applyAlignment="1" applyProtection="1">
      <alignment horizontal="center"/>
      <protection locked="0"/>
    </xf>
    <xf numFmtId="0" fontId="61" fillId="60" borderId="142" xfId="0" applyFont="1" applyFill="1" applyBorder="1" applyAlignment="1" applyProtection="1">
      <alignment horizontal="center"/>
      <protection locked="0"/>
    </xf>
    <xf numFmtId="0" fontId="9" fillId="60" borderId="142" xfId="0" applyFont="1" applyFill="1" applyBorder="1" applyAlignment="1" applyProtection="1">
      <alignment horizontal="center"/>
      <protection locked="0"/>
    </xf>
    <xf numFmtId="0" fontId="61" fillId="60" borderId="143" xfId="0" applyFont="1" applyFill="1" applyBorder="1" applyAlignment="1" applyProtection="1">
      <alignment horizontal="center"/>
      <protection locked="0"/>
    </xf>
    <xf numFmtId="0" fontId="62" fillId="56" borderId="441" xfId="0" applyFont="1" applyFill="1" applyBorder="1" applyAlignment="1" applyProtection="1">
      <alignment horizontal="center"/>
      <protection locked="0"/>
    </xf>
    <xf numFmtId="0" fontId="62" fillId="56" borderId="142" xfId="0" applyFont="1" applyFill="1" applyBorder="1" applyAlignment="1" applyProtection="1">
      <alignment horizontal="center"/>
      <protection locked="0"/>
    </xf>
    <xf numFmtId="0" fontId="9" fillId="56" borderId="142" xfId="0" applyFont="1" applyFill="1" applyBorder="1" applyAlignment="1" applyProtection="1">
      <alignment horizontal="center"/>
      <protection locked="0"/>
    </xf>
    <xf numFmtId="0" fontId="62" fillId="56" borderId="143" xfId="0" applyFont="1" applyFill="1" applyBorder="1" applyAlignment="1" applyProtection="1">
      <alignment horizontal="center"/>
      <protection locked="0"/>
    </xf>
    <xf numFmtId="0" fontId="52" fillId="43" borderId="348" xfId="0" applyFont="1" applyFill="1" applyBorder="1" applyAlignment="1">
      <alignment horizontal="center"/>
    </xf>
    <xf numFmtId="0" fontId="9" fillId="43" borderId="348" xfId="0" applyFont="1" applyFill="1" applyBorder="1" applyAlignment="1">
      <alignment horizontal="center"/>
    </xf>
    <xf numFmtId="0" fontId="50" fillId="43" borderId="348" xfId="0" applyFont="1" applyFill="1" applyBorder="1" applyAlignment="1">
      <alignment horizontal="center"/>
    </xf>
    <xf numFmtId="0" fontId="80" fillId="43" borderId="348" xfId="0" applyFont="1" applyFill="1" applyBorder="1" applyAlignment="1">
      <alignment horizontal="center"/>
    </xf>
    <xf numFmtId="0" fontId="83" fillId="43" borderId="348" xfId="0" applyFont="1" applyFill="1" applyBorder="1" applyAlignment="1">
      <alignment horizontal="center"/>
    </xf>
    <xf numFmtId="0" fontId="58" fillId="43" borderId="348" xfId="0" applyFont="1" applyFill="1" applyBorder="1" applyAlignment="1">
      <alignment horizontal="center"/>
    </xf>
    <xf numFmtId="0" fontId="82" fillId="43" borderId="348" xfId="0" applyFont="1" applyFill="1" applyBorder="1" applyAlignment="1">
      <alignment horizontal="center"/>
    </xf>
    <xf numFmtId="0" fontId="81" fillId="43" borderId="348" xfId="0" applyFont="1" applyFill="1" applyBorder="1" applyAlignment="1">
      <alignment horizontal="center"/>
    </xf>
    <xf numFmtId="0" fontId="56" fillId="43" borderId="348" xfId="0" applyFont="1" applyFill="1" applyBorder="1" applyAlignment="1">
      <alignment horizontal="center"/>
    </xf>
    <xf numFmtId="0" fontId="57" fillId="43" borderId="348" xfId="0" applyFont="1" applyFill="1" applyBorder="1" applyAlignment="1">
      <alignment horizontal="center"/>
    </xf>
    <xf numFmtId="0" fontId="59" fillId="43" borderId="348" xfId="0" applyFont="1" applyFill="1" applyBorder="1" applyAlignment="1">
      <alignment horizontal="center"/>
    </xf>
    <xf numFmtId="0" fontId="60" fillId="43" borderId="348" xfId="0" applyFont="1" applyFill="1" applyBorder="1" applyAlignment="1">
      <alignment horizontal="center"/>
    </xf>
    <xf numFmtId="0" fontId="61" fillId="43" borderId="348" xfId="0" applyFont="1" applyFill="1" applyBorder="1" applyAlignment="1">
      <alignment horizontal="center"/>
    </xf>
    <xf numFmtId="0" fontId="62" fillId="43" borderId="348" xfId="0" applyFont="1" applyFill="1" applyBorder="1" applyAlignment="1">
      <alignment horizontal="center"/>
    </xf>
    <xf numFmtId="0" fontId="5" fillId="48" borderId="442" xfId="49" applyFill="1" applyBorder="1" applyAlignment="1" applyProtection="1">
      <alignment horizontal="center" vertical="center"/>
      <protection locked="0"/>
    </xf>
    <xf numFmtId="0" fontId="5" fillId="48" borderId="442" xfId="49" applyFill="1" applyBorder="1" applyAlignment="1" applyProtection="1">
      <alignment horizontal="center"/>
      <protection locked="0"/>
    </xf>
    <xf numFmtId="0" fontId="5" fillId="55" borderId="442" xfId="49" applyFill="1" applyBorder="1" applyAlignment="1" applyProtection="1">
      <alignment horizontal="center" vertical="center"/>
      <protection locked="0"/>
    </xf>
    <xf numFmtId="0" fontId="5" fillId="55" borderId="442" xfId="49" applyFill="1" applyBorder="1" applyAlignment="1" applyProtection="1">
      <alignment horizontal="center"/>
      <protection locked="0"/>
    </xf>
    <xf numFmtId="0" fontId="5" fillId="58" borderId="442" xfId="49" applyFill="1" applyBorder="1" applyAlignment="1" applyProtection="1">
      <alignment horizontal="center" vertical="center"/>
      <protection locked="0"/>
    </xf>
    <xf numFmtId="0" fontId="5" fillId="58" borderId="442" xfId="49" applyFill="1" applyBorder="1" applyAlignment="1" applyProtection="1">
      <alignment horizontal="center"/>
      <protection locked="0"/>
    </xf>
    <xf numFmtId="0" fontId="58" fillId="45" borderId="442" xfId="49" applyFont="1" applyFill="1" applyBorder="1" applyAlignment="1" applyProtection="1">
      <alignment horizontal="center" vertical="center"/>
      <protection locked="0"/>
    </xf>
    <xf numFmtId="0" fontId="58" fillId="45" borderId="442" xfId="49" applyFont="1" applyFill="1" applyBorder="1" applyAlignment="1" applyProtection="1">
      <alignment horizontal="center"/>
      <protection locked="0"/>
    </xf>
    <xf numFmtId="0" fontId="58" fillId="76" borderId="442" xfId="49" applyFont="1" applyFill="1" applyBorder="1" applyAlignment="1" applyProtection="1">
      <alignment horizontal="center" vertical="center"/>
      <protection locked="0"/>
    </xf>
    <xf numFmtId="0" fontId="58" fillId="76" borderId="442" xfId="49" applyFont="1" applyFill="1" applyBorder="1" applyAlignment="1" applyProtection="1">
      <alignment horizontal="center"/>
      <protection locked="0"/>
    </xf>
    <xf numFmtId="0" fontId="58" fillId="77" borderId="442" xfId="49" applyFont="1" applyFill="1" applyBorder="1" applyAlignment="1" applyProtection="1">
      <alignment horizontal="center" vertical="center"/>
      <protection locked="0"/>
    </xf>
    <xf numFmtId="0" fontId="58" fillId="77" borderId="442" xfId="49" applyFont="1" applyFill="1" applyBorder="1" applyAlignment="1" applyProtection="1">
      <alignment horizontal="center"/>
      <protection locked="0"/>
    </xf>
    <xf numFmtId="0" fontId="5" fillId="54" borderId="442" xfId="49" applyFill="1" applyBorder="1" applyAlignment="1" applyProtection="1">
      <alignment horizontal="center" vertical="center"/>
      <protection locked="0"/>
    </xf>
    <xf numFmtId="0" fontId="5" fillId="54" borderId="442" xfId="49" applyFill="1" applyBorder="1" applyAlignment="1" applyProtection="1">
      <alignment horizontal="center"/>
      <protection locked="0"/>
    </xf>
    <xf numFmtId="0" fontId="5" fillId="61" borderId="442" xfId="49" applyFill="1" applyBorder="1" applyAlignment="1" applyProtection="1">
      <alignment horizontal="center" vertical="center"/>
      <protection locked="0"/>
    </xf>
    <xf numFmtId="0" fontId="5" fillId="61" borderId="442" xfId="49" applyFill="1" applyBorder="1" applyAlignment="1" applyProtection="1">
      <alignment horizontal="center"/>
      <protection locked="0"/>
    </xf>
    <xf numFmtId="0" fontId="5" fillId="64" borderId="442" xfId="49" applyFill="1" applyBorder="1" applyAlignment="1" applyProtection="1">
      <alignment horizontal="center" vertical="center"/>
      <protection locked="0"/>
    </xf>
    <xf numFmtId="0" fontId="5" fillId="64" borderId="442" xfId="49" applyFill="1" applyBorder="1" applyAlignment="1" applyProtection="1">
      <alignment horizontal="center"/>
      <protection locked="0"/>
    </xf>
    <xf numFmtId="0" fontId="5" fillId="46" borderId="442" xfId="49" applyFill="1" applyBorder="1" applyAlignment="1" applyProtection="1">
      <alignment horizontal="center" vertical="center"/>
      <protection locked="0"/>
    </xf>
    <xf numFmtId="0" fontId="5" fillId="46" borderId="442" xfId="49" applyFill="1" applyBorder="1" applyAlignment="1" applyProtection="1">
      <alignment horizontal="center"/>
      <protection locked="0"/>
    </xf>
    <xf numFmtId="0" fontId="5" fillId="60" borderId="442" xfId="49" applyFill="1" applyBorder="1" applyAlignment="1" applyProtection="1">
      <alignment horizontal="center" vertical="center"/>
      <protection locked="0"/>
    </xf>
    <xf numFmtId="0" fontId="5" fillId="60" borderId="442" xfId="49" applyFill="1" applyBorder="1" applyAlignment="1" applyProtection="1">
      <alignment horizontal="center"/>
      <protection locked="0"/>
    </xf>
    <xf numFmtId="0" fontId="5" fillId="56" borderId="442" xfId="49" applyFill="1" applyBorder="1" applyAlignment="1" applyProtection="1">
      <alignment horizontal="center" vertical="center"/>
      <protection locked="0"/>
    </xf>
    <xf numFmtId="0" fontId="5" fillId="56" borderId="442" xfId="49" applyFill="1" applyBorder="1" applyAlignment="1" applyProtection="1">
      <alignment horizontal="center"/>
      <protection locked="0"/>
    </xf>
    <xf numFmtId="0" fontId="5" fillId="50" borderId="18" xfId="49" applyFill="1" applyBorder="1"/>
    <xf numFmtId="0" fontId="80" fillId="58" borderId="355" xfId="48" applyFont="1" applyFill="1" applyBorder="1" applyAlignment="1" applyProtection="1">
      <alignment horizontal="center"/>
      <protection locked="0"/>
    </xf>
    <xf numFmtId="0" fontId="56" fillId="54" borderId="355" xfId="48" applyFont="1" applyFill="1" applyBorder="1" applyAlignment="1" applyProtection="1">
      <alignment horizontal="center"/>
      <protection locked="0"/>
    </xf>
    <xf numFmtId="0" fontId="57" fillId="61" borderId="355" xfId="48" applyFont="1" applyFill="1" applyBorder="1" applyAlignment="1" applyProtection="1">
      <alignment horizontal="center"/>
      <protection locked="0"/>
    </xf>
    <xf numFmtId="0" fontId="59" fillId="64" borderId="355" xfId="48" applyFont="1" applyFill="1" applyBorder="1" applyAlignment="1" applyProtection="1">
      <alignment horizontal="center"/>
      <protection locked="0"/>
    </xf>
    <xf numFmtId="0" fontId="60" fillId="46" borderId="355" xfId="48" applyFont="1" applyFill="1" applyBorder="1" applyAlignment="1" applyProtection="1">
      <alignment horizontal="center"/>
      <protection locked="0"/>
    </xf>
    <xf numFmtId="0" fontId="61" fillId="60" borderId="355" xfId="48" applyFont="1" applyFill="1" applyBorder="1" applyAlignment="1" applyProtection="1">
      <alignment horizontal="center"/>
      <protection locked="0"/>
    </xf>
    <xf numFmtId="0" fontId="62" fillId="56" borderId="355" xfId="48" applyFont="1" applyFill="1" applyBorder="1" applyAlignment="1" applyProtection="1">
      <alignment horizontal="center"/>
      <protection locked="0"/>
    </xf>
    <xf numFmtId="0" fontId="7" fillId="49" borderId="352" xfId="49" applyFont="1" applyFill="1" applyBorder="1" applyAlignment="1">
      <alignment horizontal="center" vertical="center" wrapText="1"/>
    </xf>
    <xf numFmtId="0" fontId="52" fillId="48" borderId="352" xfId="0" applyFont="1" applyFill="1" applyBorder="1" applyAlignment="1">
      <alignment horizontal="center"/>
    </xf>
    <xf numFmtId="0" fontId="52" fillId="48" borderId="0" xfId="0" applyFont="1" applyFill="1" applyAlignment="1">
      <alignment horizontal="center"/>
    </xf>
    <xf numFmtId="0" fontId="9" fillId="48" borderId="0" xfId="0" applyFont="1" applyFill="1" applyAlignment="1">
      <alignment horizontal="center"/>
    </xf>
    <xf numFmtId="0" fontId="52" fillId="48" borderId="17" xfId="0" applyFont="1" applyFill="1" applyBorder="1" applyAlignment="1">
      <alignment horizontal="center"/>
    </xf>
    <xf numFmtId="0" fontId="50" fillId="55" borderId="352" xfId="0" applyFont="1" applyFill="1" applyBorder="1" applyAlignment="1">
      <alignment horizontal="center"/>
    </xf>
    <xf numFmtId="0" fontId="50" fillId="55" borderId="0" xfId="0" applyFont="1" applyFill="1" applyAlignment="1">
      <alignment horizontal="center"/>
    </xf>
    <xf numFmtId="0" fontId="9" fillId="55" borderId="0" xfId="0" applyFont="1" applyFill="1" applyAlignment="1">
      <alignment horizontal="center"/>
    </xf>
    <xf numFmtId="0" fontId="50" fillId="55" borderId="17" xfId="0" applyFont="1" applyFill="1" applyBorder="1" applyAlignment="1">
      <alignment horizontal="center"/>
    </xf>
    <xf numFmtId="0" fontId="80" fillId="58" borderId="352" xfId="0" applyFont="1" applyFill="1" applyBorder="1" applyAlignment="1">
      <alignment horizontal="center"/>
    </xf>
    <xf numFmtId="0" fontId="80" fillId="58" borderId="0" xfId="0" applyFont="1" applyFill="1" applyAlignment="1">
      <alignment horizontal="center"/>
    </xf>
    <xf numFmtId="0" fontId="9" fillId="58" borderId="0" xfId="0" applyFont="1" applyFill="1" applyAlignment="1">
      <alignment horizontal="center"/>
    </xf>
    <xf numFmtId="0" fontId="80" fillId="58" borderId="17" xfId="0" applyFont="1" applyFill="1" applyBorder="1" applyAlignment="1">
      <alignment horizontal="center"/>
    </xf>
    <xf numFmtId="0" fontId="83" fillId="45" borderId="352" xfId="0" applyFont="1" applyFill="1" applyBorder="1" applyAlignment="1">
      <alignment horizontal="center"/>
    </xf>
    <xf numFmtId="0" fontId="83" fillId="45" borderId="0" xfId="0" applyFont="1" applyFill="1" applyAlignment="1">
      <alignment horizontal="center"/>
    </xf>
    <xf numFmtId="0" fontId="58" fillId="45" borderId="0" xfId="0" applyFont="1" applyFill="1" applyAlignment="1">
      <alignment horizontal="center"/>
    </xf>
    <xf numFmtId="0" fontId="83" fillId="45" borderId="17" xfId="0" applyFont="1" applyFill="1" applyBorder="1" applyAlignment="1">
      <alignment horizontal="center"/>
    </xf>
    <xf numFmtId="0" fontId="82" fillId="76" borderId="352" xfId="0" applyFont="1" applyFill="1" applyBorder="1" applyAlignment="1">
      <alignment horizontal="center"/>
    </xf>
    <xf numFmtId="0" fontId="82" fillId="76" borderId="0" xfId="0" applyFont="1" applyFill="1" applyAlignment="1">
      <alignment horizontal="center"/>
    </xf>
    <xf numFmtId="0" fontId="58" fillId="76" borderId="0" xfId="0" applyFont="1" applyFill="1" applyAlignment="1">
      <alignment horizontal="center"/>
    </xf>
    <xf numFmtId="0" fontId="82" fillId="76" borderId="17" xfId="0" applyFont="1" applyFill="1" applyBorder="1" applyAlignment="1">
      <alignment horizontal="center"/>
    </xf>
    <xf numFmtId="0" fontId="81" fillId="77" borderId="352" xfId="0" applyFont="1" applyFill="1" applyBorder="1" applyAlignment="1">
      <alignment horizontal="center"/>
    </xf>
    <xf numFmtId="0" fontId="81" fillId="77" borderId="0" xfId="0" applyFont="1" applyFill="1" applyAlignment="1">
      <alignment horizontal="center"/>
    </xf>
    <xf numFmtId="0" fontId="58" fillId="77" borderId="0" xfId="0" applyFont="1" applyFill="1" applyAlignment="1">
      <alignment horizontal="center"/>
    </xf>
    <xf numFmtId="0" fontId="81" fillId="77" borderId="17" xfId="0" applyFont="1" applyFill="1" applyBorder="1" applyAlignment="1">
      <alignment horizontal="center"/>
    </xf>
    <xf numFmtId="0" fontId="56" fillId="54" borderId="352" xfId="0" applyFont="1" applyFill="1" applyBorder="1" applyAlignment="1">
      <alignment horizontal="center"/>
    </xf>
    <xf numFmtId="0" fontId="56" fillId="54" borderId="0" xfId="0" applyFont="1" applyFill="1" applyAlignment="1">
      <alignment horizontal="center"/>
    </xf>
    <xf numFmtId="0" fontId="9" fillId="54" borderId="0" xfId="0" applyFont="1" applyFill="1" applyAlignment="1">
      <alignment horizontal="center"/>
    </xf>
    <xf numFmtId="0" fontId="56" fillId="54" borderId="17" xfId="0" applyFont="1" applyFill="1" applyBorder="1" applyAlignment="1">
      <alignment horizontal="center"/>
    </xf>
    <xf numFmtId="0" fontId="57" fillId="61" borderId="352" xfId="0" applyFont="1" applyFill="1" applyBorder="1" applyAlignment="1">
      <alignment horizontal="center"/>
    </xf>
    <xf numFmtId="0" fontId="57" fillId="61" borderId="0" xfId="0" applyFont="1" applyFill="1" applyAlignment="1">
      <alignment horizontal="center"/>
    </xf>
    <xf numFmtId="0" fontId="9" fillId="61" borderId="0" xfId="0" applyFont="1" applyFill="1" applyAlignment="1">
      <alignment horizontal="center"/>
    </xf>
    <xf numFmtId="0" fontId="57" fillId="61" borderId="17" xfId="0" applyFont="1" applyFill="1" applyBorder="1" applyAlignment="1">
      <alignment horizontal="center"/>
    </xf>
    <xf numFmtId="0" fontId="59" fillId="64" borderId="352" xfId="0" applyFont="1" applyFill="1" applyBorder="1" applyAlignment="1">
      <alignment horizontal="center"/>
    </xf>
    <xf numFmtId="0" fontId="59" fillId="64" borderId="0" xfId="0" applyFont="1" applyFill="1" applyAlignment="1">
      <alignment horizontal="center"/>
    </xf>
    <xf numFmtId="0" fontId="9" fillId="64" borderId="0" xfId="0" applyFont="1" applyFill="1" applyAlignment="1">
      <alignment horizontal="center"/>
    </xf>
    <xf numFmtId="0" fontId="59" fillId="64" borderId="17" xfId="0" applyFont="1" applyFill="1" applyBorder="1" applyAlignment="1">
      <alignment horizontal="center"/>
    </xf>
    <xf numFmtId="0" fontId="60" fillId="46" borderId="352" xfId="0" applyFont="1" applyFill="1" applyBorder="1" applyAlignment="1">
      <alignment horizontal="center"/>
    </xf>
    <xf numFmtId="0" fontId="60" fillId="46" borderId="0" xfId="0" applyFont="1" applyFill="1" applyAlignment="1">
      <alignment horizontal="center"/>
    </xf>
    <xf numFmtId="0" fontId="9" fillId="46" borderId="0" xfId="0" applyFont="1" applyFill="1" applyAlignment="1">
      <alignment horizontal="center"/>
    </xf>
    <xf numFmtId="0" fontId="60" fillId="46" borderId="17" xfId="0" applyFont="1" applyFill="1" applyBorder="1" applyAlignment="1">
      <alignment horizontal="center"/>
    </xf>
    <xf numFmtId="0" fontId="61" fillId="60" borderId="352" xfId="0" applyFont="1" applyFill="1" applyBorder="1" applyAlignment="1">
      <alignment horizontal="center"/>
    </xf>
    <xf numFmtId="0" fontId="61" fillId="60" borderId="0" xfId="0" applyFont="1" applyFill="1" applyAlignment="1">
      <alignment horizontal="center"/>
    </xf>
    <xf numFmtId="0" fontId="9" fillId="60" borderId="0" xfId="0" applyFont="1" applyFill="1" applyAlignment="1">
      <alignment horizontal="center"/>
    </xf>
    <xf numFmtId="0" fontId="61" fillId="60" borderId="17" xfId="0" applyFont="1" applyFill="1" applyBorder="1" applyAlignment="1">
      <alignment horizontal="center"/>
    </xf>
    <xf numFmtId="0" fontId="62" fillId="56" borderId="352" xfId="0" applyFont="1" applyFill="1" applyBorder="1" applyAlignment="1">
      <alignment horizontal="center"/>
    </xf>
    <xf numFmtId="0" fontId="62" fillId="56" borderId="0" xfId="0" applyFont="1" applyFill="1" applyAlignment="1">
      <alignment horizontal="center"/>
    </xf>
    <xf numFmtId="0" fontId="9" fillId="56" borderId="0" xfId="0" applyFont="1" applyFill="1" applyAlignment="1">
      <alignment horizontal="center"/>
    </xf>
    <xf numFmtId="0" fontId="62" fillId="56" borderId="17" xfId="0" applyFont="1" applyFill="1" applyBorder="1" applyAlignment="1">
      <alignment horizontal="center"/>
    </xf>
    <xf numFmtId="0" fontId="5" fillId="54" borderId="348" xfId="49" applyFill="1" applyBorder="1"/>
    <xf numFmtId="49" fontId="7" fillId="49" borderId="350" xfId="49" applyNumberFormat="1" applyFont="1" applyFill="1" applyBorder="1" applyAlignment="1">
      <alignment horizontal="center" vertical="center" wrapText="1"/>
    </xf>
    <xf numFmtId="0" fontId="52" fillId="48" borderId="350" xfId="48" applyFont="1" applyFill="1" applyBorder="1" applyAlignment="1" applyProtection="1">
      <alignment horizontal="center"/>
      <protection locked="0"/>
    </xf>
    <xf numFmtId="0" fontId="58" fillId="48" borderId="18" xfId="48" applyFont="1" applyFill="1" applyBorder="1" applyAlignment="1" applyProtection="1">
      <alignment horizontal="center"/>
      <protection locked="0"/>
    </xf>
    <xf numFmtId="0" fontId="50" fillId="55" borderId="350" xfId="48" applyFont="1" applyFill="1" applyBorder="1" applyAlignment="1" applyProtection="1">
      <alignment horizontal="center"/>
      <protection locked="0"/>
    </xf>
    <xf numFmtId="0" fontId="50" fillId="55" borderId="18" xfId="48" applyFont="1" applyFill="1" applyBorder="1" applyAlignment="1" applyProtection="1">
      <alignment horizontal="center"/>
      <protection locked="0"/>
    </xf>
    <xf numFmtId="0" fontId="58" fillId="55" borderId="18" xfId="48" applyFont="1" applyFill="1" applyBorder="1" applyAlignment="1" applyProtection="1">
      <alignment horizontal="center"/>
      <protection locked="0"/>
    </xf>
    <xf numFmtId="0" fontId="80" fillId="58" borderId="350" xfId="48" applyFont="1" applyFill="1" applyBorder="1" applyAlignment="1" applyProtection="1">
      <alignment horizontal="center"/>
      <protection locked="0"/>
    </xf>
    <xf numFmtId="0" fontId="80" fillId="58" borderId="18" xfId="48" applyFont="1" applyFill="1" applyBorder="1" applyAlignment="1" applyProtection="1">
      <alignment horizontal="center"/>
      <protection locked="0"/>
    </xf>
    <xf numFmtId="0" fontId="58" fillId="58" borderId="18" xfId="48" applyFont="1" applyFill="1" applyBorder="1" applyAlignment="1" applyProtection="1">
      <alignment horizontal="center"/>
      <protection locked="0"/>
    </xf>
    <xf numFmtId="0" fontId="83" fillId="45" borderId="350" xfId="48" applyFont="1" applyFill="1" applyBorder="1" applyAlignment="1" applyProtection="1">
      <alignment horizontal="center"/>
      <protection locked="0"/>
    </xf>
    <xf numFmtId="0" fontId="83" fillId="45" borderId="18" xfId="48" applyFont="1" applyFill="1" applyBorder="1" applyAlignment="1" applyProtection="1">
      <alignment horizontal="center"/>
      <protection locked="0"/>
    </xf>
    <xf numFmtId="0" fontId="58" fillId="45" borderId="18" xfId="48" applyFont="1" applyFill="1" applyBorder="1" applyAlignment="1" applyProtection="1">
      <alignment horizontal="center"/>
      <protection locked="0"/>
    </xf>
    <xf numFmtId="0" fontId="82" fillId="76" borderId="350" xfId="48" applyFont="1" applyFill="1" applyBorder="1" applyAlignment="1" applyProtection="1">
      <alignment horizontal="center"/>
      <protection locked="0"/>
    </xf>
    <xf numFmtId="0" fontId="82" fillId="76" borderId="18" xfId="48" applyFont="1" applyFill="1" applyBorder="1" applyAlignment="1" applyProtection="1">
      <alignment horizontal="center"/>
      <protection locked="0"/>
    </xf>
    <xf numFmtId="0" fontId="58" fillId="76" borderId="18" xfId="48" applyFont="1" applyFill="1" applyBorder="1" applyAlignment="1" applyProtection="1">
      <alignment horizontal="center"/>
      <protection locked="0"/>
    </xf>
    <xf numFmtId="0" fontId="81" fillId="77" borderId="350" xfId="48" applyFont="1" applyFill="1" applyBorder="1" applyAlignment="1" applyProtection="1">
      <alignment horizontal="center"/>
      <protection locked="0"/>
    </xf>
    <xf numFmtId="0" fontId="81" fillId="77" borderId="18" xfId="48" applyFont="1" applyFill="1" applyBorder="1" applyAlignment="1" applyProtection="1">
      <alignment horizontal="center"/>
      <protection locked="0"/>
    </xf>
    <xf numFmtId="0" fontId="58" fillId="77" borderId="18" xfId="48" applyFont="1" applyFill="1" applyBorder="1" applyAlignment="1" applyProtection="1">
      <alignment horizontal="center"/>
      <protection locked="0"/>
    </xf>
    <xf numFmtId="0" fontId="56" fillId="54" borderId="350" xfId="48" applyFont="1" applyFill="1" applyBorder="1" applyAlignment="1" applyProtection="1">
      <alignment horizontal="center"/>
      <protection locked="0"/>
    </xf>
    <xf numFmtId="0" fontId="56" fillId="54" borderId="18" xfId="48" applyFont="1" applyFill="1" applyBorder="1" applyAlignment="1" applyProtection="1">
      <alignment horizontal="center"/>
      <protection locked="0"/>
    </xf>
    <xf numFmtId="0" fontId="58" fillId="54" borderId="18" xfId="48" applyFont="1" applyFill="1" applyBorder="1" applyAlignment="1" applyProtection="1">
      <alignment horizontal="center"/>
      <protection locked="0"/>
    </xf>
    <xf numFmtId="0" fontId="57" fillId="61" borderId="350" xfId="48" applyFont="1" applyFill="1" applyBorder="1" applyAlignment="1" applyProtection="1">
      <alignment horizontal="center"/>
      <protection locked="0"/>
    </xf>
    <xf numFmtId="0" fontId="57" fillId="61" borderId="18" xfId="48" applyFont="1" applyFill="1" applyBorder="1" applyAlignment="1" applyProtection="1">
      <alignment horizontal="center"/>
      <protection locked="0"/>
    </xf>
    <xf numFmtId="0" fontId="58" fillId="61" borderId="18" xfId="48" applyFont="1" applyFill="1" applyBorder="1" applyAlignment="1" applyProtection="1">
      <alignment horizontal="center"/>
      <protection locked="0"/>
    </xf>
    <xf numFmtId="0" fontId="59" fillId="64" borderId="350" xfId="48" applyFont="1" applyFill="1" applyBorder="1" applyAlignment="1" applyProtection="1">
      <alignment horizontal="center"/>
      <protection locked="0"/>
    </xf>
    <xf numFmtId="0" fontId="59" fillId="64" borderId="18" xfId="48" applyFont="1" applyFill="1" applyBorder="1" applyAlignment="1" applyProtection="1">
      <alignment horizontal="center"/>
      <protection locked="0"/>
    </xf>
    <xf numFmtId="0" fontId="58" fillId="64" borderId="18" xfId="48" applyFont="1" applyFill="1" applyBorder="1" applyAlignment="1" applyProtection="1">
      <alignment horizontal="center"/>
      <protection locked="0"/>
    </xf>
    <xf numFmtId="0" fontId="60" fillId="46" borderId="350" xfId="48" applyFont="1" applyFill="1" applyBorder="1" applyAlignment="1" applyProtection="1">
      <alignment horizontal="center"/>
      <protection locked="0"/>
    </xf>
    <xf numFmtId="0" fontId="60" fillId="46" borderId="18" xfId="48" applyFont="1" applyFill="1" applyBorder="1" applyAlignment="1" applyProtection="1">
      <alignment horizontal="center"/>
      <protection locked="0"/>
    </xf>
    <xf numFmtId="0" fontId="58" fillId="46" borderId="18" xfId="48" applyFont="1" applyFill="1" applyBorder="1" applyAlignment="1" applyProtection="1">
      <alignment horizontal="center"/>
      <protection locked="0"/>
    </xf>
    <xf numFmtId="0" fontId="61" fillId="60" borderId="350" xfId="48" applyFont="1" applyFill="1" applyBorder="1" applyAlignment="1" applyProtection="1">
      <alignment horizontal="center"/>
      <protection locked="0"/>
    </xf>
    <xf numFmtId="0" fontId="61" fillId="60" borderId="18" xfId="48" applyFont="1" applyFill="1" applyBorder="1" applyAlignment="1" applyProtection="1">
      <alignment horizontal="center"/>
      <protection locked="0"/>
    </xf>
    <xf numFmtId="0" fontId="58" fillId="60" borderId="18" xfId="48" applyFont="1" applyFill="1" applyBorder="1" applyAlignment="1" applyProtection="1">
      <alignment horizontal="center"/>
      <protection locked="0"/>
    </xf>
    <xf numFmtId="0" fontId="62" fillId="56" borderId="350" xfId="48" applyFont="1" applyFill="1" applyBorder="1" applyAlignment="1" applyProtection="1">
      <alignment horizontal="center"/>
      <protection locked="0"/>
    </xf>
    <xf numFmtId="0" fontId="62" fillId="56" borderId="18" xfId="48" applyFont="1" applyFill="1" applyBorder="1" applyAlignment="1" applyProtection="1">
      <alignment horizontal="center"/>
      <protection locked="0"/>
    </xf>
    <xf numFmtId="0" fontId="58" fillId="56" borderId="18" xfId="48" applyFont="1" applyFill="1" applyBorder="1" applyAlignment="1" applyProtection="1">
      <alignment horizontal="center"/>
      <protection locked="0"/>
    </xf>
    <xf numFmtId="0" fontId="52" fillId="44" borderId="348" xfId="48" applyFont="1" applyFill="1" applyBorder="1" applyAlignment="1" applyProtection="1">
      <alignment horizontal="center"/>
      <protection locked="0"/>
    </xf>
    <xf numFmtId="0" fontId="58" fillId="44" borderId="348" xfId="48" applyFont="1" applyFill="1" applyBorder="1" applyAlignment="1" applyProtection="1">
      <alignment horizontal="center"/>
      <protection locked="0"/>
    </xf>
    <xf numFmtId="0" fontId="50" fillId="44" borderId="348" xfId="48" applyFont="1" applyFill="1" applyBorder="1" applyAlignment="1" applyProtection="1">
      <alignment horizontal="center"/>
      <protection locked="0"/>
    </xf>
    <xf numFmtId="0" fontId="80" fillId="44" borderId="348" xfId="48" applyFont="1" applyFill="1" applyBorder="1" applyAlignment="1" applyProtection="1">
      <alignment horizontal="center"/>
      <protection locked="0"/>
    </xf>
    <xf numFmtId="0" fontId="83" fillId="44" borderId="348" xfId="48" applyFont="1" applyFill="1" applyBorder="1" applyAlignment="1" applyProtection="1">
      <alignment horizontal="center"/>
      <protection locked="0"/>
    </xf>
    <xf numFmtId="0" fontId="82" fillId="44" borderId="348" xfId="48" applyFont="1" applyFill="1" applyBorder="1" applyAlignment="1" applyProtection="1">
      <alignment horizontal="center"/>
      <protection locked="0"/>
    </xf>
    <xf numFmtId="0" fontId="81" fillId="44" borderId="348" xfId="48" applyFont="1" applyFill="1" applyBorder="1" applyAlignment="1" applyProtection="1">
      <alignment horizontal="center"/>
      <protection locked="0"/>
    </xf>
    <xf numFmtId="0" fontId="56" fillId="44" borderId="348" xfId="48" applyFont="1" applyFill="1" applyBorder="1" applyAlignment="1" applyProtection="1">
      <alignment horizontal="center"/>
      <protection locked="0"/>
    </xf>
    <xf numFmtId="0" fontId="57" fillId="44" borderId="348" xfId="48" applyFont="1" applyFill="1" applyBorder="1" applyAlignment="1" applyProtection="1">
      <alignment horizontal="center"/>
      <protection locked="0"/>
    </xf>
    <xf numFmtId="0" fontId="59" fillId="44" borderId="348" xfId="48" applyFont="1" applyFill="1" applyBorder="1" applyAlignment="1" applyProtection="1">
      <alignment horizontal="center"/>
      <protection locked="0"/>
    </xf>
    <xf numFmtId="0" fontId="60" fillId="44" borderId="348" xfId="48" applyFont="1" applyFill="1" applyBorder="1" applyAlignment="1" applyProtection="1">
      <alignment horizontal="center"/>
      <protection locked="0"/>
    </xf>
    <xf numFmtId="0" fontId="61" fillId="44" borderId="348" xfId="48" applyFont="1" applyFill="1" applyBorder="1" applyAlignment="1" applyProtection="1">
      <alignment horizontal="center"/>
      <protection locked="0"/>
    </xf>
    <xf numFmtId="0" fontId="62" fillId="44" borderId="348" xfId="48" applyFont="1" applyFill="1" applyBorder="1" applyAlignment="1" applyProtection="1">
      <alignment horizontal="center"/>
      <protection locked="0"/>
    </xf>
    <xf numFmtId="0" fontId="52" fillId="48" borderId="154" xfId="0" applyFont="1" applyFill="1" applyBorder="1" applyAlignment="1" applyProtection="1">
      <alignment horizontal="center"/>
      <protection locked="0"/>
    </xf>
    <xf numFmtId="0" fontId="52" fillId="48" borderId="209" xfId="0" applyFont="1" applyFill="1" applyBorder="1" applyAlignment="1" applyProtection="1">
      <alignment horizontal="center"/>
      <protection locked="0"/>
    </xf>
    <xf numFmtId="0" fontId="9" fillId="48" borderId="209" xfId="0" applyFont="1" applyFill="1" applyBorder="1" applyAlignment="1" applyProtection="1">
      <alignment horizontal="center"/>
      <protection locked="0"/>
    </xf>
    <xf numFmtId="0" fontId="52" fillId="48" borderId="153" xfId="0" applyFont="1" applyFill="1" applyBorder="1" applyAlignment="1" applyProtection="1">
      <alignment horizontal="center"/>
      <protection locked="0"/>
    </xf>
    <xf numFmtId="0" fontId="50" fillId="55" borderId="154" xfId="0" applyFont="1" applyFill="1" applyBorder="1" applyAlignment="1" applyProtection="1">
      <alignment horizontal="center"/>
      <protection locked="0"/>
    </xf>
    <xf numFmtId="0" fontId="50" fillId="55" borderId="209" xfId="0" applyFont="1" applyFill="1" applyBorder="1" applyAlignment="1" applyProtection="1">
      <alignment horizontal="center"/>
      <protection locked="0"/>
    </xf>
    <xf numFmtId="0" fontId="9" fillId="55" borderId="209" xfId="0" applyFont="1" applyFill="1" applyBorder="1" applyAlignment="1" applyProtection="1">
      <alignment horizontal="center"/>
      <protection locked="0"/>
    </xf>
    <xf numFmtId="0" fontId="50" fillId="55" borderId="153" xfId="0" applyFont="1" applyFill="1" applyBorder="1" applyAlignment="1" applyProtection="1">
      <alignment horizontal="center"/>
      <protection locked="0"/>
    </xf>
    <xf numFmtId="0" fontId="80" fillId="58" borderId="154" xfId="0" applyFont="1" applyFill="1" applyBorder="1" applyAlignment="1" applyProtection="1">
      <alignment horizontal="center"/>
      <protection locked="0"/>
    </xf>
    <xf numFmtId="0" fontId="80" fillId="58" borderId="209" xfId="0" applyFont="1" applyFill="1" applyBorder="1" applyAlignment="1" applyProtection="1">
      <alignment horizontal="center"/>
      <protection locked="0"/>
    </xf>
    <xf numFmtId="0" fontId="9" fillId="58" borderId="209" xfId="0" applyFont="1" applyFill="1" applyBorder="1" applyAlignment="1" applyProtection="1">
      <alignment horizontal="center"/>
      <protection locked="0"/>
    </xf>
    <xf numFmtId="0" fontId="80" fillId="58" borderId="153" xfId="0" applyFont="1" applyFill="1" applyBorder="1" applyAlignment="1" applyProtection="1">
      <alignment horizontal="center"/>
      <protection locked="0"/>
    </xf>
    <xf numFmtId="0" fontId="83" fillId="45" borderId="154" xfId="0" applyFont="1" applyFill="1" applyBorder="1" applyAlignment="1" applyProtection="1">
      <alignment horizontal="center"/>
      <protection locked="0"/>
    </xf>
    <xf numFmtId="0" fontId="83" fillId="45" borderId="209" xfId="0" applyFont="1" applyFill="1" applyBorder="1" applyAlignment="1" applyProtection="1">
      <alignment horizontal="center"/>
      <protection locked="0"/>
    </xf>
    <xf numFmtId="0" fontId="58" fillId="45" borderId="209" xfId="0" applyFont="1" applyFill="1" applyBorder="1" applyAlignment="1" applyProtection="1">
      <alignment horizontal="center"/>
      <protection locked="0"/>
    </xf>
    <xf numFmtId="0" fontId="83" fillId="45" borderId="153" xfId="0" applyFont="1" applyFill="1" applyBorder="1" applyAlignment="1" applyProtection="1">
      <alignment horizontal="center"/>
      <protection locked="0"/>
    </xf>
    <xf numFmtId="0" fontId="82" fillId="76" borderId="154" xfId="0" applyFont="1" applyFill="1" applyBorder="1" applyAlignment="1" applyProtection="1">
      <alignment horizontal="center"/>
      <protection locked="0"/>
    </xf>
    <xf numFmtId="0" fontId="82" fillId="76" borderId="209" xfId="0" applyFont="1" applyFill="1" applyBorder="1" applyAlignment="1" applyProtection="1">
      <alignment horizontal="center"/>
      <protection locked="0"/>
    </xf>
    <xf numFmtId="0" fontId="58" fillId="76" borderId="209" xfId="0" applyFont="1" applyFill="1" applyBorder="1" applyAlignment="1" applyProtection="1">
      <alignment horizontal="center"/>
      <protection locked="0"/>
    </xf>
    <xf numFmtId="0" fontId="82" fillId="76" borderId="153" xfId="0" applyFont="1" applyFill="1" applyBorder="1" applyAlignment="1" applyProtection="1">
      <alignment horizontal="center"/>
      <protection locked="0"/>
    </xf>
    <xf numFmtId="0" fontId="81" fillId="77" borderId="154" xfId="0" applyFont="1" applyFill="1" applyBorder="1" applyAlignment="1" applyProtection="1">
      <alignment horizontal="center"/>
      <protection locked="0"/>
    </xf>
    <xf numFmtId="0" fontId="81" fillId="77" borderId="209" xfId="0" applyFont="1" applyFill="1" applyBorder="1" applyAlignment="1" applyProtection="1">
      <alignment horizontal="center"/>
      <protection locked="0"/>
    </xf>
    <xf numFmtId="0" fontId="58" fillId="77" borderId="209" xfId="0" applyFont="1" applyFill="1" applyBorder="1" applyAlignment="1" applyProtection="1">
      <alignment horizontal="center"/>
      <protection locked="0"/>
    </xf>
    <xf numFmtId="0" fontId="81" fillId="77" borderId="153" xfId="0" applyFont="1" applyFill="1" applyBorder="1" applyAlignment="1" applyProtection="1">
      <alignment horizontal="center"/>
      <protection locked="0"/>
    </xf>
    <xf numFmtId="0" fontId="56" fillId="54" borderId="154" xfId="0" applyFont="1" applyFill="1" applyBorder="1" applyAlignment="1" applyProtection="1">
      <alignment horizontal="center"/>
      <protection locked="0"/>
    </xf>
    <xf numFmtId="0" fontId="56" fillId="54" borderId="209" xfId="0" applyFont="1" applyFill="1" applyBorder="1" applyAlignment="1" applyProtection="1">
      <alignment horizontal="center"/>
      <protection locked="0"/>
    </xf>
    <xf numFmtId="0" fontId="9" fillId="54" borderId="209" xfId="0" applyFont="1" applyFill="1" applyBorder="1" applyAlignment="1" applyProtection="1">
      <alignment horizontal="center"/>
      <protection locked="0"/>
    </xf>
    <xf numFmtId="0" fontId="56" fillId="54" borderId="153" xfId="0" applyFont="1" applyFill="1" applyBorder="1" applyAlignment="1" applyProtection="1">
      <alignment horizontal="center"/>
      <protection locked="0"/>
    </xf>
    <xf numFmtId="0" fontId="57" fillId="61" borderId="154" xfId="0" applyFont="1" applyFill="1" applyBorder="1" applyAlignment="1" applyProtection="1">
      <alignment horizontal="center"/>
      <protection locked="0"/>
    </xf>
    <xf numFmtId="0" fontId="57" fillId="61" borderId="209" xfId="0" applyFont="1" applyFill="1" applyBorder="1" applyAlignment="1" applyProtection="1">
      <alignment horizontal="center"/>
      <protection locked="0"/>
    </xf>
    <xf numFmtId="0" fontId="9" fillId="61" borderId="209" xfId="0" applyFont="1" applyFill="1" applyBorder="1" applyAlignment="1" applyProtection="1">
      <alignment horizontal="center"/>
      <protection locked="0"/>
    </xf>
    <xf numFmtId="0" fontId="57" fillId="61" borderId="153" xfId="0" applyFont="1" applyFill="1" applyBorder="1" applyAlignment="1" applyProtection="1">
      <alignment horizontal="center"/>
      <protection locked="0"/>
    </xf>
    <xf numFmtId="0" fontId="59" fillId="64" borderId="154" xfId="0" applyFont="1" applyFill="1" applyBorder="1" applyAlignment="1" applyProtection="1">
      <alignment horizontal="center"/>
      <protection locked="0"/>
    </xf>
    <xf numFmtId="0" fontId="59" fillId="64" borderId="209" xfId="0" applyFont="1" applyFill="1" applyBorder="1" applyAlignment="1" applyProtection="1">
      <alignment horizontal="center"/>
      <protection locked="0"/>
    </xf>
    <xf numFmtId="0" fontId="9" fillId="64" borderId="209" xfId="0" applyFont="1" applyFill="1" applyBorder="1" applyAlignment="1" applyProtection="1">
      <alignment horizontal="center"/>
      <protection locked="0"/>
    </xf>
    <xf numFmtId="0" fontId="59" fillId="64" borderId="153" xfId="0" applyFont="1" applyFill="1" applyBorder="1" applyAlignment="1" applyProtection="1">
      <alignment horizontal="center"/>
      <protection locked="0"/>
    </xf>
    <xf numFmtId="0" fontId="60" fillId="46" borderId="154" xfId="0" applyFont="1" applyFill="1" applyBorder="1" applyAlignment="1" applyProtection="1">
      <alignment horizontal="center"/>
      <protection locked="0"/>
    </xf>
    <xf numFmtId="0" fontId="60" fillId="46" borderId="209" xfId="0" applyFont="1" applyFill="1" applyBorder="1" applyAlignment="1" applyProtection="1">
      <alignment horizontal="center"/>
      <protection locked="0"/>
    </xf>
    <xf numFmtId="0" fontId="9" fillId="46" borderId="209" xfId="0" applyFont="1" applyFill="1" applyBorder="1" applyAlignment="1" applyProtection="1">
      <alignment horizontal="center"/>
      <protection locked="0"/>
    </xf>
    <xf numFmtId="0" fontId="60" fillId="46" borderId="153" xfId="0" applyFont="1" applyFill="1" applyBorder="1" applyAlignment="1" applyProtection="1">
      <alignment horizontal="center"/>
      <protection locked="0"/>
    </xf>
    <xf numFmtId="0" fontId="61" fillId="60" borderId="154" xfId="0" applyFont="1" applyFill="1" applyBorder="1" applyAlignment="1" applyProtection="1">
      <alignment horizontal="center"/>
      <protection locked="0"/>
    </xf>
    <xf numFmtId="0" fontId="61" fillId="60" borderId="209" xfId="0" applyFont="1" applyFill="1" applyBorder="1" applyAlignment="1" applyProtection="1">
      <alignment horizontal="center"/>
      <protection locked="0"/>
    </xf>
    <xf numFmtId="0" fontId="9" fillId="60" borderId="209" xfId="0" applyFont="1" applyFill="1" applyBorder="1" applyAlignment="1" applyProtection="1">
      <alignment horizontal="center"/>
      <protection locked="0"/>
    </xf>
    <xf numFmtId="0" fontId="61" fillId="60" borderId="153" xfId="0" applyFont="1" applyFill="1" applyBorder="1" applyAlignment="1" applyProtection="1">
      <alignment horizontal="center"/>
      <protection locked="0"/>
    </xf>
    <xf numFmtId="0" fontId="62" fillId="56" borderId="154" xfId="0" applyFont="1" applyFill="1" applyBorder="1" applyAlignment="1" applyProtection="1">
      <alignment horizontal="center"/>
      <protection locked="0"/>
    </xf>
    <xf numFmtId="0" fontId="62" fillId="56" borderId="209" xfId="0" applyFont="1" applyFill="1" applyBorder="1" applyAlignment="1" applyProtection="1">
      <alignment horizontal="center"/>
      <protection locked="0"/>
    </xf>
    <xf numFmtId="0" fontId="9" fillId="56" borderId="209" xfId="0" applyFont="1" applyFill="1" applyBorder="1" applyAlignment="1" applyProtection="1">
      <alignment horizontal="center"/>
      <protection locked="0"/>
    </xf>
    <xf numFmtId="0" fontId="62" fillId="56" borderId="153" xfId="0" applyFont="1" applyFill="1" applyBorder="1" applyAlignment="1" applyProtection="1">
      <alignment horizontal="center"/>
      <protection locked="0"/>
    </xf>
    <xf numFmtId="0" fontId="148" fillId="48" borderId="443" xfId="49" applyFont="1" applyFill="1" applyBorder="1" applyAlignment="1">
      <alignment horizontal="center" vertical="center" wrapText="1"/>
    </xf>
    <xf numFmtId="0" fontId="148" fillId="55" borderId="443" xfId="49" applyFont="1" applyFill="1" applyBorder="1" applyAlignment="1">
      <alignment horizontal="center" vertical="center" wrapText="1"/>
    </xf>
    <xf numFmtId="0" fontId="148" fillId="58" borderId="443" xfId="49" applyFont="1" applyFill="1" applyBorder="1" applyAlignment="1">
      <alignment horizontal="center" vertical="center" wrapText="1"/>
    </xf>
    <xf numFmtId="0" fontId="162" fillId="45" borderId="443" xfId="49" applyFont="1" applyFill="1" applyBorder="1" applyAlignment="1">
      <alignment horizontal="center" vertical="center" wrapText="1"/>
    </xf>
    <xf numFmtId="0" fontId="162" fillId="76" borderId="443" xfId="49" applyFont="1" applyFill="1" applyBorder="1" applyAlignment="1">
      <alignment horizontal="center" vertical="center" wrapText="1"/>
    </xf>
    <xf numFmtId="0" fontId="162" fillId="77" borderId="443" xfId="49" applyFont="1" applyFill="1" applyBorder="1" applyAlignment="1">
      <alignment horizontal="center" vertical="center" wrapText="1"/>
    </xf>
    <xf numFmtId="0" fontId="148" fillId="54" borderId="443" xfId="49" applyFont="1" applyFill="1" applyBorder="1" applyAlignment="1">
      <alignment horizontal="center" vertical="center" wrapText="1"/>
    </xf>
    <xf numFmtId="0" fontId="148" fillId="61" borderId="443" xfId="49" applyFont="1" applyFill="1" applyBorder="1" applyAlignment="1">
      <alignment horizontal="center" vertical="center" wrapText="1"/>
    </xf>
    <xf numFmtId="0" fontId="148" fillId="64" borderId="443" xfId="49" applyFont="1" applyFill="1" applyBorder="1" applyAlignment="1">
      <alignment horizontal="center" vertical="center" wrapText="1"/>
    </xf>
    <xf numFmtId="0" fontId="148" fillId="46" borderId="443" xfId="49" applyFont="1" applyFill="1" applyBorder="1" applyAlignment="1">
      <alignment horizontal="center" vertical="center" wrapText="1"/>
    </xf>
    <xf numFmtId="0" fontId="148" fillId="60" borderId="443" xfId="49" applyFont="1" applyFill="1" applyBorder="1" applyAlignment="1">
      <alignment horizontal="center" vertical="center" wrapText="1"/>
    </xf>
    <xf numFmtId="0" fontId="148" fillId="56" borderId="443" xfId="49" applyFont="1" applyFill="1" applyBorder="1" applyAlignment="1">
      <alignment horizontal="center" vertical="center" wrapText="1"/>
    </xf>
    <xf numFmtId="0" fontId="148" fillId="48" borderId="348" xfId="49" applyFont="1" applyFill="1" applyBorder="1" applyAlignment="1">
      <alignment horizontal="center" vertical="center" wrapText="1"/>
    </xf>
    <xf numFmtId="0" fontId="148" fillId="55" borderId="348" xfId="49" applyFont="1" applyFill="1" applyBorder="1" applyAlignment="1">
      <alignment horizontal="center" vertical="center" wrapText="1"/>
    </xf>
    <xf numFmtId="0" fontId="148" fillId="58" borderId="348" xfId="49" applyFont="1" applyFill="1" applyBorder="1" applyAlignment="1">
      <alignment horizontal="center" vertical="center" wrapText="1"/>
    </xf>
    <xf numFmtId="0" fontId="162" fillId="45" borderId="348" xfId="49" applyFont="1" applyFill="1" applyBorder="1" applyAlignment="1">
      <alignment horizontal="center" vertical="center" wrapText="1"/>
    </xf>
    <xf numFmtId="0" fontId="162" fillId="76" borderId="348" xfId="49" applyFont="1" applyFill="1" applyBorder="1" applyAlignment="1">
      <alignment horizontal="center" vertical="center" wrapText="1"/>
    </xf>
    <xf numFmtId="0" fontId="162" fillId="77" borderId="348" xfId="49" applyFont="1" applyFill="1" applyBorder="1" applyAlignment="1">
      <alignment horizontal="center" vertical="center" wrapText="1"/>
    </xf>
    <xf numFmtId="0" fontId="148" fillId="54" borderId="348" xfId="49" applyFont="1" applyFill="1" applyBorder="1" applyAlignment="1">
      <alignment horizontal="center" vertical="center" wrapText="1"/>
    </xf>
    <xf numFmtId="0" fontId="148" fillId="61" borderId="348" xfId="49" applyFont="1" applyFill="1" applyBorder="1" applyAlignment="1">
      <alignment horizontal="center" vertical="center" wrapText="1"/>
    </xf>
    <xf numFmtId="0" fontId="148" fillId="64" borderId="348" xfId="49" applyFont="1" applyFill="1" applyBorder="1" applyAlignment="1">
      <alignment horizontal="center" vertical="center" wrapText="1"/>
    </xf>
    <xf numFmtId="0" fontId="148" fillId="46" borderId="348" xfId="49" applyFont="1" applyFill="1" applyBorder="1" applyAlignment="1">
      <alignment horizontal="center" vertical="center" wrapText="1"/>
    </xf>
    <xf numFmtId="0" fontId="148" fillId="60" borderId="348" xfId="49" applyFont="1" applyFill="1" applyBorder="1" applyAlignment="1">
      <alignment horizontal="center" vertical="center" wrapText="1"/>
    </xf>
    <xf numFmtId="0" fontId="148" fillId="56" borderId="348" xfId="49" applyFont="1" applyFill="1" applyBorder="1" applyAlignment="1">
      <alignment horizontal="center" vertical="center" wrapText="1"/>
    </xf>
    <xf numFmtId="0" fontId="69" fillId="47" borderId="354" xfId="49" applyFont="1" applyFill="1" applyBorder="1" applyAlignment="1">
      <alignment horizontal="center" vertical="center" wrapText="1"/>
    </xf>
    <xf numFmtId="0" fontId="52" fillId="43" borderId="354" xfId="48" applyFont="1" applyFill="1" applyBorder="1" applyAlignment="1" applyProtection="1">
      <alignment horizontal="center"/>
      <protection locked="0"/>
    </xf>
    <xf numFmtId="0" fontId="58" fillId="43" borderId="354" xfId="48" applyFont="1" applyFill="1" applyBorder="1" applyAlignment="1" applyProtection="1">
      <alignment horizontal="center"/>
      <protection locked="0"/>
    </xf>
    <xf numFmtId="0" fontId="50" fillId="43" borderId="354" xfId="48" applyFont="1" applyFill="1" applyBorder="1" applyAlignment="1" applyProtection="1">
      <alignment horizontal="center"/>
      <protection locked="0"/>
    </xf>
    <xf numFmtId="0" fontId="80" fillId="43" borderId="354" xfId="48" applyFont="1" applyFill="1" applyBorder="1" applyAlignment="1" applyProtection="1">
      <alignment horizontal="center"/>
      <protection locked="0"/>
    </xf>
    <xf numFmtId="0" fontId="56" fillId="43" borderId="354" xfId="48" applyFont="1" applyFill="1" applyBorder="1" applyAlignment="1" applyProtection="1">
      <alignment horizontal="center"/>
      <protection locked="0"/>
    </xf>
    <xf numFmtId="0" fontId="57" fillId="43" borderId="354" xfId="48" applyFont="1" applyFill="1" applyBorder="1" applyAlignment="1" applyProtection="1">
      <alignment horizontal="center"/>
      <protection locked="0"/>
    </xf>
    <xf numFmtId="0" fontId="59" fillId="43" borderId="354" xfId="48" applyFont="1" applyFill="1" applyBorder="1" applyAlignment="1" applyProtection="1">
      <alignment horizontal="center"/>
      <protection locked="0"/>
    </xf>
    <xf numFmtId="0" fontId="60" fillId="43" borderId="354" xfId="48" applyFont="1" applyFill="1" applyBorder="1" applyAlignment="1" applyProtection="1">
      <alignment horizontal="center"/>
      <protection locked="0"/>
    </xf>
    <xf numFmtId="0" fontId="61" fillId="43" borderId="354" xfId="48" applyFont="1" applyFill="1" applyBorder="1" applyAlignment="1" applyProtection="1">
      <alignment horizontal="center"/>
      <protection locked="0"/>
    </xf>
    <xf numFmtId="0" fontId="62" fillId="43" borderId="354" xfId="48" applyFont="1" applyFill="1" applyBorder="1" applyAlignment="1" applyProtection="1">
      <alignment horizontal="center"/>
      <protection locked="0"/>
    </xf>
    <xf numFmtId="0" fontId="5" fillId="43" borderId="354" xfId="49" applyFill="1" applyBorder="1"/>
    <xf numFmtId="0" fontId="52" fillId="48" borderId="209" xfId="48" applyFont="1" applyFill="1" applyBorder="1" applyAlignment="1" applyProtection="1">
      <alignment horizontal="center"/>
      <protection locked="0"/>
    </xf>
    <xf numFmtId="0" fontId="58" fillId="48" borderId="209" xfId="48" applyFont="1" applyFill="1" applyBorder="1" applyAlignment="1" applyProtection="1">
      <alignment horizontal="center"/>
      <protection locked="0"/>
    </xf>
    <xf numFmtId="0" fontId="50" fillId="55" borderId="154" xfId="48" applyFont="1" applyFill="1" applyBorder="1" applyAlignment="1" applyProtection="1">
      <alignment horizontal="center"/>
      <protection locked="0"/>
    </xf>
    <xf numFmtId="0" fontId="58" fillId="55" borderId="209" xfId="48" applyFont="1" applyFill="1" applyBorder="1" applyAlignment="1" applyProtection="1">
      <alignment horizontal="center"/>
      <protection locked="0"/>
    </xf>
    <xf numFmtId="0" fontId="80" fillId="58" borderId="154" xfId="48" applyFont="1" applyFill="1" applyBorder="1" applyAlignment="1" applyProtection="1">
      <alignment horizontal="center"/>
      <protection locked="0"/>
    </xf>
    <xf numFmtId="0" fontId="58" fillId="58" borderId="209" xfId="48" applyFont="1" applyFill="1" applyBorder="1" applyAlignment="1" applyProtection="1">
      <alignment horizontal="center"/>
      <protection locked="0"/>
    </xf>
    <xf numFmtId="0" fontId="58" fillId="45" borderId="209" xfId="48" applyFont="1" applyFill="1" applyBorder="1" applyAlignment="1" applyProtection="1">
      <alignment horizontal="center"/>
      <protection locked="0"/>
    </xf>
    <xf numFmtId="0" fontId="58" fillId="76" borderId="209" xfId="48" applyFont="1" applyFill="1" applyBorder="1" applyAlignment="1" applyProtection="1">
      <alignment horizontal="center"/>
      <protection locked="0"/>
    </xf>
    <xf numFmtId="0" fontId="58" fillId="77" borderId="209" xfId="48" applyFont="1" applyFill="1" applyBorder="1" applyAlignment="1" applyProtection="1">
      <alignment horizontal="center"/>
      <protection locked="0"/>
    </xf>
    <xf numFmtId="0" fontId="56" fillId="54" borderId="154" xfId="48" applyFont="1" applyFill="1" applyBorder="1" applyAlignment="1" applyProtection="1">
      <alignment horizontal="center"/>
      <protection locked="0"/>
    </xf>
    <xf numFmtId="0" fontId="56" fillId="54" borderId="209" xfId="48" applyFont="1" applyFill="1" applyBorder="1" applyAlignment="1" applyProtection="1">
      <alignment horizontal="center"/>
      <protection locked="0"/>
    </xf>
    <xf numFmtId="0" fontId="58" fillId="54" borderId="209" xfId="48" applyFont="1" applyFill="1" applyBorder="1" applyAlignment="1" applyProtection="1">
      <alignment horizontal="center"/>
      <protection locked="0"/>
    </xf>
    <xf numFmtId="0" fontId="57" fillId="61" borderId="154" xfId="48" applyFont="1" applyFill="1" applyBorder="1" applyAlignment="1" applyProtection="1">
      <alignment horizontal="center"/>
      <protection locked="0"/>
    </xf>
    <xf numFmtId="0" fontId="57" fillId="61" borderId="209" xfId="48" applyFont="1" applyFill="1" applyBorder="1" applyAlignment="1" applyProtection="1">
      <alignment horizontal="center"/>
      <protection locked="0"/>
    </xf>
    <xf numFmtId="0" fontId="58" fillId="61" borderId="209" xfId="48" applyFont="1" applyFill="1" applyBorder="1" applyAlignment="1" applyProtection="1">
      <alignment horizontal="center"/>
      <protection locked="0"/>
    </xf>
    <xf numFmtId="0" fontId="59" fillId="64" borderId="154" xfId="48" applyFont="1" applyFill="1" applyBorder="1" applyAlignment="1" applyProtection="1">
      <alignment horizontal="center"/>
      <protection locked="0"/>
    </xf>
    <xf numFmtId="0" fontId="59" fillId="64" borderId="209" xfId="48" applyFont="1" applyFill="1" applyBorder="1" applyAlignment="1" applyProtection="1">
      <alignment horizontal="center"/>
      <protection locked="0"/>
    </xf>
    <xf numFmtId="0" fontId="58" fillId="64" borderId="209" xfId="48" applyFont="1" applyFill="1" applyBorder="1" applyAlignment="1" applyProtection="1">
      <alignment horizontal="center"/>
      <protection locked="0"/>
    </xf>
    <xf numFmtId="0" fontId="60" fillId="46" borderId="154" xfId="48" applyFont="1" applyFill="1" applyBorder="1" applyAlignment="1" applyProtection="1">
      <alignment horizontal="center"/>
      <protection locked="0"/>
    </xf>
    <xf numFmtId="0" fontId="60" fillId="46" borderId="209" xfId="48" applyFont="1" applyFill="1" applyBorder="1" applyAlignment="1" applyProtection="1">
      <alignment horizontal="center"/>
      <protection locked="0"/>
    </xf>
    <xf numFmtId="0" fontId="58" fillId="46" borderId="209" xfId="48" applyFont="1" applyFill="1" applyBorder="1" applyAlignment="1" applyProtection="1">
      <alignment horizontal="center"/>
      <protection locked="0"/>
    </xf>
    <xf numFmtId="0" fontId="61" fillId="60" borderId="154" xfId="48" applyFont="1" applyFill="1" applyBorder="1" applyAlignment="1" applyProtection="1">
      <alignment horizontal="center"/>
      <protection locked="0"/>
    </xf>
    <xf numFmtId="0" fontId="61" fillId="60" borderId="209" xfId="48" applyFont="1" applyFill="1" applyBorder="1" applyAlignment="1" applyProtection="1">
      <alignment horizontal="center"/>
      <protection locked="0"/>
    </xf>
    <xf numFmtId="0" fontId="58" fillId="60" borderId="209" xfId="48" applyFont="1" applyFill="1" applyBorder="1" applyAlignment="1" applyProtection="1">
      <alignment horizontal="center"/>
      <protection locked="0"/>
    </xf>
    <xf numFmtId="0" fontId="62" fillId="56" borderId="154" xfId="48" applyFont="1" applyFill="1" applyBorder="1" applyAlignment="1" applyProtection="1">
      <alignment horizontal="center"/>
      <protection locked="0"/>
    </xf>
    <xf numFmtId="0" fontId="62" fillId="56" borderId="209" xfId="48" applyFont="1" applyFill="1" applyBorder="1" applyAlignment="1" applyProtection="1">
      <alignment horizontal="center"/>
      <protection locked="0"/>
    </xf>
    <xf numFmtId="0" fontId="58" fillId="56" borderId="209" xfId="48" applyFont="1" applyFill="1" applyBorder="1" applyAlignment="1" applyProtection="1">
      <alignment horizontal="center"/>
      <protection locked="0"/>
    </xf>
    <xf numFmtId="0" fontId="25" fillId="53" borderId="348" xfId="40" applyFont="1" applyFill="1" applyBorder="1" applyAlignment="1">
      <alignment horizontal="center" vertical="center"/>
    </xf>
    <xf numFmtId="0" fontId="7" fillId="46" borderId="357" xfId="49" applyFont="1" applyFill="1" applyBorder="1" applyAlignment="1">
      <alignment horizontal="center" vertical="center" wrapText="1"/>
    </xf>
    <xf numFmtId="1" fontId="5" fillId="0" borderId="363" xfId="49" applyNumberFormat="1" applyBorder="1" applyAlignment="1" applyProtection="1">
      <alignment horizontal="center"/>
      <protection locked="0"/>
    </xf>
    <xf numFmtId="0" fontId="25" fillId="134" borderId="348" xfId="40" applyFont="1" applyFill="1" applyBorder="1" applyAlignment="1">
      <alignment horizontal="center" vertical="center"/>
    </xf>
    <xf numFmtId="1" fontId="5" fillId="0" borderId="348" xfId="49" applyNumberFormat="1" applyBorder="1" applyAlignment="1">
      <alignment horizontal="center"/>
    </xf>
    <xf numFmtId="0" fontId="26" fillId="50" borderId="439" xfId="47" applyFill="1" applyBorder="1" applyProtection="1"/>
    <xf numFmtId="0" fontId="5" fillId="44" borderId="250" xfId="49" applyFill="1" applyBorder="1" applyAlignment="1" applyProtection="1">
      <alignment horizontal="center"/>
      <protection locked="0"/>
    </xf>
    <xf numFmtId="0" fontId="36" fillId="44" borderId="427" xfId="49" applyFont="1" applyFill="1" applyBorder="1" applyAlignment="1" applyProtection="1">
      <alignment horizontal="center"/>
      <protection locked="0"/>
    </xf>
    <xf numFmtId="0" fontId="5" fillId="44" borderId="276" xfId="49" applyFill="1" applyBorder="1" applyAlignment="1" applyProtection="1">
      <alignment horizontal="center"/>
      <protection locked="0"/>
    </xf>
    <xf numFmtId="0" fontId="5" fillId="141" borderId="99" xfId="49" applyFill="1" applyBorder="1" applyAlignment="1" applyProtection="1">
      <alignment horizontal="center"/>
      <protection locked="0"/>
    </xf>
    <xf numFmtId="0" fontId="5" fillId="141" borderId="100" xfId="49" applyFill="1" applyBorder="1" applyAlignment="1" applyProtection="1">
      <alignment horizontal="center"/>
      <protection locked="0"/>
    </xf>
    <xf numFmtId="0" fontId="5" fillId="141" borderId="250" xfId="49" applyFill="1" applyBorder="1" applyAlignment="1" applyProtection="1">
      <alignment horizontal="center"/>
      <protection locked="0"/>
    </xf>
    <xf numFmtId="0" fontId="36" fillId="141" borderId="427" xfId="49" applyFont="1" applyFill="1" applyBorder="1" applyAlignment="1" applyProtection="1">
      <alignment horizontal="center"/>
      <protection locked="0"/>
    </xf>
    <xf numFmtId="0" fontId="5" fillId="141" borderId="444" xfId="49" applyFill="1" applyBorder="1" applyAlignment="1" applyProtection="1">
      <alignment horizontal="center"/>
      <protection locked="0"/>
    </xf>
    <xf numFmtId="0" fontId="5" fillId="59" borderId="445" xfId="49" applyFill="1" applyBorder="1" applyAlignment="1" applyProtection="1">
      <alignment horizontal="center" vertical="center"/>
      <protection locked="0"/>
    </xf>
    <xf numFmtId="0" fontId="5" fillId="59" borderId="233" xfId="49" applyFill="1" applyBorder="1" applyAlignment="1" applyProtection="1">
      <alignment horizontal="center" vertical="center"/>
      <protection locked="0"/>
    </xf>
    <xf numFmtId="0" fontId="5" fillId="59" borderId="236" xfId="49" applyFill="1" applyBorder="1" applyAlignment="1" applyProtection="1">
      <alignment horizontal="center" vertical="center"/>
      <protection locked="0"/>
    </xf>
    <xf numFmtId="0" fontId="5" fillId="59" borderId="446" xfId="49" applyFill="1" applyBorder="1" applyAlignment="1" applyProtection="1">
      <alignment horizontal="center" vertical="center"/>
      <protection locked="0"/>
    </xf>
    <xf numFmtId="0" fontId="5" fillId="59" borderId="232" xfId="49" applyFill="1" applyBorder="1" applyAlignment="1" applyProtection="1">
      <alignment horizontal="center" vertical="center"/>
      <protection locked="0"/>
    </xf>
    <xf numFmtId="0" fontId="5" fillId="76" borderId="445" xfId="49" applyFill="1" applyBorder="1" applyAlignment="1" applyProtection="1">
      <alignment horizontal="center" vertical="center"/>
      <protection locked="0"/>
    </xf>
    <xf numFmtId="0" fontId="5" fillId="76" borderId="233" xfId="49" applyFill="1" applyBorder="1" applyAlignment="1" applyProtection="1">
      <alignment horizontal="center" vertical="center"/>
      <protection locked="0"/>
    </xf>
    <xf numFmtId="0" fontId="5" fillId="76" borderId="236" xfId="49" applyFill="1" applyBorder="1" applyAlignment="1" applyProtection="1">
      <alignment horizontal="center" vertical="center"/>
      <protection locked="0"/>
    </xf>
    <xf numFmtId="0" fontId="5" fillId="76" borderId="446" xfId="49" applyFill="1" applyBorder="1" applyAlignment="1" applyProtection="1">
      <alignment horizontal="center" vertical="center"/>
      <protection locked="0"/>
    </xf>
    <xf numFmtId="0" fontId="5" fillId="77" borderId="445" xfId="49" applyFill="1" applyBorder="1" applyAlignment="1" applyProtection="1">
      <alignment horizontal="center" vertical="center"/>
      <protection locked="0"/>
    </xf>
    <xf numFmtId="0" fontId="5" fillId="77" borderId="233" xfId="49" applyFill="1" applyBorder="1" applyAlignment="1" applyProtection="1">
      <alignment horizontal="center" vertical="center"/>
      <protection locked="0"/>
    </xf>
    <xf numFmtId="0" fontId="5" fillId="77" borderId="236" xfId="49" applyFill="1" applyBorder="1" applyAlignment="1" applyProtection="1">
      <alignment horizontal="center" vertical="center"/>
      <protection locked="0"/>
    </xf>
    <xf numFmtId="0" fontId="5" fillId="77" borderId="446" xfId="49" applyFill="1" applyBorder="1" applyAlignment="1" applyProtection="1">
      <alignment horizontal="center" vertical="center"/>
      <protection locked="0"/>
    </xf>
    <xf numFmtId="0" fontId="5" fillId="48" borderId="445" xfId="49" applyFill="1" applyBorder="1" applyAlignment="1" applyProtection="1">
      <alignment horizontal="center" vertical="center"/>
      <protection locked="0"/>
    </xf>
    <xf numFmtId="0" fontId="5" fillId="48" borderId="233" xfId="49" applyFill="1" applyBorder="1" applyAlignment="1" applyProtection="1">
      <alignment horizontal="center" vertical="center"/>
      <protection locked="0"/>
    </xf>
    <xf numFmtId="0" fontId="5" fillId="48" borderId="236" xfId="49" applyFill="1" applyBorder="1" applyAlignment="1" applyProtection="1">
      <alignment horizontal="center" vertical="center"/>
      <protection locked="0"/>
    </xf>
    <xf numFmtId="0" fontId="5" fillId="48" borderId="446" xfId="49" applyFill="1" applyBorder="1" applyAlignment="1" applyProtection="1">
      <alignment horizontal="center" vertical="center"/>
      <protection locked="0"/>
    </xf>
    <xf numFmtId="0" fontId="5" fillId="55" borderId="445" xfId="49" applyFill="1" applyBorder="1" applyAlignment="1" applyProtection="1">
      <alignment horizontal="center" vertical="center"/>
      <protection locked="0"/>
    </xf>
    <xf numFmtId="0" fontId="5" fillId="55" borderId="233" xfId="49" applyFill="1" applyBorder="1" applyAlignment="1" applyProtection="1">
      <alignment horizontal="center" vertical="center"/>
      <protection locked="0"/>
    </xf>
    <xf numFmtId="0" fontId="5" fillId="55" borderId="236" xfId="49" applyFill="1" applyBorder="1" applyAlignment="1" applyProtection="1">
      <alignment horizontal="center" vertical="center"/>
      <protection locked="0"/>
    </xf>
    <xf numFmtId="0" fontId="5" fillId="55" borderId="446" xfId="49" applyFill="1" applyBorder="1" applyAlignment="1" applyProtection="1">
      <alignment horizontal="center" vertical="center"/>
      <protection locked="0"/>
    </xf>
    <xf numFmtId="0" fontId="5" fillId="58" borderId="445" xfId="49" applyFill="1" applyBorder="1" applyAlignment="1" applyProtection="1">
      <alignment horizontal="center" vertical="center"/>
      <protection locked="0"/>
    </xf>
    <xf numFmtId="0" fontId="5" fillId="58" borderId="233" xfId="49" applyFill="1" applyBorder="1" applyAlignment="1" applyProtection="1">
      <alignment horizontal="center" vertical="center"/>
      <protection locked="0"/>
    </xf>
    <xf numFmtId="0" fontId="5" fillId="58" borderId="236" xfId="49" applyFill="1" applyBorder="1" applyAlignment="1" applyProtection="1">
      <alignment horizontal="center" vertical="center"/>
      <protection locked="0"/>
    </xf>
    <xf numFmtId="0" fontId="5" fillId="58" borderId="446" xfId="49" applyFill="1" applyBorder="1" applyAlignment="1" applyProtection="1">
      <alignment horizontal="center" vertical="center"/>
      <protection locked="0"/>
    </xf>
    <xf numFmtId="0" fontId="5" fillId="46" borderId="445" xfId="49" applyFill="1" applyBorder="1" applyAlignment="1" applyProtection="1">
      <alignment horizontal="center" vertical="center"/>
      <protection locked="0"/>
    </xf>
    <xf numFmtId="0" fontId="5" fillId="46" borderId="233" xfId="49" applyFill="1" applyBorder="1" applyAlignment="1" applyProtection="1">
      <alignment horizontal="center" vertical="center"/>
      <protection locked="0"/>
    </xf>
    <xf numFmtId="0" fontId="5" fillId="46" borderId="236" xfId="49" applyFill="1" applyBorder="1" applyAlignment="1" applyProtection="1">
      <alignment horizontal="center" vertical="center"/>
      <protection locked="0"/>
    </xf>
    <xf numFmtId="0" fontId="5" fillId="46" borderId="446" xfId="49" applyFill="1" applyBorder="1" applyAlignment="1" applyProtection="1">
      <alignment horizontal="center" vertical="center"/>
      <protection locked="0"/>
    </xf>
    <xf numFmtId="0" fontId="5" fillId="60" borderId="445" xfId="49" applyFill="1" applyBorder="1" applyAlignment="1" applyProtection="1">
      <alignment horizontal="center" vertical="center"/>
      <protection locked="0"/>
    </xf>
    <xf numFmtId="0" fontId="5" fillId="60" borderId="233" xfId="49" applyFill="1" applyBorder="1" applyAlignment="1" applyProtection="1">
      <alignment horizontal="center" vertical="center"/>
      <protection locked="0"/>
    </xf>
    <xf numFmtId="0" fontId="5" fillId="60" borderId="236" xfId="49" applyFill="1" applyBorder="1" applyAlignment="1" applyProtection="1">
      <alignment horizontal="center" vertical="center"/>
      <protection locked="0"/>
    </xf>
    <xf numFmtId="0" fontId="5" fillId="60" borderId="446" xfId="49" applyFill="1" applyBorder="1" applyAlignment="1" applyProtection="1">
      <alignment horizontal="center" vertical="center"/>
      <protection locked="0"/>
    </xf>
    <xf numFmtId="0" fontId="5" fillId="56" borderId="445" xfId="49" applyFill="1" applyBorder="1" applyAlignment="1" applyProtection="1">
      <alignment horizontal="center" vertical="center"/>
      <protection locked="0"/>
    </xf>
    <xf numFmtId="0" fontId="5" fillId="56" borderId="233" xfId="49" applyFill="1" applyBorder="1" applyAlignment="1" applyProtection="1">
      <alignment horizontal="center" vertical="center"/>
      <protection locked="0"/>
    </xf>
    <xf numFmtId="0" fontId="5" fillId="56" borderId="236" xfId="49" applyFill="1" applyBorder="1" applyAlignment="1" applyProtection="1">
      <alignment horizontal="center" vertical="center"/>
      <protection locked="0"/>
    </xf>
    <xf numFmtId="0" fontId="5" fillId="56" borderId="446" xfId="49" applyFill="1" applyBorder="1" applyAlignment="1" applyProtection="1">
      <alignment horizontal="center" vertical="center"/>
      <protection locked="0"/>
    </xf>
    <xf numFmtId="0" fontId="5" fillId="54" borderId="445" xfId="49" applyFill="1" applyBorder="1" applyAlignment="1" applyProtection="1">
      <alignment horizontal="center" vertical="center"/>
      <protection locked="0"/>
    </xf>
    <xf numFmtId="0" fontId="5" fillId="54" borderId="233" xfId="49" applyFill="1" applyBorder="1" applyAlignment="1" applyProtection="1">
      <alignment horizontal="center" vertical="center"/>
      <protection locked="0"/>
    </xf>
    <xf numFmtId="0" fontId="5" fillId="54" borderId="236" xfId="49" applyFill="1" applyBorder="1" applyAlignment="1" applyProtection="1">
      <alignment horizontal="center" vertical="center"/>
      <protection locked="0"/>
    </xf>
    <xf numFmtId="0" fontId="5" fillId="54" borderId="446" xfId="49" applyFill="1" applyBorder="1" applyAlignment="1" applyProtection="1">
      <alignment horizontal="center" vertical="center"/>
      <protection locked="0"/>
    </xf>
    <xf numFmtId="0" fontId="5" fillId="61" borderId="445" xfId="49" applyFill="1" applyBorder="1" applyAlignment="1" applyProtection="1">
      <alignment horizontal="center" vertical="center"/>
      <protection locked="0"/>
    </xf>
    <xf numFmtId="0" fontId="5" fillId="61" borderId="233" xfId="49" applyFill="1" applyBorder="1" applyAlignment="1" applyProtection="1">
      <alignment horizontal="center" vertical="center"/>
      <protection locked="0"/>
    </xf>
    <xf numFmtId="0" fontId="5" fillId="61" borderId="236" xfId="49" applyFill="1" applyBorder="1" applyAlignment="1" applyProtection="1">
      <alignment horizontal="center" vertical="center"/>
      <protection locked="0"/>
    </xf>
    <xf numFmtId="0" fontId="5" fillId="61" borderId="446" xfId="49" applyFill="1" applyBorder="1" applyAlignment="1" applyProtection="1">
      <alignment horizontal="center" vertical="center"/>
      <protection locked="0"/>
    </xf>
    <xf numFmtId="0" fontId="5" fillId="64" borderId="445" xfId="49" applyFill="1" applyBorder="1" applyAlignment="1" applyProtection="1">
      <alignment horizontal="center" vertical="center"/>
      <protection locked="0"/>
    </xf>
    <xf numFmtId="0" fontId="5" fillId="64" borderId="233" xfId="49" applyFill="1" applyBorder="1" applyAlignment="1" applyProtection="1">
      <alignment horizontal="center" vertical="center"/>
      <protection locked="0"/>
    </xf>
    <xf numFmtId="0" fontId="5" fillId="64" borderId="236" xfId="49" applyFill="1" applyBorder="1" applyAlignment="1" applyProtection="1">
      <alignment horizontal="center" vertical="center"/>
      <protection locked="0"/>
    </xf>
    <xf numFmtId="0" fontId="5" fillId="64" borderId="446" xfId="49" applyFill="1" applyBorder="1" applyAlignment="1" applyProtection="1">
      <alignment horizontal="center" vertical="center"/>
      <protection locked="0"/>
    </xf>
    <xf numFmtId="0" fontId="5" fillId="141" borderId="445" xfId="49" applyFill="1" applyBorder="1" applyAlignment="1" applyProtection="1">
      <alignment horizontal="center" vertical="center"/>
      <protection locked="0"/>
    </xf>
    <xf numFmtId="0" fontId="5" fillId="141" borderId="233" xfId="49" applyFill="1" applyBorder="1" applyAlignment="1" applyProtection="1">
      <alignment horizontal="center" vertical="center"/>
      <protection locked="0"/>
    </xf>
    <xf numFmtId="0" fontId="5" fillId="141" borderId="236" xfId="49" applyFill="1" applyBorder="1" applyAlignment="1" applyProtection="1">
      <alignment horizontal="center" vertical="center"/>
      <protection locked="0"/>
    </xf>
    <xf numFmtId="0" fontId="5" fillId="141" borderId="446" xfId="49" applyFill="1" applyBorder="1" applyAlignment="1" applyProtection="1">
      <alignment horizontal="center" vertical="center"/>
      <protection locked="0"/>
    </xf>
    <xf numFmtId="0" fontId="5" fillId="141" borderId="447" xfId="49" applyFill="1" applyBorder="1" applyAlignment="1" applyProtection="1">
      <alignment horizontal="center" vertical="center"/>
      <protection locked="0"/>
    </xf>
    <xf numFmtId="0" fontId="26" fillId="142" borderId="348" xfId="47" applyFill="1" applyBorder="1" applyProtection="1"/>
    <xf numFmtId="0" fontId="5" fillId="142" borderId="348" xfId="49" applyFill="1" applyBorder="1" applyAlignment="1" applyProtection="1">
      <alignment horizontal="center"/>
      <protection locked="0"/>
    </xf>
    <xf numFmtId="0" fontId="36" fillId="142" borderId="348" xfId="49" applyFont="1" applyFill="1" applyBorder="1" applyAlignment="1" applyProtection="1">
      <alignment horizontal="center"/>
      <protection locked="0"/>
    </xf>
    <xf numFmtId="2" fontId="5" fillId="0" borderId="449" xfId="49" applyNumberFormat="1" applyBorder="1" applyAlignment="1" applyProtection="1">
      <alignment horizontal="center" vertical="center"/>
      <protection locked="0"/>
    </xf>
    <xf numFmtId="2" fontId="5" fillId="0" borderId="450" xfId="49" applyNumberFormat="1" applyBorder="1" applyAlignment="1" applyProtection="1">
      <alignment horizontal="center" vertical="center"/>
      <protection locked="0"/>
    </xf>
    <xf numFmtId="2" fontId="5" fillId="0" borderId="451" xfId="49" applyNumberFormat="1" applyBorder="1" applyAlignment="1" applyProtection="1">
      <alignment horizontal="center" vertical="center"/>
      <protection locked="0"/>
    </xf>
    <xf numFmtId="2" fontId="5" fillId="0" borderId="176" xfId="49" applyNumberFormat="1" applyBorder="1" applyAlignment="1" applyProtection="1">
      <alignment horizontal="center" vertical="center"/>
      <protection locked="0"/>
    </xf>
    <xf numFmtId="2" fontId="5" fillId="0" borderId="452" xfId="49" applyNumberFormat="1" applyBorder="1" applyAlignment="1" applyProtection="1">
      <alignment horizontal="center" vertical="center"/>
      <protection locked="0"/>
    </xf>
    <xf numFmtId="2" fontId="5" fillId="0" borderId="436" xfId="49" applyNumberFormat="1" applyBorder="1" applyAlignment="1" applyProtection="1">
      <alignment horizontal="center" vertical="center"/>
      <protection locked="0"/>
    </xf>
    <xf numFmtId="2" fontId="5" fillId="0" borderId="453" xfId="49" applyNumberFormat="1" applyBorder="1" applyAlignment="1" applyProtection="1">
      <alignment horizontal="center" vertical="center"/>
      <protection locked="0"/>
    </xf>
    <xf numFmtId="2" fontId="5" fillId="0" borderId="353" xfId="49" applyNumberFormat="1" applyBorder="1" applyAlignment="1" applyProtection="1">
      <alignment horizontal="center" vertical="center"/>
      <protection locked="0"/>
    </xf>
    <xf numFmtId="2" fontId="5" fillId="0" borderId="68" xfId="49" applyNumberFormat="1" applyBorder="1" applyAlignment="1" applyProtection="1">
      <alignment horizontal="center" vertical="center"/>
      <protection locked="0"/>
    </xf>
    <xf numFmtId="2" fontId="5" fillId="0" borderId="454" xfId="49" applyNumberFormat="1" applyBorder="1" applyAlignment="1" applyProtection="1">
      <alignment horizontal="center" vertical="center"/>
      <protection locked="0"/>
    </xf>
    <xf numFmtId="0" fontId="14" fillId="51" borderId="348" xfId="49" applyFont="1" applyFill="1" applyBorder="1" applyAlignment="1">
      <alignment horizontal="center" vertical="center"/>
    </xf>
    <xf numFmtId="0" fontId="14" fillId="131" borderId="348" xfId="49" applyFont="1" applyFill="1" applyBorder="1" applyAlignment="1">
      <alignment horizontal="center" vertical="center"/>
    </xf>
    <xf numFmtId="0" fontId="14" fillId="51" borderId="354" xfId="49" applyFont="1" applyFill="1" applyBorder="1" applyAlignment="1">
      <alignment horizontal="center" vertical="center"/>
    </xf>
    <xf numFmtId="0" fontId="5" fillId="43" borderId="354" xfId="49" applyFill="1" applyBorder="1" applyAlignment="1">
      <alignment horizontal="center"/>
    </xf>
    <xf numFmtId="0" fontId="5" fillId="44" borderId="432" xfId="49" applyFill="1" applyBorder="1"/>
    <xf numFmtId="0" fontId="5" fillId="44" borderId="432" xfId="49" applyFill="1" applyBorder="1" applyAlignment="1">
      <alignment horizontal="center"/>
    </xf>
    <xf numFmtId="0" fontId="5" fillId="44" borderId="26" xfId="49" applyFill="1" applyBorder="1" applyAlignment="1">
      <alignment horizontal="center"/>
    </xf>
    <xf numFmtId="0" fontId="5" fillId="44" borderId="11" xfId="49" applyFill="1" applyBorder="1" applyAlignment="1">
      <alignment horizontal="center"/>
    </xf>
    <xf numFmtId="0" fontId="5" fillId="44" borderId="353" xfId="49" applyFill="1" applyBorder="1" applyAlignment="1">
      <alignment horizontal="center"/>
    </xf>
    <xf numFmtId="0" fontId="5" fillId="44" borderId="29" xfId="49" applyFill="1" applyBorder="1" applyAlignment="1">
      <alignment horizontal="center"/>
    </xf>
    <xf numFmtId="0" fontId="5" fillId="44" borderId="68" xfId="49" applyFill="1" applyBorder="1" applyAlignment="1">
      <alignment horizontal="center"/>
    </xf>
    <xf numFmtId="2" fontId="5" fillId="44" borderId="432" xfId="49" applyNumberFormat="1" applyFill="1" applyBorder="1"/>
    <xf numFmtId="2" fontId="5" fillId="44" borderId="26" xfId="49" applyNumberFormat="1" applyFill="1" applyBorder="1"/>
    <xf numFmtId="2" fontId="5" fillId="44" borderId="11" xfId="49" applyNumberFormat="1" applyFill="1" applyBorder="1"/>
    <xf numFmtId="0" fontId="5" fillId="44" borderId="354" xfId="49" applyFill="1" applyBorder="1"/>
    <xf numFmtId="0" fontId="5" fillId="54" borderId="348" xfId="48" applyFill="1" applyBorder="1" applyAlignment="1" applyProtection="1">
      <alignment horizontal="center"/>
      <protection locked="0"/>
    </xf>
    <xf numFmtId="0" fontId="62" fillId="56" borderId="24" xfId="48" applyFont="1" applyFill="1" applyBorder="1" applyAlignment="1" applyProtection="1">
      <alignment horizontal="center"/>
      <protection locked="0"/>
    </xf>
    <xf numFmtId="0" fontId="62" fillId="44" borderId="430" xfId="48" applyFont="1" applyFill="1" applyBorder="1" applyAlignment="1" applyProtection="1">
      <alignment horizontal="center"/>
      <protection locked="0"/>
    </xf>
    <xf numFmtId="0" fontId="5" fillId="54" borderId="430" xfId="48" applyFill="1" applyBorder="1" applyAlignment="1" applyProtection="1">
      <alignment horizontal="center"/>
      <protection locked="0"/>
    </xf>
    <xf numFmtId="0" fontId="62" fillId="43" borderId="430" xfId="0" applyFont="1" applyFill="1" applyBorder="1" applyAlignment="1">
      <alignment horizontal="center"/>
    </xf>
    <xf numFmtId="0" fontId="148" fillId="56" borderId="455" xfId="49" applyFont="1" applyFill="1" applyBorder="1" applyAlignment="1">
      <alignment horizontal="center" vertical="center" wrapText="1"/>
    </xf>
    <xf numFmtId="0" fontId="148" fillId="56" borderId="430" xfId="49" applyFont="1" applyFill="1" applyBorder="1" applyAlignment="1">
      <alignment horizontal="center" vertical="center" wrapText="1"/>
    </xf>
    <xf numFmtId="0" fontId="148" fillId="56" borderId="456" xfId="49" applyFont="1" applyFill="1" applyBorder="1" applyAlignment="1">
      <alignment horizontal="center" vertical="center" wrapText="1"/>
    </xf>
    <xf numFmtId="0" fontId="5" fillId="50" borderId="430" xfId="49" applyFill="1" applyBorder="1" applyAlignment="1" applyProtection="1">
      <alignment horizontal="center"/>
      <protection locked="0"/>
    </xf>
    <xf numFmtId="0" fontId="148" fillId="56" borderId="457" xfId="49" applyFont="1" applyFill="1" applyBorder="1" applyAlignment="1">
      <alignment horizontal="center" vertical="center" wrapText="1"/>
    </xf>
    <xf numFmtId="0" fontId="5" fillId="56" borderId="458" xfId="49" applyFill="1" applyBorder="1" applyAlignment="1" applyProtection="1">
      <alignment horizontal="center" vertical="center"/>
      <protection locked="0"/>
    </xf>
    <xf numFmtId="0" fontId="5" fillId="50" borderId="83" xfId="49" applyFill="1" applyBorder="1" applyAlignment="1" applyProtection="1">
      <alignment horizontal="center" vertical="center"/>
      <protection locked="0"/>
    </xf>
    <xf numFmtId="0" fontId="5" fillId="50" borderId="83" xfId="49" applyFill="1" applyBorder="1" applyAlignment="1">
      <alignment horizontal="center" vertical="center"/>
    </xf>
    <xf numFmtId="0" fontId="5" fillId="50" borderId="85" xfId="49" applyFill="1" applyBorder="1" applyAlignment="1">
      <alignment horizontal="center" vertical="center"/>
    </xf>
    <xf numFmtId="0" fontId="81" fillId="77" borderId="355" xfId="48" applyFont="1" applyFill="1" applyBorder="1" applyAlignment="1" applyProtection="1">
      <alignment horizontal="center"/>
      <protection locked="0"/>
    </xf>
    <xf numFmtId="0" fontId="81" fillId="77" borderId="89" xfId="48" applyFont="1" applyFill="1" applyBorder="1" applyAlignment="1" applyProtection="1">
      <alignment horizontal="center"/>
      <protection locked="0"/>
    </xf>
    <xf numFmtId="0" fontId="81" fillId="77" borderId="154" xfId="48" applyFont="1" applyFill="1" applyBorder="1" applyAlignment="1" applyProtection="1">
      <alignment horizontal="center"/>
      <protection locked="0"/>
    </xf>
    <xf numFmtId="0" fontId="81" fillId="77" borderId="209" xfId="48" applyFont="1" applyFill="1" applyBorder="1" applyAlignment="1" applyProtection="1">
      <alignment horizontal="center"/>
      <protection locked="0"/>
    </xf>
    <xf numFmtId="0" fontId="82" fillId="76" borderId="355" xfId="48" applyFont="1" applyFill="1" applyBorder="1" applyAlignment="1" applyProtection="1">
      <alignment horizontal="center"/>
      <protection locked="0"/>
    </xf>
    <xf numFmtId="0" fontId="82" fillId="76" borderId="89" xfId="48" applyFont="1" applyFill="1" applyBorder="1" applyAlignment="1" applyProtection="1">
      <alignment horizontal="center"/>
      <protection locked="0"/>
    </xf>
    <xf numFmtId="0" fontId="82" fillId="76" borderId="154" xfId="48" applyFont="1" applyFill="1" applyBorder="1" applyAlignment="1" applyProtection="1">
      <alignment horizontal="center"/>
      <protection locked="0"/>
    </xf>
    <xf numFmtId="0" fontId="82" fillId="76" borderId="209" xfId="48" applyFont="1" applyFill="1" applyBorder="1" applyAlignment="1" applyProtection="1">
      <alignment horizontal="center"/>
      <protection locked="0"/>
    </xf>
    <xf numFmtId="0" fontId="83" fillId="45" borderId="355" xfId="48" applyFont="1" applyFill="1" applyBorder="1" applyAlignment="1" applyProtection="1">
      <alignment horizontal="center"/>
      <protection locked="0"/>
    </xf>
    <xf numFmtId="0" fontId="83" fillId="45" borderId="89" xfId="48" applyFont="1" applyFill="1" applyBorder="1" applyAlignment="1" applyProtection="1">
      <alignment horizontal="center"/>
      <protection locked="0"/>
    </xf>
    <xf numFmtId="0" fontId="83" fillId="45" borderId="154" xfId="48" applyFont="1" applyFill="1" applyBorder="1" applyAlignment="1" applyProtection="1">
      <alignment horizontal="center"/>
      <protection locked="0"/>
    </xf>
    <xf numFmtId="0" fontId="83" fillId="45" borderId="209" xfId="48" applyFont="1" applyFill="1" applyBorder="1" applyAlignment="1" applyProtection="1">
      <alignment horizontal="center"/>
      <protection locked="0"/>
    </xf>
    <xf numFmtId="0" fontId="36" fillId="48" borderId="430" xfId="0" applyFont="1" applyFill="1" applyBorder="1" applyAlignment="1">
      <alignment horizontal="center"/>
    </xf>
    <xf numFmtId="49" fontId="5" fillId="48" borderId="430" xfId="0" applyNumberFormat="1" applyFont="1" applyFill="1" applyBorder="1" applyAlignment="1">
      <alignment horizontal="center"/>
    </xf>
    <xf numFmtId="49" fontId="0" fillId="43" borderId="430" xfId="0" applyNumberFormat="1" applyFill="1" applyBorder="1" applyAlignment="1">
      <alignment horizontal="center"/>
    </xf>
    <xf numFmtId="0" fontId="0" fillId="54" borderId="430" xfId="0" applyFill="1" applyBorder="1" applyAlignment="1">
      <alignment horizontal="center"/>
    </xf>
    <xf numFmtId="0" fontId="0" fillId="54" borderId="430" xfId="0" applyFill="1" applyBorder="1" applyAlignment="1">
      <alignment horizontal="center" vertical="top"/>
    </xf>
    <xf numFmtId="0" fontId="0" fillId="43" borderId="430" xfId="0" applyFill="1" applyBorder="1" applyAlignment="1">
      <alignment horizontal="center" vertical="top"/>
    </xf>
    <xf numFmtId="0" fontId="0" fillId="43" borderId="430" xfId="0" applyFill="1" applyBorder="1" applyAlignment="1">
      <alignment horizontal="center"/>
    </xf>
    <xf numFmtId="1" fontId="0" fillId="43" borderId="430" xfId="0" applyNumberFormat="1" applyFill="1" applyBorder="1"/>
    <xf numFmtId="2" fontId="0" fillId="54" borderId="430" xfId="0" applyNumberFormat="1" applyFill="1" applyBorder="1" applyAlignment="1">
      <alignment horizontal="center"/>
    </xf>
    <xf numFmtId="1" fontId="9" fillId="46" borderId="430" xfId="0" applyNumberFormat="1" applyFont="1" applyFill="1" applyBorder="1" applyAlignment="1">
      <alignment horizontal="center" vertical="top"/>
    </xf>
    <xf numFmtId="0" fontId="9" fillId="54" borderId="430" xfId="0" applyFont="1" applyFill="1" applyBorder="1" applyAlignment="1">
      <alignment horizontal="center" vertical="top"/>
    </xf>
    <xf numFmtId="0" fontId="0" fillId="54" borderId="430" xfId="0" applyFill="1" applyBorder="1"/>
    <xf numFmtId="2" fontId="0" fillId="43" borderId="430" xfId="0" applyNumberFormat="1" applyFill="1" applyBorder="1"/>
    <xf numFmtId="2" fontId="0" fillId="43" borderId="430" xfId="0" applyNumberFormat="1" applyFill="1" applyBorder="1" applyAlignment="1">
      <alignment horizontal="center"/>
    </xf>
    <xf numFmtId="2" fontId="0" fillId="54" borderId="430" xfId="0" applyNumberFormat="1" applyFill="1" applyBorder="1"/>
    <xf numFmtId="2" fontId="5" fillId="54" borderId="430" xfId="0" applyNumberFormat="1" applyFont="1" applyFill="1" applyBorder="1"/>
    <xf numFmtId="165" fontId="0" fillId="54" borderId="430" xfId="0" applyNumberFormat="1" applyFill="1" applyBorder="1" applyAlignment="1">
      <alignment horizontal="center"/>
    </xf>
    <xf numFmtId="165" fontId="5" fillId="54" borderId="430" xfId="0" applyNumberFormat="1" applyFont="1" applyFill="1" applyBorder="1"/>
    <xf numFmtId="168" fontId="0" fillId="54" borderId="430" xfId="0" applyNumberFormat="1" applyFill="1" applyBorder="1" applyAlignment="1" applyProtection="1">
      <alignment horizontal="center"/>
      <protection locked="0"/>
    </xf>
    <xf numFmtId="1" fontId="0" fillId="54" borderId="430" xfId="0" applyNumberFormat="1" applyFill="1" applyBorder="1" applyAlignment="1" applyProtection="1">
      <alignment horizontal="center"/>
      <protection locked="0"/>
    </xf>
    <xf numFmtId="168" fontId="0" fillId="46" borderId="430" xfId="0" applyNumberFormat="1" applyFill="1" applyBorder="1" applyAlignment="1" applyProtection="1">
      <alignment horizontal="center"/>
      <protection locked="0"/>
    </xf>
    <xf numFmtId="0" fontId="0" fillId="43" borderId="430" xfId="0" applyFill="1" applyBorder="1" applyAlignment="1" applyProtection="1">
      <alignment horizontal="center"/>
      <protection locked="0"/>
    </xf>
    <xf numFmtId="0" fontId="0" fillId="46" borderId="430" xfId="0" applyFill="1" applyBorder="1" applyAlignment="1" applyProtection="1">
      <alignment horizontal="center"/>
      <protection locked="0"/>
    </xf>
    <xf numFmtId="0" fontId="5" fillId="48" borderId="430" xfId="0" applyFont="1" applyFill="1" applyBorder="1" applyAlignment="1">
      <alignment horizontal="center" vertical="top"/>
    </xf>
    <xf numFmtId="2" fontId="36" fillId="118" borderId="105" xfId="0" applyNumberFormat="1" applyFont="1" applyFill="1" applyBorder="1" applyAlignment="1">
      <alignment horizontal="center" vertical="center"/>
    </xf>
    <xf numFmtId="0" fontId="5" fillId="48" borderId="244" xfId="0" applyFont="1" applyFill="1" applyBorder="1" applyAlignment="1">
      <alignment horizontal="right"/>
    </xf>
    <xf numFmtId="2" fontId="36" fillId="0" borderId="173" xfId="0" applyNumberFormat="1" applyFont="1" applyBorder="1" applyAlignment="1" applyProtection="1">
      <alignment horizontal="center" vertical="center"/>
      <protection locked="0"/>
    </xf>
    <xf numFmtId="0" fontId="36" fillId="44" borderId="105" xfId="0" applyFont="1" applyFill="1" applyBorder="1" applyAlignment="1">
      <alignment horizontal="center" vertical="center"/>
    </xf>
    <xf numFmtId="0" fontId="36" fillId="48" borderId="432" xfId="0" applyFont="1" applyFill="1" applyBorder="1" applyAlignment="1">
      <alignment horizontal="center"/>
    </xf>
    <xf numFmtId="49" fontId="5" fillId="48" borderId="432" xfId="0" applyNumberFormat="1" applyFont="1" applyFill="1" applyBorder="1" applyAlignment="1">
      <alignment horizontal="center"/>
    </xf>
    <xf numFmtId="49" fontId="0" fillId="43" borderId="432" xfId="0" applyNumberFormat="1" applyFill="1" applyBorder="1" applyAlignment="1">
      <alignment horizontal="center"/>
    </xf>
    <xf numFmtId="0" fontId="0" fillId="54" borderId="432" xfId="0" applyFill="1" applyBorder="1" applyAlignment="1">
      <alignment horizontal="center"/>
    </xf>
    <xf numFmtId="0" fontId="0" fillId="54" borderId="432" xfId="0" applyFill="1" applyBorder="1" applyAlignment="1">
      <alignment horizontal="center" vertical="top"/>
    </xf>
    <xf numFmtId="0" fontId="0" fillId="43" borderId="432" xfId="0" applyFill="1" applyBorder="1" applyAlignment="1">
      <alignment horizontal="center" vertical="top"/>
    </xf>
    <xf numFmtId="0" fontId="0" fillId="43" borderId="432" xfId="0" applyFill="1" applyBorder="1" applyAlignment="1">
      <alignment horizontal="center"/>
    </xf>
    <xf numFmtId="1" fontId="0" fillId="43" borderId="432" xfId="0" applyNumberFormat="1" applyFill="1" applyBorder="1"/>
    <xf numFmtId="2" fontId="0" fillId="54" borderId="432" xfId="0" applyNumberFormat="1" applyFill="1" applyBorder="1" applyAlignment="1">
      <alignment horizontal="center"/>
    </xf>
    <xf numFmtId="1" fontId="9" fillId="46" borderId="432" xfId="0" applyNumberFormat="1" applyFont="1" applyFill="1" applyBorder="1" applyAlignment="1">
      <alignment horizontal="center" vertical="top"/>
    </xf>
    <xf numFmtId="0" fontId="9" fillId="54" borderId="432" xfId="0" applyFont="1" applyFill="1" applyBorder="1" applyAlignment="1">
      <alignment horizontal="center" vertical="top"/>
    </xf>
    <xf numFmtId="0" fontId="0" fillId="54" borderId="432" xfId="0" applyFill="1" applyBorder="1"/>
    <xf numFmtId="2" fontId="0" fillId="43" borderId="432" xfId="0" applyNumberFormat="1" applyFill="1" applyBorder="1"/>
    <xf numFmtId="2" fontId="0" fillId="43" borderId="432" xfId="0" applyNumberFormat="1" applyFill="1" applyBorder="1" applyAlignment="1">
      <alignment horizontal="center"/>
    </xf>
    <xf numFmtId="2" fontId="0" fillId="54" borderId="432" xfId="0" applyNumberFormat="1" applyFill="1" applyBorder="1"/>
    <xf numFmtId="2" fontId="5" fillId="54" borderId="432" xfId="0" applyNumberFormat="1" applyFont="1" applyFill="1" applyBorder="1"/>
    <xf numFmtId="165" fontId="0" fillId="54" borderId="432" xfId="0" applyNumberFormat="1" applyFill="1" applyBorder="1" applyAlignment="1">
      <alignment horizontal="center"/>
    </xf>
    <xf numFmtId="165" fontId="5" fillId="54" borderId="432" xfId="0" applyNumberFormat="1" applyFont="1" applyFill="1" applyBorder="1"/>
    <xf numFmtId="168" fontId="0" fillId="54" borderId="432" xfId="0" applyNumberFormat="1" applyFill="1" applyBorder="1" applyAlignment="1" applyProtection="1">
      <alignment horizontal="center"/>
      <protection locked="0"/>
    </xf>
    <xf numFmtId="1" fontId="0" fillId="54" borderId="432" xfId="0" applyNumberFormat="1" applyFill="1" applyBorder="1" applyAlignment="1" applyProtection="1">
      <alignment horizontal="center"/>
      <protection locked="0"/>
    </xf>
    <xf numFmtId="168" fontId="0" fillId="46" borderId="432" xfId="0" applyNumberFormat="1" applyFill="1" applyBorder="1" applyAlignment="1" applyProtection="1">
      <alignment horizontal="center"/>
      <protection locked="0"/>
    </xf>
    <xf numFmtId="0" fontId="0" fillId="43" borderId="432" xfId="0" applyFill="1" applyBorder="1" applyAlignment="1" applyProtection="1">
      <alignment horizontal="center"/>
      <protection locked="0"/>
    </xf>
    <xf numFmtId="0" fontId="0" fillId="46" borderId="432" xfId="0" applyFill="1" applyBorder="1" applyAlignment="1" applyProtection="1">
      <alignment horizontal="center"/>
      <protection locked="0"/>
    </xf>
    <xf numFmtId="0" fontId="5" fillId="48" borderId="432" xfId="0" applyFont="1" applyFill="1" applyBorder="1" applyAlignment="1">
      <alignment horizontal="center" vertical="top"/>
    </xf>
    <xf numFmtId="0" fontId="36" fillId="48" borderId="11" xfId="0" applyFont="1" applyFill="1" applyBorder="1" applyAlignment="1">
      <alignment horizontal="center"/>
    </xf>
    <xf numFmtId="49" fontId="5" fillId="48" borderId="11" xfId="0" applyNumberFormat="1" applyFont="1" applyFill="1" applyBorder="1" applyAlignment="1">
      <alignment horizontal="center"/>
    </xf>
    <xf numFmtId="49" fontId="0" fillId="43" borderId="11" xfId="0" applyNumberFormat="1" applyFill="1" applyBorder="1" applyAlignment="1">
      <alignment horizontal="center"/>
    </xf>
    <xf numFmtId="0" fontId="0" fillId="54" borderId="11" xfId="0" applyFill="1" applyBorder="1" applyAlignment="1">
      <alignment horizontal="center"/>
    </xf>
    <xf numFmtId="0" fontId="0" fillId="54" borderId="11" xfId="0" applyFill="1" applyBorder="1" applyAlignment="1">
      <alignment horizontal="center" vertical="top"/>
    </xf>
    <xf numFmtId="0" fontId="0" fillId="43" borderId="11" xfId="0" applyFill="1" applyBorder="1" applyAlignment="1">
      <alignment horizontal="center" vertical="top"/>
    </xf>
    <xf numFmtId="0" fontId="0" fillId="43" borderId="11" xfId="0" applyFill="1" applyBorder="1" applyAlignment="1">
      <alignment horizontal="center"/>
    </xf>
    <xf numFmtId="1" fontId="0" fillId="43" borderId="11" xfId="0" applyNumberFormat="1" applyFill="1" applyBorder="1"/>
    <xf numFmtId="2" fontId="0" fillId="54" borderId="11" xfId="0" applyNumberFormat="1" applyFill="1" applyBorder="1" applyAlignment="1">
      <alignment horizontal="center"/>
    </xf>
    <xf numFmtId="1" fontId="9" fillId="46" borderId="11" xfId="0" applyNumberFormat="1" applyFont="1" applyFill="1" applyBorder="1" applyAlignment="1">
      <alignment horizontal="center" vertical="top"/>
    </xf>
    <xf numFmtId="0" fontId="9" fillId="54" borderId="11" xfId="0" applyFont="1" applyFill="1" applyBorder="1" applyAlignment="1">
      <alignment horizontal="center" vertical="top"/>
    </xf>
    <xf numFmtId="0" fontId="0" fillId="54" borderId="11" xfId="0" applyFill="1" applyBorder="1"/>
    <xf numFmtId="2" fontId="0" fillId="43" borderId="11" xfId="0" applyNumberFormat="1" applyFill="1" applyBorder="1"/>
    <xf numFmtId="2" fontId="0" fillId="43" borderId="11" xfId="0" applyNumberFormat="1" applyFill="1" applyBorder="1" applyAlignment="1">
      <alignment horizontal="center"/>
    </xf>
    <xf numFmtId="2" fontId="0" fillId="54" borderId="11" xfId="0" applyNumberFormat="1" applyFill="1" applyBorder="1"/>
    <xf numFmtId="2" fontId="5" fillId="54" borderId="11" xfId="0" applyNumberFormat="1" applyFont="1" applyFill="1" applyBorder="1"/>
    <xf numFmtId="165" fontId="0" fillId="54" borderId="11" xfId="0" applyNumberFormat="1" applyFill="1" applyBorder="1" applyAlignment="1">
      <alignment horizontal="center"/>
    </xf>
    <xf numFmtId="165" fontId="5" fillId="54" borderId="11" xfId="0" applyNumberFormat="1" applyFont="1" applyFill="1" applyBorder="1"/>
    <xf numFmtId="168" fontId="0" fillId="54" borderId="11" xfId="0" applyNumberFormat="1" applyFill="1" applyBorder="1" applyAlignment="1" applyProtection="1">
      <alignment horizontal="center"/>
      <protection locked="0"/>
    </xf>
    <xf numFmtId="1" fontId="0" fillId="54" borderId="11" xfId="0" applyNumberFormat="1" applyFill="1" applyBorder="1" applyAlignment="1" applyProtection="1">
      <alignment horizontal="center"/>
      <protection locked="0"/>
    </xf>
    <xf numFmtId="168" fontId="0" fillId="46" borderId="11" xfId="0" applyNumberFormat="1" applyFill="1" applyBorder="1" applyAlignment="1" applyProtection="1">
      <alignment horizontal="center"/>
      <protection locked="0"/>
    </xf>
    <xf numFmtId="0" fontId="0" fillId="43" borderId="11" xfId="0" applyFill="1" applyBorder="1" applyAlignment="1" applyProtection="1">
      <alignment horizontal="center"/>
      <protection locked="0"/>
    </xf>
    <xf numFmtId="0" fontId="133" fillId="58" borderId="432" xfId="0" applyFont="1" applyFill="1" applyBorder="1" applyAlignment="1" applyProtection="1">
      <alignment horizontal="center" vertical="center"/>
      <protection locked="0"/>
    </xf>
    <xf numFmtId="0" fontId="36" fillId="44" borderId="176" xfId="0" applyFont="1" applyFill="1" applyBorder="1" applyAlignment="1">
      <alignment horizontal="center" vertical="center"/>
    </xf>
    <xf numFmtId="0" fontId="36" fillId="94" borderId="98" xfId="0" applyFont="1" applyFill="1" applyBorder="1" applyAlignment="1">
      <alignment horizontal="center" vertical="center"/>
    </xf>
    <xf numFmtId="2" fontId="36" fillId="118" borderId="105" xfId="0" applyNumberFormat="1" applyFont="1" applyFill="1" applyBorder="1" applyAlignment="1" applyProtection="1">
      <alignment horizontal="center" vertical="center"/>
      <protection locked="0"/>
    </xf>
    <xf numFmtId="0" fontId="108" fillId="55" borderId="432" xfId="0" applyFont="1" applyFill="1" applyBorder="1" applyAlignment="1" applyProtection="1">
      <alignment horizontal="center" vertical="center"/>
      <protection locked="0"/>
    </xf>
    <xf numFmtId="0" fontId="36" fillId="48" borderId="100" xfId="0" applyFont="1" applyFill="1" applyBorder="1" applyAlignment="1">
      <alignment horizontal="center" vertical="center"/>
    </xf>
    <xf numFmtId="10" fontId="36" fillId="50" borderId="432" xfId="0" applyNumberFormat="1" applyFont="1" applyFill="1" applyBorder="1" applyAlignment="1" applyProtection="1">
      <alignment horizontal="center" vertical="center"/>
      <protection locked="0"/>
    </xf>
    <xf numFmtId="0" fontId="36" fillId="48" borderId="97" xfId="0" applyFont="1" applyFill="1" applyBorder="1" applyAlignment="1">
      <alignment horizontal="center" vertical="center"/>
    </xf>
    <xf numFmtId="0" fontId="36" fillId="44" borderId="436" xfId="0" applyFont="1" applyFill="1" applyBorder="1" applyAlignment="1">
      <alignment horizontal="center" vertical="center"/>
    </xf>
    <xf numFmtId="2" fontId="36" fillId="0" borderId="436" xfId="0" applyNumberFormat="1" applyFont="1" applyBorder="1" applyAlignment="1" applyProtection="1">
      <alignment horizontal="center" vertical="center"/>
      <protection locked="0"/>
    </xf>
    <xf numFmtId="1" fontId="9" fillId="44" borderId="134" xfId="0" applyNumberFormat="1" applyFont="1" applyFill="1" applyBorder="1" applyAlignment="1" applyProtection="1">
      <alignment horizontal="center"/>
      <protection locked="0"/>
    </xf>
    <xf numFmtId="165" fontId="36" fillId="50" borderId="159" xfId="0" applyNumberFormat="1" applyFont="1" applyFill="1" applyBorder="1" applyAlignment="1" applyProtection="1">
      <alignment horizontal="center" vertical="center"/>
      <protection locked="0"/>
    </xf>
    <xf numFmtId="0" fontId="36" fillId="44" borderId="208" xfId="0" applyFont="1" applyFill="1" applyBorder="1" applyAlignment="1">
      <alignment horizontal="center" vertical="center"/>
    </xf>
    <xf numFmtId="165" fontId="36" fillId="50" borderId="459" xfId="0" applyNumberFormat="1" applyFont="1" applyFill="1" applyBorder="1" applyAlignment="1" applyProtection="1">
      <alignment horizontal="center" vertical="center"/>
      <protection locked="0"/>
    </xf>
    <xf numFmtId="0" fontId="36" fillId="45" borderId="250" xfId="0" applyFont="1" applyFill="1" applyBorder="1" applyAlignment="1">
      <alignment horizontal="center" vertical="center"/>
    </xf>
    <xf numFmtId="0" fontId="36" fillId="94" borderId="160" xfId="0" applyFont="1" applyFill="1" applyBorder="1" applyAlignment="1">
      <alignment horizontal="center" vertical="center"/>
    </xf>
    <xf numFmtId="2" fontId="36" fillId="0" borderId="105" xfId="0" applyNumberFormat="1" applyFont="1" applyBorder="1" applyAlignment="1" applyProtection="1">
      <alignment horizontal="center" vertical="center"/>
      <protection locked="0"/>
    </xf>
    <xf numFmtId="2" fontId="36" fillId="87" borderId="159" xfId="0" applyNumberFormat="1" applyFont="1" applyFill="1" applyBorder="1" applyAlignment="1">
      <alignment horizontal="center" vertical="center"/>
    </xf>
    <xf numFmtId="2" fontId="36" fillId="87" borderId="173" xfId="0" applyNumberFormat="1" applyFont="1" applyFill="1" applyBorder="1" applyAlignment="1">
      <alignment horizontal="center" vertical="center"/>
    </xf>
    <xf numFmtId="0" fontId="36" fillId="76" borderId="250" xfId="0" applyFont="1" applyFill="1" applyBorder="1" applyAlignment="1">
      <alignment horizontal="center" vertical="center"/>
    </xf>
    <xf numFmtId="0" fontId="136" fillId="87" borderId="432" xfId="0" applyFont="1" applyFill="1" applyBorder="1" applyAlignment="1" applyProtection="1">
      <alignment horizontal="center" vertical="center"/>
      <protection locked="0"/>
    </xf>
    <xf numFmtId="0" fontId="134" fillId="77" borderId="432" xfId="0" applyFont="1" applyFill="1" applyBorder="1" applyAlignment="1" applyProtection="1">
      <alignment horizontal="center" vertical="center"/>
      <protection locked="0"/>
    </xf>
    <xf numFmtId="2" fontId="36" fillId="46" borderId="18" xfId="0" applyNumberFormat="1" applyFont="1" applyFill="1" applyBorder="1" applyAlignment="1">
      <alignment horizontal="center" vertical="center"/>
    </xf>
    <xf numFmtId="2" fontId="36" fillId="56" borderId="18" xfId="0" applyNumberFormat="1" applyFont="1" applyFill="1" applyBorder="1" applyAlignment="1">
      <alignment horizontal="center" vertical="center"/>
    </xf>
    <xf numFmtId="0" fontId="36" fillId="46" borderId="250" xfId="0" applyFont="1" applyFill="1" applyBorder="1" applyAlignment="1">
      <alignment horizontal="center" vertical="center"/>
    </xf>
    <xf numFmtId="0" fontId="36" fillId="46" borderId="173" xfId="0" applyFont="1" applyFill="1" applyBorder="1" applyAlignment="1">
      <alignment horizontal="center" vertical="center"/>
    </xf>
    <xf numFmtId="0" fontId="128" fillId="56" borderId="432" xfId="0" applyFont="1" applyFill="1" applyBorder="1" applyAlignment="1" applyProtection="1">
      <alignment horizontal="center" vertical="center"/>
      <protection locked="0"/>
    </xf>
    <xf numFmtId="0" fontId="36" fillId="44" borderId="26" xfId="0" applyFont="1" applyFill="1" applyBorder="1" applyAlignment="1">
      <alignment horizontal="center" vertical="center"/>
    </xf>
    <xf numFmtId="2" fontId="36" fillId="64" borderId="18" xfId="0" applyNumberFormat="1" applyFont="1" applyFill="1" applyBorder="1" applyAlignment="1">
      <alignment horizontal="center" vertical="center"/>
    </xf>
    <xf numFmtId="2" fontId="36" fillId="98" borderId="18" xfId="0" applyNumberFormat="1" applyFont="1" applyFill="1" applyBorder="1" applyAlignment="1">
      <alignment horizontal="center" vertical="center"/>
    </xf>
    <xf numFmtId="0" fontId="36" fillId="54" borderId="250" xfId="0" applyFont="1" applyFill="1" applyBorder="1" applyAlignment="1">
      <alignment horizontal="center" vertical="center"/>
    </xf>
    <xf numFmtId="0" fontId="36" fillId="54" borderId="173" xfId="0" applyFont="1" applyFill="1" applyBorder="1" applyAlignment="1">
      <alignment horizontal="center" vertical="center"/>
    </xf>
    <xf numFmtId="2" fontId="36" fillId="64" borderId="159" xfId="0" applyNumberFormat="1" applyFont="1" applyFill="1" applyBorder="1" applyAlignment="1">
      <alignment horizontal="center" vertical="center"/>
    </xf>
    <xf numFmtId="2" fontId="36" fillId="54" borderId="250" xfId="0" applyNumberFormat="1" applyFont="1" applyFill="1" applyBorder="1" applyAlignment="1">
      <alignment horizontal="center" vertical="center"/>
    </xf>
    <xf numFmtId="2" fontId="36" fillId="64" borderId="173" xfId="0" applyNumberFormat="1" applyFont="1" applyFill="1" applyBorder="1" applyAlignment="1">
      <alignment horizontal="center" vertical="center"/>
    </xf>
    <xf numFmtId="0" fontId="132" fillId="64" borderId="432" xfId="0" applyFont="1" applyFill="1" applyBorder="1" applyAlignment="1" applyProtection="1">
      <alignment horizontal="center" vertical="center"/>
      <protection locked="0"/>
    </xf>
    <xf numFmtId="0" fontId="36" fillId="92" borderId="250" xfId="0" applyFont="1" applyFill="1" applyBorder="1" applyAlignment="1">
      <alignment horizontal="center" vertical="center"/>
    </xf>
    <xf numFmtId="0" fontId="131" fillId="98" borderId="432" xfId="0" applyFont="1" applyFill="1" applyBorder="1" applyAlignment="1" applyProtection="1">
      <alignment horizontal="center" vertical="center"/>
      <protection locked="0"/>
    </xf>
    <xf numFmtId="0" fontId="36" fillId="102" borderId="250" xfId="0" applyFont="1" applyFill="1" applyBorder="1" applyAlignment="1">
      <alignment horizontal="center" vertical="center"/>
    </xf>
    <xf numFmtId="0" fontId="36" fillId="102" borderId="173" xfId="0" applyFont="1" applyFill="1" applyBorder="1" applyAlignment="1">
      <alignment horizontal="center" vertical="center"/>
    </xf>
    <xf numFmtId="0" fontId="139" fillId="109" borderId="432" xfId="0" applyFont="1" applyFill="1" applyBorder="1" applyAlignment="1" applyProtection="1">
      <alignment horizontal="center" vertical="center"/>
      <protection locked="0"/>
    </xf>
    <xf numFmtId="165" fontId="36" fillId="50" borderId="102" xfId="0" applyNumberFormat="1" applyFont="1" applyFill="1" applyBorder="1" applyAlignment="1" applyProtection="1">
      <alignment horizontal="center" vertical="center"/>
      <protection locked="0"/>
    </xf>
    <xf numFmtId="165" fontId="36" fillId="50" borderId="103" xfId="0" applyNumberFormat="1" applyFont="1" applyFill="1" applyBorder="1" applyAlignment="1" applyProtection="1">
      <alignment horizontal="center" vertical="center"/>
      <protection locked="0"/>
    </xf>
    <xf numFmtId="165" fontId="36" fillId="50" borderId="104" xfId="0" applyNumberFormat="1" applyFont="1" applyFill="1" applyBorder="1" applyAlignment="1" applyProtection="1">
      <alignment horizontal="center" vertical="center"/>
      <protection locked="0"/>
    </xf>
    <xf numFmtId="0" fontId="36" fillId="112" borderId="173" xfId="0" applyFont="1" applyFill="1" applyBorder="1" applyAlignment="1">
      <alignment horizontal="center" vertical="center"/>
    </xf>
    <xf numFmtId="0" fontId="129" fillId="113" borderId="26" xfId="0" applyFont="1" applyFill="1" applyBorder="1" applyAlignment="1">
      <alignment horizontal="center" vertical="center"/>
    </xf>
    <xf numFmtId="165" fontId="36" fillId="94" borderId="103" xfId="0" applyNumberFormat="1" applyFont="1" applyFill="1" applyBorder="1" applyAlignment="1">
      <alignment horizontal="center" vertical="center"/>
    </xf>
    <xf numFmtId="165" fontId="36" fillId="94" borderId="104" xfId="0" applyNumberFormat="1" applyFont="1" applyFill="1" applyBorder="1" applyAlignment="1">
      <alignment horizontal="center" vertical="center"/>
    </xf>
    <xf numFmtId="0" fontId="36" fillId="92" borderId="432" xfId="0" applyFont="1" applyFill="1" applyBorder="1" applyAlignment="1">
      <alignment horizontal="center" vertical="center"/>
    </xf>
    <xf numFmtId="165" fontId="36" fillId="50" borderId="103" xfId="0" applyNumberFormat="1" applyFont="1" applyFill="1" applyBorder="1" applyAlignment="1">
      <alignment horizontal="center" vertical="center"/>
    </xf>
    <xf numFmtId="165" fontId="36" fillId="50" borderId="104" xfId="0" applyNumberFormat="1" applyFont="1" applyFill="1" applyBorder="1" applyAlignment="1">
      <alignment horizontal="center" vertical="center"/>
    </xf>
    <xf numFmtId="0" fontId="36" fillId="54" borderId="18" xfId="0" applyFont="1" applyFill="1" applyBorder="1" applyAlignment="1">
      <alignment horizontal="center" vertical="center"/>
    </xf>
    <xf numFmtId="2" fontId="36" fillId="58" borderId="18" xfId="0" applyNumberFormat="1" applyFont="1" applyFill="1" applyBorder="1" applyAlignment="1">
      <alignment horizontal="center" vertical="center"/>
    </xf>
    <xf numFmtId="0" fontId="36" fillId="117" borderId="432" xfId="0" applyFont="1" applyFill="1" applyBorder="1" applyAlignment="1">
      <alignment horizontal="center" vertical="center" wrapText="1"/>
    </xf>
    <xf numFmtId="0" fontId="36" fillId="117" borderId="430" xfId="0" applyFont="1" applyFill="1" applyBorder="1" applyAlignment="1">
      <alignment horizontal="center" vertical="center" wrapText="1"/>
    </xf>
    <xf numFmtId="2" fontId="36" fillId="117" borderId="432" xfId="0" applyNumberFormat="1" applyFont="1" applyFill="1" applyBorder="1" applyAlignment="1">
      <alignment horizontal="center" vertical="center" wrapText="1"/>
    </xf>
    <xf numFmtId="0" fontId="36" fillId="118" borderId="432" xfId="0" applyFont="1" applyFill="1" applyBorder="1" applyAlignment="1">
      <alignment horizontal="center" vertical="center" wrapText="1"/>
    </xf>
    <xf numFmtId="0" fontId="36" fillId="118" borderId="430" xfId="0" applyFont="1" applyFill="1" applyBorder="1" applyAlignment="1">
      <alignment horizontal="center" vertical="center" wrapText="1"/>
    </xf>
    <xf numFmtId="2" fontId="36" fillId="118" borderId="432" xfId="0" applyNumberFormat="1" applyFont="1" applyFill="1" applyBorder="1" applyAlignment="1">
      <alignment horizontal="center" vertical="center" wrapText="1"/>
    </xf>
    <xf numFmtId="0" fontId="36" fillId="130" borderId="432" xfId="0" applyFont="1" applyFill="1" applyBorder="1" applyAlignment="1">
      <alignment horizontal="center" vertical="center" wrapText="1"/>
    </xf>
    <xf numFmtId="0" fontId="36" fillId="130" borderId="430" xfId="0" applyFont="1" applyFill="1" applyBorder="1" applyAlignment="1">
      <alignment horizontal="center" vertical="center" wrapText="1"/>
    </xf>
    <xf numFmtId="2" fontId="36" fillId="130" borderId="432" xfId="0" applyNumberFormat="1" applyFont="1" applyFill="1" applyBorder="1" applyAlignment="1">
      <alignment horizontal="center" vertical="center" wrapText="1"/>
    </xf>
    <xf numFmtId="0" fontId="0" fillId="0" borderId="430" xfId="0" applyBorder="1" applyAlignment="1">
      <alignment horizontal="center" vertical="top" wrapText="1"/>
    </xf>
    <xf numFmtId="0" fontId="0" fillId="45" borderId="430" xfId="0" applyFill="1" applyBorder="1" applyAlignment="1">
      <alignment horizontal="center"/>
    </xf>
    <xf numFmtId="49" fontId="0" fillId="43" borderId="430" xfId="0" applyNumberFormat="1" applyFill="1" applyBorder="1" applyAlignment="1">
      <alignment horizontal="center" vertical="top" wrapText="1"/>
    </xf>
    <xf numFmtId="0" fontId="0" fillId="43" borderId="430" xfId="0" applyFill="1" applyBorder="1" applyAlignment="1">
      <alignment horizontal="center" vertical="top" wrapText="1"/>
    </xf>
    <xf numFmtId="49" fontId="9" fillId="43" borderId="430" xfId="0" applyNumberFormat="1" applyFont="1" applyFill="1" applyBorder="1" applyAlignment="1">
      <alignment horizontal="center"/>
    </xf>
    <xf numFmtId="1" fontId="0" fillId="45" borderId="430" xfId="0" applyNumberFormat="1" applyFill="1" applyBorder="1" applyAlignment="1">
      <alignment horizontal="center"/>
    </xf>
    <xf numFmtId="1" fontId="9" fillId="46" borderId="430" xfId="0" applyNumberFormat="1" applyFont="1" applyFill="1" applyBorder="1" applyAlignment="1">
      <alignment horizontal="center" vertical="top" wrapText="1"/>
    </xf>
    <xf numFmtId="0" fontId="9" fillId="43" borderId="430" xfId="0" applyFont="1" applyFill="1" applyBorder="1" applyAlignment="1">
      <alignment horizontal="center" vertical="top" wrapText="1"/>
    </xf>
    <xf numFmtId="0" fontId="0" fillId="46" borderId="430" xfId="0" applyFill="1" applyBorder="1" applyAlignment="1">
      <alignment horizontal="center" vertical="top" wrapText="1"/>
    </xf>
    <xf numFmtId="0" fontId="5" fillId="48" borderId="430" xfId="0" applyFont="1" applyFill="1" applyBorder="1"/>
    <xf numFmtId="2" fontId="0" fillId="46" borderId="430" xfId="0" applyNumberFormat="1" applyFill="1" applyBorder="1" applyAlignment="1">
      <alignment horizontal="center"/>
    </xf>
    <xf numFmtId="0" fontId="0" fillId="43" borderId="430" xfId="0" applyFill="1" applyBorder="1"/>
    <xf numFmtId="168" fontId="0" fillId="45" borderId="430" xfId="0" applyNumberFormat="1" applyFill="1" applyBorder="1" applyAlignment="1" applyProtection="1">
      <alignment horizontal="center"/>
      <protection locked="0"/>
    </xf>
    <xf numFmtId="1" fontId="0" fillId="45" borderId="430" xfId="0" applyNumberFormat="1" applyFill="1" applyBorder="1" applyAlignment="1" applyProtection="1">
      <alignment horizontal="center"/>
      <protection locked="0"/>
    </xf>
    <xf numFmtId="0" fontId="5" fillId="43" borderId="430" xfId="0" applyFont="1" applyFill="1" applyBorder="1" applyAlignment="1" applyProtection="1">
      <alignment horizontal="center"/>
      <protection locked="0"/>
    </xf>
    <xf numFmtId="0" fontId="58" fillId="44" borderId="436" xfId="0" applyFont="1" applyFill="1" applyBorder="1"/>
    <xf numFmtId="0" fontId="9" fillId="44" borderId="430" xfId="0" applyFont="1" applyFill="1" applyBorder="1" applyAlignment="1">
      <alignment horizontal="center"/>
    </xf>
    <xf numFmtId="167" fontId="9" fillId="44" borderId="430" xfId="0" applyNumberFormat="1" applyFont="1" applyFill="1" applyBorder="1" applyAlignment="1">
      <alignment horizontal="center"/>
    </xf>
    <xf numFmtId="0" fontId="9" fillId="46" borderId="430" xfId="0" applyFont="1" applyFill="1" applyBorder="1"/>
    <xf numFmtId="0" fontId="9" fillId="0" borderId="430" xfId="0" applyFont="1" applyBorder="1" applyAlignment="1">
      <alignment horizontal="center"/>
    </xf>
    <xf numFmtId="0" fontId="58" fillId="59" borderId="133" xfId="49" applyFont="1" applyFill="1" applyBorder="1" applyAlignment="1" applyProtection="1">
      <alignment horizontal="center"/>
      <protection locked="0"/>
    </xf>
    <xf numFmtId="0" fontId="3" fillId="50" borderId="0" xfId="0" applyFont="1" applyFill="1"/>
    <xf numFmtId="0" fontId="0" fillId="46" borderId="68" xfId="0" applyFill="1" applyBorder="1" applyAlignment="1">
      <alignment horizontal="left"/>
    </xf>
    <xf numFmtId="0" fontId="169" fillId="50" borderId="0" xfId="0" applyFont="1" applyFill="1"/>
    <xf numFmtId="0" fontId="0" fillId="46" borderId="172" xfId="0" applyFill="1" applyBorder="1" applyAlignment="1">
      <alignment horizontal="left"/>
    </xf>
    <xf numFmtId="0" fontId="0" fillId="0" borderId="172" xfId="0" applyBorder="1" applyAlignment="1">
      <alignment horizontal="left"/>
    </xf>
    <xf numFmtId="0" fontId="0" fillId="54" borderId="68" xfId="0" applyFill="1" applyBorder="1" applyAlignment="1">
      <alignment horizontal="left"/>
    </xf>
    <xf numFmtId="0" fontId="0" fillId="54" borderId="67" xfId="0" applyFill="1" applyBorder="1" applyAlignment="1">
      <alignment horizontal="left"/>
    </xf>
    <xf numFmtId="0" fontId="0" fillId="0" borderId="68" xfId="0" applyBorder="1" applyAlignment="1">
      <alignment horizontal="left"/>
    </xf>
    <xf numFmtId="0" fontId="0" fillId="0" borderId="17" xfId="0" applyBorder="1" applyAlignment="1">
      <alignment horizontal="left"/>
    </xf>
    <xf numFmtId="0" fontId="0" fillId="0" borderId="0" xfId="0" applyAlignment="1">
      <alignment horizontal="left"/>
    </xf>
    <xf numFmtId="0" fontId="5" fillId="67" borderId="18" xfId="48" applyFill="1" applyBorder="1" applyAlignment="1">
      <alignment horizontal="center"/>
    </xf>
    <xf numFmtId="0" fontId="0" fillId="0" borderId="29" xfId="0" applyBorder="1" applyAlignment="1">
      <alignment horizontal="left"/>
    </xf>
    <xf numFmtId="2" fontId="5" fillId="0" borderId="271" xfId="49" applyNumberFormat="1" applyBorder="1" applyAlignment="1" applyProtection="1">
      <alignment horizontal="center" vertical="center"/>
      <protection locked="0"/>
    </xf>
    <xf numFmtId="2" fontId="5" fillId="0" borderId="279" xfId="49" applyNumberFormat="1" applyBorder="1" applyAlignment="1" applyProtection="1">
      <alignment horizontal="center" vertical="center"/>
      <protection locked="0"/>
    </xf>
    <xf numFmtId="2" fontId="5" fillId="0" borderId="462" xfId="49" applyNumberFormat="1" applyBorder="1" applyAlignment="1" applyProtection="1">
      <alignment horizontal="center" vertical="center"/>
      <protection locked="0"/>
    </xf>
    <xf numFmtId="2" fontId="5" fillId="135" borderId="271" xfId="49" applyNumberFormat="1" applyFill="1" applyBorder="1" applyAlignment="1" applyProtection="1">
      <alignment horizontal="center" vertical="center"/>
      <protection locked="0"/>
    </xf>
    <xf numFmtId="0" fontId="164" fillId="54" borderId="12" xfId="0" applyFont="1" applyFill="1" applyBorder="1" applyAlignment="1">
      <alignment horizontal="center"/>
    </xf>
    <xf numFmtId="0" fontId="36" fillId="117" borderId="463" xfId="0" applyFont="1" applyFill="1" applyBorder="1" applyAlignment="1">
      <alignment horizontal="center" vertical="center" wrapText="1"/>
    </xf>
    <xf numFmtId="0" fontId="36" fillId="117" borderId="464" xfId="0" applyFont="1" applyFill="1" applyBorder="1" applyAlignment="1">
      <alignment horizontal="center" vertical="center" wrapText="1"/>
    </xf>
    <xf numFmtId="2" fontId="36" fillId="117" borderId="463" xfId="0" applyNumberFormat="1" applyFont="1" applyFill="1" applyBorder="1" applyAlignment="1">
      <alignment horizontal="center" vertical="center" wrapText="1"/>
    </xf>
    <xf numFmtId="0" fontId="36" fillId="48" borderId="464" xfId="0" applyFont="1" applyFill="1" applyBorder="1" applyAlignment="1">
      <alignment horizontal="center"/>
    </xf>
    <xf numFmtId="49" fontId="5" fillId="48" borderId="464" xfId="0" applyNumberFormat="1" applyFont="1" applyFill="1" applyBorder="1" applyAlignment="1">
      <alignment horizontal="center"/>
    </xf>
    <xf numFmtId="49" fontId="0" fillId="43" borderId="464" xfId="0" applyNumberFormat="1" applyFill="1" applyBorder="1" applyAlignment="1">
      <alignment horizontal="center"/>
    </xf>
    <xf numFmtId="0" fontId="0" fillId="54" borderId="464" xfId="0" applyFill="1" applyBorder="1" applyAlignment="1">
      <alignment horizontal="center"/>
    </xf>
    <xf numFmtId="0" fontId="0" fillId="54" borderId="464" xfId="0" applyFill="1" applyBorder="1" applyAlignment="1">
      <alignment horizontal="center" vertical="top"/>
    </xf>
    <xf numFmtId="0" fontId="0" fillId="43" borderId="464" xfId="0" applyFill="1" applyBorder="1" applyAlignment="1">
      <alignment horizontal="center" vertical="top"/>
    </xf>
    <xf numFmtId="0" fontId="0" fillId="43" borderId="464" xfId="0" applyFill="1" applyBorder="1" applyAlignment="1">
      <alignment horizontal="center"/>
    </xf>
    <xf numFmtId="1" fontId="0" fillId="43" borderId="464" xfId="0" applyNumberFormat="1" applyFill="1" applyBorder="1"/>
    <xf numFmtId="2" fontId="0" fillId="54" borderId="464" xfId="0" applyNumberFormat="1" applyFill="1" applyBorder="1" applyAlignment="1">
      <alignment horizontal="center"/>
    </xf>
    <xf numFmtId="1" fontId="9" fillId="46" borderId="464" xfId="0" applyNumberFormat="1" applyFont="1" applyFill="1" applyBorder="1" applyAlignment="1">
      <alignment horizontal="center" vertical="top"/>
    </xf>
    <xf numFmtId="0" fontId="9" fillId="54" borderId="464" xfId="0" applyFont="1" applyFill="1" applyBorder="1" applyAlignment="1">
      <alignment horizontal="center" vertical="top"/>
    </xf>
    <xf numFmtId="0" fontId="0" fillId="54" borderId="464" xfId="0" applyFill="1" applyBorder="1"/>
    <xf numFmtId="2" fontId="0" fillId="43" borderId="464" xfId="0" applyNumberFormat="1" applyFill="1" applyBorder="1"/>
    <xf numFmtId="2" fontId="0" fillId="43" borderId="464" xfId="0" applyNumberFormat="1" applyFill="1" applyBorder="1" applyAlignment="1">
      <alignment horizontal="center"/>
    </xf>
    <xf numFmtId="2" fontId="0" fillId="54" borderId="464" xfId="0" applyNumberFormat="1" applyFill="1" applyBorder="1"/>
    <xf numFmtId="2" fontId="5" fillId="54" borderId="464" xfId="0" applyNumberFormat="1" applyFont="1" applyFill="1" applyBorder="1"/>
    <xf numFmtId="165" fontId="0" fillId="54" borderId="464" xfId="0" applyNumberFormat="1" applyFill="1" applyBorder="1" applyAlignment="1">
      <alignment horizontal="center"/>
    </xf>
    <xf numFmtId="165" fontId="5" fillId="54" borderId="464" xfId="0" applyNumberFormat="1" applyFont="1" applyFill="1" applyBorder="1"/>
    <xf numFmtId="168" fontId="0" fillId="54" borderId="464" xfId="0" applyNumberFormat="1" applyFill="1" applyBorder="1" applyAlignment="1" applyProtection="1">
      <alignment horizontal="center"/>
      <protection locked="0"/>
    </xf>
    <xf numFmtId="1" fontId="0" fillId="54" borderId="464" xfId="0" applyNumberFormat="1" applyFill="1" applyBorder="1" applyAlignment="1" applyProtection="1">
      <alignment horizontal="center"/>
      <protection locked="0"/>
    </xf>
    <xf numFmtId="168" fontId="0" fillId="46" borderId="464" xfId="0" applyNumberFormat="1" applyFill="1" applyBorder="1" applyAlignment="1" applyProtection="1">
      <alignment horizontal="center"/>
      <protection locked="0"/>
    </xf>
    <xf numFmtId="0" fontId="0" fillId="43" borderId="464" xfId="0" applyFill="1" applyBorder="1" applyAlignment="1" applyProtection="1">
      <alignment horizontal="center"/>
      <protection locked="0"/>
    </xf>
    <xf numFmtId="0" fontId="0" fillId="46" borderId="464" xfId="0" applyFill="1" applyBorder="1" applyAlignment="1" applyProtection="1">
      <alignment horizontal="center"/>
      <protection locked="0"/>
    </xf>
    <xf numFmtId="0" fontId="5" fillId="48" borderId="464" xfId="0" applyFont="1" applyFill="1" applyBorder="1" applyAlignment="1">
      <alignment horizontal="center" vertical="top"/>
    </xf>
    <xf numFmtId="0" fontId="36" fillId="130" borderId="463" xfId="0" applyFont="1" applyFill="1" applyBorder="1" applyAlignment="1">
      <alignment horizontal="center" vertical="center" wrapText="1"/>
    </xf>
    <xf numFmtId="0" fontId="36" fillId="130" borderId="464" xfId="0" applyFont="1" applyFill="1" applyBorder="1" applyAlignment="1">
      <alignment horizontal="center" vertical="center" wrapText="1"/>
    </xf>
    <xf numFmtId="2" fontId="36" fillId="130" borderId="463" xfId="0" applyNumberFormat="1" applyFont="1" applyFill="1" applyBorder="1" applyAlignment="1">
      <alignment horizontal="center" vertical="center" wrapText="1"/>
    </xf>
    <xf numFmtId="0" fontId="36" fillId="118" borderId="463" xfId="0" applyFont="1" applyFill="1" applyBorder="1" applyAlignment="1">
      <alignment horizontal="center" vertical="center" wrapText="1"/>
    </xf>
    <xf numFmtId="0" fontId="36" fillId="118" borderId="464" xfId="0" applyFont="1" applyFill="1" applyBorder="1" applyAlignment="1">
      <alignment horizontal="center" vertical="center" wrapText="1"/>
    </xf>
    <xf numFmtId="2" fontId="36" fillId="118" borderId="463" xfId="0" applyNumberFormat="1" applyFont="1" applyFill="1" applyBorder="1" applyAlignment="1">
      <alignment horizontal="center" vertical="center" wrapText="1"/>
    </xf>
    <xf numFmtId="9" fontId="0" fillId="54" borderId="430" xfId="0" applyNumberFormat="1" applyFill="1" applyBorder="1" applyAlignment="1">
      <alignment horizontal="center"/>
    </xf>
    <xf numFmtId="9" fontId="0" fillId="54" borderId="464" xfId="0" applyNumberFormat="1" applyFill="1" applyBorder="1" applyAlignment="1">
      <alignment horizontal="center"/>
    </xf>
    <xf numFmtId="0" fontId="36" fillId="48" borderId="465" xfId="0" applyFont="1" applyFill="1" applyBorder="1" applyAlignment="1">
      <alignment horizontal="center"/>
    </xf>
    <xf numFmtId="49" fontId="5" fillId="48" borderId="465" xfId="0" applyNumberFormat="1" applyFont="1" applyFill="1" applyBorder="1" applyAlignment="1">
      <alignment horizontal="center"/>
    </xf>
    <xf numFmtId="49" fontId="0" fillId="43" borderId="465" xfId="0" applyNumberFormat="1" applyFill="1" applyBorder="1" applyAlignment="1">
      <alignment horizontal="center"/>
    </xf>
    <xf numFmtId="0" fontId="0" fillId="54" borderId="465" xfId="0" applyFill="1" applyBorder="1" applyAlignment="1">
      <alignment horizontal="center"/>
    </xf>
    <xf numFmtId="0" fontId="0" fillId="54" borderId="465" xfId="0" applyFill="1" applyBorder="1" applyAlignment="1">
      <alignment horizontal="center" vertical="top"/>
    </xf>
    <xf numFmtId="0" fontId="0" fillId="43" borderId="465" xfId="0" applyFill="1" applyBorder="1" applyAlignment="1">
      <alignment horizontal="center" vertical="top"/>
    </xf>
    <xf numFmtId="0" fontId="0" fillId="43" borderId="465" xfId="0" applyFill="1" applyBorder="1" applyAlignment="1">
      <alignment horizontal="center"/>
    </xf>
    <xf numFmtId="1" fontId="0" fillId="43" borderId="465" xfId="0" applyNumberFormat="1" applyFill="1" applyBorder="1"/>
    <xf numFmtId="2" fontId="0" fillId="54" borderId="465" xfId="0" applyNumberFormat="1" applyFill="1" applyBorder="1" applyAlignment="1">
      <alignment horizontal="center"/>
    </xf>
    <xf numFmtId="1" fontId="9" fillId="46" borderId="465" xfId="0" applyNumberFormat="1" applyFont="1" applyFill="1" applyBorder="1" applyAlignment="1">
      <alignment horizontal="center" vertical="top"/>
    </xf>
    <xf numFmtId="0" fontId="9" fillId="54" borderId="465" xfId="0" applyFont="1" applyFill="1" applyBorder="1" applyAlignment="1">
      <alignment horizontal="center" vertical="top"/>
    </xf>
    <xf numFmtId="0" fontId="0" fillId="54" borderId="465" xfId="0" applyFill="1" applyBorder="1"/>
    <xf numFmtId="2" fontId="0" fillId="43" borderId="465" xfId="0" applyNumberFormat="1" applyFill="1" applyBorder="1"/>
    <xf numFmtId="2" fontId="0" fillId="43" borderId="465" xfId="0" applyNumberFormat="1" applyFill="1" applyBorder="1" applyAlignment="1">
      <alignment horizontal="center"/>
    </xf>
    <xf numFmtId="2" fontId="0" fillId="54" borderId="465" xfId="0" applyNumberFormat="1" applyFill="1" applyBorder="1"/>
    <xf numFmtId="2" fontId="5" fillId="54" borderId="465" xfId="0" applyNumberFormat="1" applyFont="1" applyFill="1" applyBorder="1"/>
    <xf numFmtId="165" fontId="0" fillId="54" borderId="465" xfId="0" applyNumberFormat="1" applyFill="1" applyBorder="1" applyAlignment="1">
      <alignment horizontal="center"/>
    </xf>
    <xf numFmtId="165" fontId="5" fillId="54" borderId="465" xfId="0" applyNumberFormat="1" applyFont="1" applyFill="1" applyBorder="1"/>
    <xf numFmtId="168" fontId="0" fillId="54" borderId="465" xfId="0" applyNumberFormat="1" applyFill="1" applyBorder="1" applyAlignment="1" applyProtection="1">
      <alignment horizontal="center"/>
      <protection locked="0"/>
    </xf>
    <xf numFmtId="1" fontId="0" fillId="54" borderId="465" xfId="0" applyNumberFormat="1" applyFill="1" applyBorder="1" applyAlignment="1" applyProtection="1">
      <alignment horizontal="center"/>
      <protection locked="0"/>
    </xf>
    <xf numFmtId="168" fontId="0" fillId="46" borderId="465" xfId="0" applyNumberFormat="1" applyFill="1" applyBorder="1" applyAlignment="1" applyProtection="1">
      <alignment horizontal="center"/>
      <protection locked="0"/>
    </xf>
    <xf numFmtId="0" fontId="0" fillId="43" borderId="465" xfId="0" applyFill="1" applyBorder="1" applyAlignment="1" applyProtection="1">
      <alignment horizontal="center"/>
      <protection locked="0"/>
    </xf>
    <xf numFmtId="0" fontId="0" fillId="46" borderId="465" xfId="0" applyFill="1" applyBorder="1" applyAlignment="1" applyProtection="1">
      <alignment horizontal="center"/>
      <protection locked="0"/>
    </xf>
    <xf numFmtId="0" fontId="5" fillId="48" borderId="465" xfId="0" applyFont="1" applyFill="1" applyBorder="1" applyAlignment="1">
      <alignment horizontal="center" vertical="top"/>
    </xf>
    <xf numFmtId="0" fontId="36" fillId="48" borderId="18" xfId="0" applyFont="1" applyFill="1" applyBorder="1" applyAlignment="1">
      <alignment horizontal="center" vertical="center"/>
    </xf>
    <xf numFmtId="0" fontId="36" fillId="48" borderId="89" xfId="0" applyFont="1" applyFill="1" applyBorder="1" applyAlignment="1">
      <alignment horizontal="center" vertical="center"/>
    </xf>
    <xf numFmtId="1" fontId="9" fillId="44" borderId="105" xfId="0" applyNumberFormat="1" applyFont="1" applyFill="1" applyBorder="1" applyAlignment="1" applyProtection="1">
      <alignment horizontal="center"/>
      <protection locked="0"/>
    </xf>
    <xf numFmtId="2" fontId="36" fillId="60" borderId="105" xfId="0" applyNumberFormat="1" applyFont="1" applyFill="1" applyBorder="1" applyAlignment="1">
      <alignment horizontal="center" vertical="center"/>
    </xf>
    <xf numFmtId="0" fontId="36" fillId="118" borderId="105" xfId="0" applyFont="1" applyFill="1" applyBorder="1" applyAlignment="1">
      <alignment horizontal="center" vertical="center"/>
    </xf>
    <xf numFmtId="2" fontId="36" fillId="64" borderId="105" xfId="0" applyNumberFormat="1" applyFont="1" applyFill="1" applyBorder="1" applyAlignment="1">
      <alignment horizontal="center" vertical="center"/>
    </xf>
    <xf numFmtId="165" fontId="36" fillId="94" borderId="276" xfId="0" applyNumberFormat="1" applyFont="1" applyFill="1" applyBorder="1" applyAlignment="1">
      <alignment horizontal="center" vertical="center"/>
    </xf>
    <xf numFmtId="1" fontId="9" fillId="44" borderId="176" xfId="0" applyNumberFormat="1" applyFont="1" applyFill="1" applyBorder="1" applyAlignment="1" applyProtection="1">
      <alignment horizontal="center"/>
      <protection locked="0"/>
    </xf>
    <xf numFmtId="2" fontId="36" fillId="64" borderId="276" xfId="0" applyNumberFormat="1" applyFont="1" applyFill="1" applyBorder="1" applyAlignment="1">
      <alignment horizontal="center" vertical="center"/>
    </xf>
    <xf numFmtId="2" fontId="36" fillId="77" borderId="105" xfId="0" applyNumberFormat="1" applyFont="1" applyFill="1" applyBorder="1" applyAlignment="1">
      <alignment horizontal="center" vertical="center"/>
    </xf>
    <xf numFmtId="0" fontId="36" fillId="92" borderId="18" xfId="0" applyFont="1" applyFill="1" applyBorder="1" applyAlignment="1">
      <alignment horizontal="center" vertical="center"/>
    </xf>
    <xf numFmtId="2" fontId="36" fillId="44" borderId="436" xfId="0" applyNumberFormat="1" applyFont="1" applyFill="1" applyBorder="1" applyAlignment="1" applyProtection="1">
      <alignment horizontal="center" vertical="center"/>
      <protection locked="0"/>
    </xf>
    <xf numFmtId="165" fontId="36" fillId="94" borderId="18" xfId="0" applyNumberFormat="1" applyFont="1" applyFill="1" applyBorder="1" applyAlignment="1">
      <alignment horizontal="center" vertical="center"/>
    </xf>
    <xf numFmtId="2" fontId="36" fillId="98" borderId="276" xfId="0" applyNumberFormat="1" applyFont="1" applyFill="1" applyBorder="1" applyAlignment="1">
      <alignment horizontal="center" vertical="center"/>
    </xf>
    <xf numFmtId="0" fontId="36" fillId="46" borderId="436" xfId="0" applyFont="1" applyFill="1" applyBorder="1" applyAlignment="1">
      <alignment horizontal="center" vertical="center"/>
    </xf>
    <xf numFmtId="2" fontId="36" fillId="118" borderId="276" xfId="0" applyNumberFormat="1" applyFont="1" applyFill="1" applyBorder="1" applyAlignment="1" applyProtection="1">
      <alignment horizontal="center" vertical="center"/>
      <protection locked="0"/>
    </xf>
    <xf numFmtId="2" fontId="129" fillId="46" borderId="26" xfId="0" applyNumberFormat="1" applyFont="1" applyFill="1" applyBorder="1" applyAlignment="1">
      <alignment horizontal="center" vertical="center"/>
    </xf>
    <xf numFmtId="2" fontId="36" fillId="48" borderId="466" xfId="0" applyNumberFormat="1" applyFont="1" applyFill="1" applyBorder="1" applyAlignment="1">
      <alignment horizontal="center" vertical="center"/>
    </xf>
    <xf numFmtId="2" fontId="36" fillId="58" borderId="276" xfId="0" applyNumberFormat="1" applyFont="1" applyFill="1" applyBorder="1" applyAlignment="1">
      <alignment horizontal="center" vertical="center"/>
    </xf>
    <xf numFmtId="0" fontId="36" fillId="45" borderId="18" xfId="0" applyFont="1" applyFill="1" applyBorder="1" applyAlignment="1">
      <alignment horizontal="center" vertical="center"/>
    </xf>
    <xf numFmtId="2" fontId="36" fillId="0" borderId="176" xfId="0" applyNumberFormat="1" applyFont="1" applyBorder="1" applyAlignment="1" applyProtection="1">
      <alignment horizontal="center" vertical="center"/>
      <protection locked="0"/>
    </xf>
    <xf numFmtId="2" fontId="36" fillId="45" borderId="276" xfId="0" applyNumberFormat="1" applyFont="1" applyFill="1" applyBorder="1" applyAlignment="1">
      <alignment horizontal="center" vertical="center"/>
    </xf>
    <xf numFmtId="0" fontId="36" fillId="102" borderId="18" xfId="0" applyFont="1" applyFill="1" applyBorder="1" applyAlignment="1">
      <alignment horizontal="center" vertical="center"/>
    </xf>
    <xf numFmtId="2" fontId="36" fillId="102" borderId="276" xfId="0" applyNumberFormat="1" applyFont="1" applyFill="1" applyBorder="1" applyAlignment="1">
      <alignment horizontal="center" vertical="center"/>
    </xf>
    <xf numFmtId="2" fontId="36" fillId="54" borderId="276" xfId="0" applyNumberFormat="1" applyFont="1" applyFill="1" applyBorder="1" applyAlignment="1">
      <alignment horizontal="center" vertical="center"/>
    </xf>
    <xf numFmtId="0" fontId="36" fillId="46" borderId="18" xfId="0" applyFont="1" applyFill="1" applyBorder="1" applyAlignment="1">
      <alignment horizontal="center" vertical="center"/>
    </xf>
    <xf numFmtId="2" fontId="36" fillId="56" borderId="97" xfId="0" applyNumberFormat="1" applyFont="1" applyFill="1" applyBorder="1" applyAlignment="1">
      <alignment horizontal="center" vertical="center"/>
    </xf>
    <xf numFmtId="0" fontId="36" fillId="76" borderId="18" xfId="0" applyFont="1" applyFill="1" applyBorder="1" applyAlignment="1">
      <alignment horizontal="center" vertical="center"/>
    </xf>
    <xf numFmtId="2" fontId="36" fillId="76" borderId="26" xfId="0" applyNumberFormat="1" applyFont="1" applyFill="1" applyBorder="1" applyAlignment="1">
      <alignment horizontal="center" vertical="center"/>
    </xf>
    <xf numFmtId="2" fontId="36" fillId="45" borderId="18" xfId="0" applyNumberFormat="1" applyFont="1" applyFill="1" applyBorder="1" applyAlignment="1">
      <alignment horizontal="center" vertical="center"/>
    </xf>
    <xf numFmtId="2" fontId="36" fillId="58" borderId="97" xfId="0" applyNumberFormat="1" applyFont="1" applyFill="1" applyBorder="1" applyAlignment="1">
      <alignment horizontal="center" vertical="center"/>
    </xf>
    <xf numFmtId="0" fontId="36" fillId="48" borderId="467" xfId="0" applyFont="1" applyFill="1" applyBorder="1" applyAlignment="1">
      <alignment horizontal="center"/>
    </xf>
    <xf numFmtId="49" fontId="5" fillId="48" borderId="467" xfId="0" applyNumberFormat="1" applyFont="1" applyFill="1" applyBorder="1" applyAlignment="1">
      <alignment horizontal="center"/>
    </xf>
    <xf numFmtId="49" fontId="0" fillId="43" borderId="467" xfId="0" applyNumberFormat="1" applyFill="1" applyBorder="1" applyAlignment="1">
      <alignment horizontal="center"/>
    </xf>
    <xf numFmtId="0" fontId="0" fillId="54" borderId="467" xfId="0" applyFill="1" applyBorder="1" applyAlignment="1">
      <alignment horizontal="center"/>
    </xf>
    <xf numFmtId="0" fontId="0" fillId="54" borderId="467" xfId="0" applyFill="1" applyBorder="1" applyAlignment="1">
      <alignment horizontal="center" vertical="top"/>
    </xf>
    <xf numFmtId="0" fontId="0" fillId="43" borderId="467" xfId="0" applyFill="1" applyBorder="1" applyAlignment="1">
      <alignment horizontal="center" vertical="top"/>
    </xf>
    <xf numFmtId="0" fontId="0" fillId="43" borderId="467" xfId="0" applyFill="1" applyBorder="1" applyAlignment="1">
      <alignment horizontal="center"/>
    </xf>
    <xf numFmtId="1" fontId="0" fillId="43" borderId="467" xfId="0" applyNumberFormat="1" applyFill="1" applyBorder="1"/>
    <xf numFmtId="2" fontId="0" fillId="54" borderId="467" xfId="0" applyNumberFormat="1" applyFill="1" applyBorder="1" applyAlignment="1">
      <alignment horizontal="center"/>
    </xf>
    <xf numFmtId="1" fontId="9" fillId="46" borderId="467" xfId="0" applyNumberFormat="1" applyFont="1" applyFill="1" applyBorder="1" applyAlignment="1">
      <alignment horizontal="center" vertical="top"/>
    </xf>
    <xf numFmtId="0" fontId="9" fillId="54" borderId="467" xfId="0" applyFont="1" applyFill="1" applyBorder="1" applyAlignment="1">
      <alignment horizontal="center" vertical="top"/>
    </xf>
    <xf numFmtId="0" fontId="0" fillId="54" borderId="467" xfId="0" applyFill="1" applyBorder="1"/>
    <xf numFmtId="2" fontId="0" fillId="43" borderId="467" xfId="0" applyNumberFormat="1" applyFill="1" applyBorder="1"/>
    <xf numFmtId="2" fontId="0" fillId="43" borderId="467" xfId="0" applyNumberFormat="1" applyFill="1" applyBorder="1" applyAlignment="1">
      <alignment horizontal="center"/>
    </xf>
    <xf numFmtId="2" fontId="0" fillId="54" borderId="467" xfId="0" applyNumberFormat="1" applyFill="1" applyBorder="1"/>
    <xf numFmtId="2" fontId="5" fillId="54" borderId="467" xfId="0" applyNumberFormat="1" applyFont="1" applyFill="1" applyBorder="1"/>
    <xf numFmtId="165" fontId="0" fillId="54" borderId="467" xfId="0" applyNumberFormat="1" applyFill="1" applyBorder="1" applyAlignment="1">
      <alignment horizontal="center"/>
    </xf>
    <xf numFmtId="165" fontId="5" fillId="54" borderId="467" xfId="0" applyNumberFormat="1" applyFont="1" applyFill="1" applyBorder="1"/>
    <xf numFmtId="168" fontId="0" fillId="54" borderId="467" xfId="0" applyNumberFormat="1" applyFill="1" applyBorder="1" applyAlignment="1" applyProtection="1">
      <alignment horizontal="center"/>
      <protection locked="0"/>
    </xf>
    <xf numFmtId="1" fontId="0" fillId="54" borderId="467" xfId="0" applyNumberFormat="1" applyFill="1" applyBorder="1" applyAlignment="1" applyProtection="1">
      <alignment horizontal="center"/>
      <protection locked="0"/>
    </xf>
    <xf numFmtId="168" fontId="0" fillId="46" borderId="467" xfId="0" applyNumberFormat="1" applyFill="1" applyBorder="1" applyAlignment="1" applyProtection="1">
      <alignment horizontal="center"/>
      <protection locked="0"/>
    </xf>
    <xf numFmtId="0" fontId="0" fillId="43" borderId="467" xfId="0" applyFill="1" applyBorder="1" applyAlignment="1" applyProtection="1">
      <alignment horizontal="center"/>
      <protection locked="0"/>
    </xf>
    <xf numFmtId="0" fontId="0" fillId="46" borderId="467" xfId="0" applyFill="1" applyBorder="1" applyAlignment="1" applyProtection="1">
      <alignment horizontal="center"/>
      <protection locked="0"/>
    </xf>
    <xf numFmtId="0" fontId="5" fillId="48" borderId="467" xfId="0" applyFont="1" applyFill="1" applyBorder="1" applyAlignment="1">
      <alignment horizontal="center" vertical="top"/>
    </xf>
    <xf numFmtId="2" fontId="36" fillId="104" borderId="105" xfId="0" applyNumberFormat="1" applyFont="1" applyFill="1" applyBorder="1" applyAlignment="1">
      <alignment horizontal="center" vertical="center"/>
    </xf>
    <xf numFmtId="2" fontId="36" fillId="104" borderId="276" xfId="0" applyNumberFormat="1" applyFont="1" applyFill="1" applyBorder="1" applyAlignment="1">
      <alignment horizontal="center" vertical="center"/>
    </xf>
    <xf numFmtId="2" fontId="36" fillId="98" borderId="105" xfId="0" applyNumberFormat="1" applyFont="1" applyFill="1" applyBorder="1" applyAlignment="1">
      <alignment horizontal="center" vertical="center"/>
    </xf>
    <xf numFmtId="2" fontId="36" fillId="92" borderId="468" xfId="0" applyNumberFormat="1" applyFont="1" applyFill="1" applyBorder="1" applyAlignment="1">
      <alignment horizontal="center" vertical="center"/>
    </xf>
    <xf numFmtId="9" fontId="0" fillId="54" borderId="467" xfId="0" applyNumberFormat="1" applyFill="1" applyBorder="1" applyAlignment="1">
      <alignment horizontal="center"/>
    </xf>
    <xf numFmtId="0" fontId="36" fillId="117" borderId="468" xfId="0" applyFont="1" applyFill="1" applyBorder="1" applyAlignment="1">
      <alignment horizontal="center" vertical="center" wrapText="1"/>
    </xf>
    <xf numFmtId="0" fontId="36" fillId="117" borderId="467" xfId="0" applyFont="1" applyFill="1" applyBorder="1" applyAlignment="1">
      <alignment horizontal="center" vertical="center" wrapText="1"/>
    </xf>
    <xf numFmtId="2" fontId="36" fillId="117" borderId="468" xfId="0" applyNumberFormat="1" applyFont="1" applyFill="1" applyBorder="1" applyAlignment="1">
      <alignment horizontal="center" vertical="center" wrapText="1"/>
    </xf>
    <xf numFmtId="0" fontId="36" fillId="118" borderId="468" xfId="0" applyFont="1" applyFill="1" applyBorder="1" applyAlignment="1">
      <alignment horizontal="center" vertical="center" wrapText="1"/>
    </xf>
    <xf numFmtId="0" fontId="36" fillId="118" borderId="467" xfId="0" applyFont="1" applyFill="1" applyBorder="1" applyAlignment="1">
      <alignment horizontal="center" vertical="center" wrapText="1"/>
    </xf>
    <xf numFmtId="2" fontId="36" fillId="118" borderId="468" xfId="0" applyNumberFormat="1" applyFont="1" applyFill="1" applyBorder="1" applyAlignment="1">
      <alignment horizontal="center" vertical="center" wrapText="1"/>
    </xf>
    <xf numFmtId="0" fontId="36" fillId="130" borderId="468" xfId="0" applyFont="1" applyFill="1" applyBorder="1" applyAlignment="1">
      <alignment horizontal="center" vertical="center" wrapText="1"/>
    </xf>
    <xf numFmtId="0" fontId="36" fillId="130" borderId="467" xfId="0" applyFont="1" applyFill="1" applyBorder="1" applyAlignment="1">
      <alignment horizontal="center" vertical="center" wrapText="1"/>
    </xf>
    <xf numFmtId="2" fontId="36" fillId="130" borderId="468" xfId="0" applyNumberFormat="1" applyFont="1" applyFill="1" applyBorder="1" applyAlignment="1">
      <alignment horizontal="center" vertical="center" wrapText="1"/>
    </xf>
    <xf numFmtId="2" fontId="36" fillId="44" borderId="127" xfId="0" applyNumberFormat="1" applyFont="1" applyFill="1" applyBorder="1" applyAlignment="1">
      <alignment horizontal="center" vertical="center"/>
    </xf>
    <xf numFmtId="0" fontId="171" fillId="44" borderId="12" xfId="41" applyFont="1" applyFill="1" applyBorder="1" applyAlignment="1" applyProtection="1">
      <alignment horizontal="center" vertical="center"/>
      <protection locked="0"/>
    </xf>
    <xf numFmtId="0" fontId="36" fillId="94" borderId="176" xfId="0" applyFont="1" applyFill="1" applyBorder="1" applyAlignment="1">
      <alignment horizontal="center" vertical="center"/>
    </xf>
    <xf numFmtId="0" fontId="36" fillId="94" borderId="104" xfId="0" applyFont="1" applyFill="1" applyBorder="1" applyAlignment="1">
      <alignment horizontal="center" vertical="center"/>
    </xf>
    <xf numFmtId="165" fontId="36" fillId="94" borderId="99" xfId="0" applyNumberFormat="1" applyFont="1" applyFill="1" applyBorder="1" applyAlignment="1">
      <alignment horizontal="center" vertical="center"/>
    </xf>
    <xf numFmtId="165" fontId="36" fillId="94" borderId="100" xfId="0" applyNumberFormat="1" applyFont="1" applyFill="1" applyBorder="1" applyAlignment="1">
      <alignment horizontal="center" vertical="center"/>
    </xf>
    <xf numFmtId="0" fontId="36" fillId="94" borderId="128" xfId="0" applyFont="1" applyFill="1" applyBorder="1" applyAlignment="1">
      <alignment horizontal="center" vertical="center"/>
    </xf>
    <xf numFmtId="165" fontId="36" fillId="94" borderId="102" xfId="0" applyNumberFormat="1" applyFont="1" applyFill="1" applyBorder="1" applyAlignment="1">
      <alignment horizontal="center" vertical="center"/>
    </xf>
    <xf numFmtId="1" fontId="5" fillId="44" borderId="174" xfId="0" applyNumberFormat="1" applyFont="1" applyFill="1" applyBorder="1" applyAlignment="1" applyProtection="1">
      <alignment horizontal="center"/>
      <protection locked="0"/>
    </xf>
    <xf numFmtId="0" fontId="36" fillId="44" borderId="430" xfId="0" applyFont="1" applyFill="1" applyBorder="1" applyAlignment="1">
      <alignment horizontal="center" vertical="center"/>
    </xf>
    <xf numFmtId="2" fontId="36" fillId="55" borderId="84" xfId="0" applyNumberFormat="1" applyFont="1" applyFill="1" applyBorder="1" applyAlignment="1">
      <alignment horizontal="center" vertical="center"/>
    </xf>
    <xf numFmtId="165" fontId="36" fillId="50" borderId="395" xfId="0" applyNumberFormat="1" applyFont="1" applyFill="1" applyBorder="1" applyAlignment="1" applyProtection="1">
      <alignment horizontal="center" vertical="center"/>
      <protection locked="0"/>
    </xf>
    <xf numFmtId="165" fontId="36" fillId="50" borderId="80" xfId="0" applyNumberFormat="1" applyFont="1" applyFill="1" applyBorder="1" applyAlignment="1" applyProtection="1">
      <alignment horizontal="center" vertical="center"/>
      <protection locked="0"/>
    </xf>
    <xf numFmtId="0" fontId="0" fillId="46" borderId="430" xfId="0" applyFill="1" applyBorder="1" applyAlignment="1">
      <alignment horizontal="center"/>
    </xf>
    <xf numFmtId="0" fontId="0" fillId="46" borderId="432" xfId="0" applyFill="1" applyBorder="1" applyAlignment="1">
      <alignment horizontal="center"/>
    </xf>
    <xf numFmtId="0" fontId="0" fillId="46" borderId="11" xfId="0" applyFill="1" applyBorder="1" applyAlignment="1">
      <alignment horizontal="center"/>
    </xf>
    <xf numFmtId="14" fontId="75" fillId="44" borderId="12" xfId="41" applyNumberFormat="1" applyFont="1" applyFill="1" applyBorder="1" applyAlignment="1" applyProtection="1">
      <alignment horizontal="center" vertical="center"/>
      <protection locked="0"/>
    </xf>
    <xf numFmtId="165" fontId="36" fillId="50" borderId="105" xfId="0" applyNumberFormat="1" applyFont="1" applyFill="1" applyBorder="1" applyAlignment="1" applyProtection="1">
      <alignment horizontal="center" vertical="center"/>
      <protection locked="0"/>
    </xf>
    <xf numFmtId="165" fontId="36" fillId="94" borderId="327" xfId="0" applyNumberFormat="1" applyFont="1" applyFill="1" applyBorder="1" applyAlignment="1">
      <alignment horizontal="center" vertical="center"/>
    </xf>
    <xf numFmtId="165" fontId="36" fillId="50" borderId="26" xfId="0" applyNumberFormat="1" applyFont="1" applyFill="1" applyBorder="1" applyAlignment="1" applyProtection="1">
      <alignment horizontal="center" vertical="center"/>
      <protection locked="0"/>
    </xf>
    <xf numFmtId="165" fontId="36" fillId="50" borderId="11" xfId="0" applyNumberFormat="1" applyFont="1" applyFill="1" applyBorder="1" applyAlignment="1" applyProtection="1">
      <alignment horizontal="center" vertical="center"/>
      <protection locked="0"/>
    </xf>
    <xf numFmtId="165" fontId="36" fillId="50" borderId="284" xfId="0" applyNumberFormat="1" applyFont="1" applyFill="1" applyBorder="1" applyAlignment="1" applyProtection="1">
      <alignment horizontal="center" vertical="center"/>
      <protection locked="0"/>
    </xf>
    <xf numFmtId="165" fontId="36" fillId="50" borderId="420" xfId="0" applyNumberFormat="1" applyFont="1" applyFill="1" applyBorder="1" applyAlignment="1" applyProtection="1">
      <alignment horizontal="center" vertical="center"/>
      <protection locked="0"/>
    </xf>
    <xf numFmtId="165" fontId="36" fillId="50" borderId="173" xfId="0" applyNumberFormat="1" applyFont="1" applyFill="1" applyBorder="1" applyAlignment="1" applyProtection="1">
      <alignment horizontal="center" vertical="center"/>
      <protection locked="0"/>
    </xf>
    <xf numFmtId="165" fontId="36" fillId="50" borderId="390" xfId="0" applyNumberFormat="1" applyFont="1" applyFill="1" applyBorder="1" applyAlignment="1" applyProtection="1">
      <alignment horizontal="center" vertical="center"/>
      <protection locked="0"/>
    </xf>
    <xf numFmtId="0" fontId="36" fillId="48" borderId="91" xfId="0" applyFont="1" applyFill="1" applyBorder="1" applyAlignment="1">
      <alignment horizontal="center" vertical="center"/>
    </xf>
    <xf numFmtId="0" fontId="36" fillId="56" borderId="105" xfId="0" applyFont="1" applyFill="1" applyBorder="1" applyAlignment="1" applyProtection="1">
      <alignment horizontal="center" vertical="center"/>
      <protection locked="0"/>
    </xf>
    <xf numFmtId="0" fontId="36" fillId="44" borderId="11" xfId="0" applyFont="1" applyFill="1" applyBorder="1" applyAlignment="1">
      <alignment horizontal="center" vertical="center"/>
    </xf>
    <xf numFmtId="0" fontId="136" fillId="87" borderId="11" xfId="0" applyFont="1" applyFill="1" applyBorder="1" applyAlignment="1" applyProtection="1">
      <alignment horizontal="center" vertical="center"/>
      <protection locked="0"/>
    </xf>
    <xf numFmtId="0" fontId="136" fillId="87" borderId="11" xfId="0" applyFont="1" applyFill="1" applyBorder="1" applyAlignment="1">
      <alignment horizontal="center" vertical="center"/>
    </xf>
    <xf numFmtId="0" fontId="36" fillId="50" borderId="11" xfId="0" applyFont="1" applyFill="1" applyBorder="1" applyAlignment="1" applyProtection="1">
      <alignment horizontal="center" vertical="center"/>
      <protection locked="0"/>
    </xf>
    <xf numFmtId="0" fontId="36" fillId="44" borderId="467" xfId="0" applyFont="1" applyFill="1" applyBorder="1" applyAlignment="1">
      <alignment horizontal="center" vertical="center"/>
    </xf>
    <xf numFmtId="1" fontId="9" fillId="50" borderId="17" xfId="0" applyNumberFormat="1" applyFont="1" applyFill="1" applyBorder="1" applyAlignment="1" applyProtection="1">
      <alignment horizontal="center"/>
      <protection locked="0"/>
    </xf>
    <xf numFmtId="2" fontId="36" fillId="87" borderId="104" xfId="0" applyNumberFormat="1" applyFont="1" applyFill="1" applyBorder="1" applyAlignment="1">
      <alignment horizontal="center" vertical="center"/>
    </xf>
    <xf numFmtId="0" fontId="34" fillId="93" borderId="430" xfId="0" quotePrefix="1" applyFont="1" applyFill="1" applyBorder="1" applyAlignment="1">
      <alignment horizontal="center" vertical="center" wrapText="1"/>
    </xf>
    <xf numFmtId="0" fontId="36" fillId="92" borderId="78" xfId="0" applyFont="1" applyFill="1" applyBorder="1" applyAlignment="1">
      <alignment horizontal="center" vertical="center"/>
    </xf>
    <xf numFmtId="0" fontId="36" fillId="92" borderId="107" xfId="0" applyFont="1" applyFill="1" applyBorder="1" applyAlignment="1">
      <alignment horizontal="center" vertical="center"/>
    </xf>
    <xf numFmtId="0" fontId="36" fillId="92" borderId="106" xfId="0" applyFont="1" applyFill="1" applyBorder="1" applyAlignment="1">
      <alignment horizontal="center" vertical="center"/>
    </xf>
    <xf numFmtId="0" fontId="36" fillId="92" borderId="0" xfId="0" applyFont="1" applyFill="1" applyAlignment="1">
      <alignment horizontal="center" vertical="center"/>
    </xf>
    <xf numFmtId="0" fontId="36" fillId="92" borderId="79" xfId="0" applyFont="1" applyFill="1" applyBorder="1" applyAlignment="1">
      <alignment horizontal="center" vertical="center"/>
    </xf>
    <xf numFmtId="0" fontId="36" fillId="92" borderId="78" xfId="0" applyFont="1" applyFill="1" applyBorder="1" applyAlignment="1" applyProtection="1">
      <alignment horizontal="center" vertical="center"/>
      <protection locked="0"/>
    </xf>
    <xf numFmtId="0" fontId="36" fillId="92" borderId="0" xfId="0" applyFont="1" applyFill="1" applyAlignment="1" applyProtection="1">
      <alignment horizontal="center" vertical="center"/>
      <protection locked="0"/>
    </xf>
    <xf numFmtId="0" fontId="36" fillId="92" borderId="106" xfId="0" applyFont="1" applyFill="1" applyBorder="1" applyAlignment="1" applyProtection="1">
      <alignment horizontal="center" vertical="center"/>
      <protection locked="0"/>
    </xf>
    <xf numFmtId="0" fontId="36" fillId="92" borderId="107" xfId="0" applyFont="1" applyFill="1" applyBorder="1" applyAlignment="1" applyProtection="1">
      <alignment horizontal="center" vertical="center"/>
      <protection locked="0"/>
    </xf>
    <xf numFmtId="0" fontId="36" fillId="92" borderId="17" xfId="0" applyFont="1" applyFill="1" applyBorder="1" applyAlignment="1">
      <alignment horizontal="center" vertical="center"/>
    </xf>
    <xf numFmtId="0" fontId="36" fillId="130" borderId="102" xfId="0" applyFont="1" applyFill="1" applyBorder="1" applyAlignment="1">
      <alignment horizontal="center" vertical="center"/>
    </xf>
    <xf numFmtId="0" fontId="172" fillId="49" borderId="14" xfId="0" applyFont="1" applyFill="1" applyBorder="1" applyAlignment="1">
      <alignment horizontal="center" vertical="center" wrapText="1"/>
    </xf>
    <xf numFmtId="0" fontId="129" fillId="0" borderId="0" xfId="0" applyFont="1" applyAlignment="1">
      <alignment horizontal="center" vertical="center"/>
    </xf>
    <xf numFmtId="0" fontId="0" fillId="43" borderId="11" xfId="0" applyFill="1" applyBorder="1" applyAlignment="1" applyProtection="1">
      <alignment horizontal="center" vertical="top"/>
      <protection locked="0"/>
    </xf>
    <xf numFmtId="0" fontId="0" fillId="43" borderId="11" xfId="0" applyFill="1" applyBorder="1" applyProtection="1">
      <protection locked="0"/>
    </xf>
    <xf numFmtId="168" fontId="5" fillId="44" borderId="181" xfId="0" applyNumberFormat="1" applyFont="1" applyFill="1" applyBorder="1" applyAlignment="1" applyProtection="1">
      <alignment horizontal="center"/>
      <protection locked="0"/>
    </xf>
    <xf numFmtId="0" fontId="0" fillId="43" borderId="430" xfId="0" applyFill="1" applyBorder="1" applyAlignment="1" applyProtection="1">
      <alignment horizontal="center" vertical="top"/>
      <protection locked="0"/>
    </xf>
    <xf numFmtId="0" fontId="0" fillId="43" borderId="430" xfId="0" applyFill="1" applyBorder="1" applyProtection="1">
      <protection locked="0"/>
    </xf>
    <xf numFmtId="49" fontId="5" fillId="48" borderId="471" xfId="48" applyNumberFormat="1" applyFill="1" applyBorder="1" applyAlignment="1">
      <alignment horizontal="center"/>
    </xf>
    <xf numFmtId="49" fontId="5" fillId="48" borderId="68" xfId="48" applyNumberFormat="1" applyFill="1" applyBorder="1" applyAlignment="1">
      <alignment horizontal="center"/>
    </xf>
    <xf numFmtId="49" fontId="5" fillId="48" borderId="477" xfId="48" applyNumberFormat="1" applyFill="1" applyBorder="1" applyAlignment="1">
      <alignment horizontal="center"/>
    </xf>
    <xf numFmtId="0" fontId="5" fillId="48" borderId="142" xfId="48" applyFill="1" applyBorder="1" applyAlignment="1" applyProtection="1">
      <alignment horizontal="center"/>
      <protection locked="0"/>
    </xf>
    <xf numFmtId="0" fontId="5" fillId="48" borderId="143" xfId="48" applyFill="1" applyBorder="1" applyAlignment="1" applyProtection="1">
      <alignment horizontal="center"/>
      <protection locked="0"/>
    </xf>
    <xf numFmtId="0" fontId="5" fillId="48" borderId="142" xfId="48" applyFill="1" applyBorder="1" applyAlignment="1">
      <alignment horizontal="center"/>
    </xf>
    <xf numFmtId="0" fontId="5" fillId="48" borderId="143" xfId="48" applyFill="1" applyBorder="1" applyAlignment="1">
      <alignment horizontal="center"/>
    </xf>
    <xf numFmtId="0" fontId="5" fillId="48" borderId="478" xfId="48" applyFill="1" applyBorder="1" applyAlignment="1" applyProtection="1">
      <alignment horizontal="center"/>
      <protection locked="0"/>
    </xf>
    <xf numFmtId="0" fontId="5" fillId="46" borderId="430" xfId="48" applyFill="1" applyBorder="1" applyAlignment="1" applyProtection="1">
      <alignment horizontal="center"/>
      <protection locked="0"/>
    </xf>
    <xf numFmtId="0" fontId="5" fillId="44" borderId="469" xfId="48" applyFill="1" applyBorder="1" applyAlignment="1">
      <alignment horizontal="center"/>
    </xf>
    <xf numFmtId="0" fontId="5" fillId="44" borderId="24" xfId="48" applyFill="1" applyBorder="1" applyAlignment="1">
      <alignment horizontal="center"/>
    </xf>
    <xf numFmtId="0" fontId="5" fillId="44" borderId="473" xfId="48" applyFill="1" applyBorder="1" applyAlignment="1">
      <alignment horizontal="center"/>
    </xf>
    <xf numFmtId="0" fontId="56" fillId="44" borderId="474" xfId="48" applyFont="1" applyFill="1" applyBorder="1" applyAlignment="1" applyProtection="1">
      <alignment horizontal="center"/>
      <protection locked="0"/>
    </xf>
    <xf numFmtId="0" fontId="56" fillId="44" borderId="147" xfId="48" applyFont="1" applyFill="1" applyBorder="1" applyAlignment="1" applyProtection="1">
      <alignment horizontal="center"/>
      <protection locked="0"/>
    </xf>
    <xf numFmtId="0" fontId="5" fillId="44" borderId="147" xfId="48" applyFill="1" applyBorder="1" applyAlignment="1" applyProtection="1">
      <alignment horizontal="center"/>
      <protection locked="0"/>
    </xf>
    <xf numFmtId="0" fontId="56" fillId="44" borderId="148" xfId="48" applyFont="1" applyFill="1" applyBorder="1" applyAlignment="1" applyProtection="1">
      <alignment horizontal="center"/>
      <protection locked="0"/>
    </xf>
    <xf numFmtId="0" fontId="60" fillId="44" borderId="474" xfId="48" applyFont="1" applyFill="1" applyBorder="1" applyAlignment="1" applyProtection="1">
      <alignment horizontal="center"/>
      <protection locked="0"/>
    </xf>
    <xf numFmtId="0" fontId="60" fillId="44" borderId="147" xfId="48" applyFont="1" applyFill="1" applyBorder="1" applyAlignment="1" applyProtection="1">
      <alignment horizontal="center"/>
      <protection locked="0"/>
    </xf>
    <xf numFmtId="0" fontId="60" fillId="44" borderId="148" xfId="48" applyFont="1" applyFill="1" applyBorder="1" applyAlignment="1" applyProtection="1">
      <alignment horizontal="center"/>
      <protection locked="0"/>
    </xf>
    <xf numFmtId="0" fontId="61" fillId="44" borderId="474" xfId="48" applyFont="1" applyFill="1" applyBorder="1" applyAlignment="1" applyProtection="1">
      <alignment horizontal="center"/>
      <protection locked="0"/>
    </xf>
    <xf numFmtId="0" fontId="61" fillId="44" borderId="147" xfId="48" applyFont="1" applyFill="1" applyBorder="1" applyAlignment="1" applyProtection="1">
      <alignment horizontal="center"/>
      <protection locked="0"/>
    </xf>
    <xf numFmtId="0" fontId="61" fillId="44" borderId="148" xfId="48" applyFont="1" applyFill="1" applyBorder="1" applyAlignment="1" applyProtection="1">
      <alignment horizontal="center"/>
      <protection locked="0"/>
    </xf>
    <xf numFmtId="0" fontId="62" fillId="44" borderId="474" xfId="48" applyFont="1" applyFill="1" applyBorder="1" applyAlignment="1" applyProtection="1">
      <alignment horizontal="center"/>
      <protection locked="0"/>
    </xf>
    <xf numFmtId="0" fontId="62" fillId="44" borderId="147" xfId="48" applyFont="1" applyFill="1" applyBorder="1" applyAlignment="1" applyProtection="1">
      <alignment horizontal="center"/>
      <protection locked="0"/>
    </xf>
    <xf numFmtId="0" fontId="62" fillId="44" borderId="148" xfId="48" applyFont="1" applyFill="1" applyBorder="1" applyAlignment="1" applyProtection="1">
      <alignment horizontal="center"/>
      <protection locked="0"/>
    </xf>
    <xf numFmtId="0" fontId="156" fillId="44" borderId="475" xfId="48" applyFont="1" applyFill="1" applyBorder="1" applyAlignment="1">
      <alignment horizontal="center"/>
    </xf>
    <xf numFmtId="0" fontId="156" fillId="44" borderId="0" xfId="48" applyFont="1" applyFill="1" applyAlignment="1">
      <alignment horizontal="center"/>
    </xf>
    <xf numFmtId="0" fontId="5" fillId="44" borderId="0" xfId="48" applyFill="1" applyAlignment="1">
      <alignment horizontal="center"/>
    </xf>
    <xf numFmtId="0" fontId="156" fillId="44" borderId="17" xfId="48" applyFont="1" applyFill="1" applyBorder="1" applyAlignment="1">
      <alignment horizontal="center"/>
    </xf>
    <xf numFmtId="0" fontId="52" fillId="44" borderId="147" xfId="48" applyFont="1" applyFill="1" applyBorder="1" applyAlignment="1">
      <alignment horizontal="center"/>
    </xf>
    <xf numFmtId="0" fontId="60" fillId="44" borderId="147" xfId="48" applyFont="1" applyFill="1" applyBorder="1" applyAlignment="1">
      <alignment horizontal="center"/>
    </xf>
    <xf numFmtId="0" fontId="50" fillId="44" borderId="474" xfId="48" applyFont="1" applyFill="1" applyBorder="1" applyAlignment="1">
      <alignment horizontal="center"/>
    </xf>
    <xf numFmtId="0" fontId="50" fillId="44" borderId="147" xfId="48" applyFont="1" applyFill="1" applyBorder="1" applyAlignment="1">
      <alignment horizontal="center"/>
    </xf>
    <xf numFmtId="0" fontId="5" fillId="44" borderId="147" xfId="48" applyFill="1" applyBorder="1" applyAlignment="1">
      <alignment horizontal="center"/>
    </xf>
    <xf numFmtId="0" fontId="50" fillId="44" borderId="148" xfId="48" applyFont="1" applyFill="1" applyBorder="1" applyAlignment="1">
      <alignment horizontal="center"/>
    </xf>
    <xf numFmtId="0" fontId="80" fillId="44" borderId="24" xfId="48" applyFont="1" applyFill="1" applyBorder="1" applyAlignment="1">
      <alignment horizontal="center"/>
    </xf>
    <xf numFmtId="0" fontId="80" fillId="44" borderId="469" xfId="48" applyFont="1" applyFill="1" applyBorder="1" applyAlignment="1">
      <alignment horizontal="center"/>
    </xf>
    <xf numFmtId="0" fontId="80" fillId="44" borderId="147" xfId="48" applyFont="1" applyFill="1" applyBorder="1" applyAlignment="1" applyProtection="1">
      <alignment horizontal="center"/>
      <protection locked="0"/>
    </xf>
    <xf numFmtId="0" fontId="56" fillId="44" borderId="24" xfId="48" applyFont="1" applyFill="1" applyBorder="1" applyAlignment="1">
      <alignment horizontal="center"/>
    </xf>
    <xf numFmtId="0" fontId="56" fillId="44" borderId="469" xfId="48" applyFont="1" applyFill="1" applyBorder="1" applyAlignment="1">
      <alignment horizontal="center"/>
    </xf>
    <xf numFmtId="0" fontId="56" fillId="44" borderId="473" xfId="48" applyFont="1" applyFill="1" applyBorder="1" applyAlignment="1">
      <alignment horizontal="center"/>
    </xf>
    <xf numFmtId="0" fontId="60" fillId="44" borderId="469" xfId="48" applyFont="1" applyFill="1" applyBorder="1" applyAlignment="1">
      <alignment horizontal="center"/>
    </xf>
    <xf numFmtId="0" fontId="61" fillId="44" borderId="24" xfId="48" applyFont="1" applyFill="1" applyBorder="1" applyAlignment="1">
      <alignment horizontal="center"/>
    </xf>
    <xf numFmtId="0" fontId="61" fillId="44" borderId="469" xfId="48" applyFont="1" applyFill="1" applyBorder="1" applyAlignment="1">
      <alignment horizontal="center"/>
    </xf>
    <xf numFmtId="0" fontId="61" fillId="44" borderId="473" xfId="48" applyFont="1" applyFill="1" applyBorder="1" applyAlignment="1">
      <alignment horizontal="center"/>
    </xf>
    <xf numFmtId="0" fontId="62" fillId="44" borderId="469" xfId="48" applyFont="1" applyFill="1" applyBorder="1" applyAlignment="1">
      <alignment horizontal="center"/>
    </xf>
    <xf numFmtId="0" fontId="52" fillId="44" borderId="24" xfId="48" applyFont="1" applyFill="1" applyBorder="1" applyAlignment="1">
      <alignment horizontal="center"/>
    </xf>
    <xf numFmtId="0" fontId="52" fillId="44" borderId="469" xfId="48" applyFont="1" applyFill="1" applyBorder="1" applyAlignment="1">
      <alignment horizontal="center"/>
    </xf>
    <xf numFmtId="0" fontId="52" fillId="44" borderId="473" xfId="48" applyFont="1" applyFill="1" applyBorder="1" applyAlignment="1">
      <alignment horizontal="center"/>
    </xf>
    <xf numFmtId="0" fontId="50" fillId="44" borderId="469" xfId="48" applyFont="1" applyFill="1" applyBorder="1" applyAlignment="1">
      <alignment horizontal="center"/>
    </xf>
    <xf numFmtId="0" fontId="80" fillId="44" borderId="473" xfId="48" applyFont="1" applyFill="1" applyBorder="1" applyAlignment="1">
      <alignment horizontal="center"/>
    </xf>
    <xf numFmtId="0" fontId="83" fillId="44" borderId="24" xfId="48" applyFont="1" applyFill="1" applyBorder="1" applyAlignment="1">
      <alignment horizontal="center"/>
    </xf>
    <xf numFmtId="0" fontId="83" fillId="44" borderId="469" xfId="48" applyFont="1" applyFill="1" applyBorder="1" applyAlignment="1">
      <alignment horizontal="center"/>
    </xf>
    <xf numFmtId="0" fontId="83" fillId="44" borderId="473" xfId="48" applyFont="1" applyFill="1" applyBorder="1" applyAlignment="1">
      <alignment horizontal="center"/>
    </xf>
    <xf numFmtId="0" fontId="82" fillId="44" borderId="469" xfId="48" applyFont="1" applyFill="1" applyBorder="1" applyAlignment="1">
      <alignment horizontal="center"/>
    </xf>
    <xf numFmtId="0" fontId="81" fillId="44" borderId="24" xfId="48" applyFont="1" applyFill="1" applyBorder="1" applyAlignment="1">
      <alignment horizontal="center"/>
    </xf>
    <xf numFmtId="0" fontId="81" fillId="44" borderId="469" xfId="48" applyFont="1" applyFill="1" applyBorder="1" applyAlignment="1">
      <alignment horizontal="center"/>
    </xf>
    <xf numFmtId="0" fontId="67" fillId="44" borderId="147" xfId="48" applyFont="1" applyFill="1" applyBorder="1" applyAlignment="1" applyProtection="1">
      <alignment horizontal="center"/>
      <protection locked="0"/>
    </xf>
    <xf numFmtId="0" fontId="67" fillId="44" borderId="148" xfId="48" applyFont="1" applyFill="1" applyBorder="1" applyAlignment="1" applyProtection="1">
      <alignment horizontal="center"/>
      <protection locked="0"/>
    </xf>
    <xf numFmtId="0" fontId="66" fillId="44" borderId="18" xfId="48" applyFont="1" applyFill="1" applyBorder="1" applyAlignment="1" applyProtection="1">
      <alignment horizontal="center"/>
      <protection locked="0"/>
    </xf>
    <xf numFmtId="0" fontId="5" fillId="44" borderId="18" xfId="48" applyFill="1" applyBorder="1" applyAlignment="1" applyProtection="1">
      <alignment horizontal="center"/>
      <protection locked="0"/>
    </xf>
    <xf numFmtId="0" fontId="66" fillId="44" borderId="24" xfId="48" applyFont="1" applyFill="1" applyBorder="1" applyAlignment="1" applyProtection="1">
      <alignment horizontal="center"/>
      <protection locked="0"/>
    </xf>
    <xf numFmtId="0" fontId="68" fillId="44" borderId="18" xfId="48" applyFont="1" applyFill="1" applyBorder="1" applyAlignment="1" applyProtection="1">
      <alignment horizontal="center"/>
      <protection locked="0"/>
    </xf>
    <xf numFmtId="0" fontId="83" fillId="44" borderId="17" xfId="48" applyFont="1" applyFill="1" applyBorder="1" applyAlignment="1">
      <alignment horizontal="center"/>
    </xf>
    <xf numFmtId="0" fontId="83" fillId="44" borderId="470" xfId="48" applyFont="1" applyFill="1" applyBorder="1" applyAlignment="1">
      <alignment horizontal="center"/>
    </xf>
    <xf numFmtId="0" fontId="5" fillId="44" borderId="470" xfId="48" applyFill="1" applyBorder="1" applyAlignment="1">
      <alignment horizontal="center"/>
    </xf>
    <xf numFmtId="0" fontId="83" fillId="44" borderId="475" xfId="48" applyFont="1" applyFill="1" applyBorder="1" applyAlignment="1">
      <alignment horizontal="center"/>
    </xf>
    <xf numFmtId="0" fontId="81" fillId="44" borderId="473" xfId="48" applyFont="1" applyFill="1" applyBorder="1" applyAlignment="1">
      <alignment horizontal="center"/>
    </xf>
    <xf numFmtId="0" fontId="159" fillId="44" borderId="469" xfId="48" applyFont="1" applyFill="1" applyBorder="1" applyAlignment="1">
      <alignment horizontal="center"/>
    </xf>
    <xf numFmtId="0" fontId="160" fillId="44" borderId="24" xfId="48" applyFont="1" applyFill="1" applyBorder="1" applyAlignment="1">
      <alignment horizontal="center"/>
    </xf>
    <xf numFmtId="0" fontId="160" fillId="44" borderId="469" xfId="48" applyFont="1" applyFill="1" applyBorder="1" applyAlignment="1">
      <alignment horizontal="center"/>
    </xf>
    <xf numFmtId="0" fontId="160" fillId="44" borderId="473" xfId="48" applyFont="1" applyFill="1" applyBorder="1" applyAlignment="1">
      <alignment horizontal="center"/>
    </xf>
    <xf numFmtId="0" fontId="68" fillId="44" borderId="469" xfId="48" applyFont="1" applyFill="1" applyBorder="1" applyAlignment="1">
      <alignment horizontal="center"/>
    </xf>
    <xf numFmtId="0" fontId="63" fillId="44" borderId="147" xfId="48" applyFont="1" applyFill="1" applyBorder="1" applyAlignment="1" applyProtection="1">
      <alignment horizontal="center"/>
      <protection locked="0"/>
    </xf>
    <xf numFmtId="0" fontId="64" fillId="44" borderId="473" xfId="48" applyFont="1" applyFill="1" applyBorder="1" applyAlignment="1" applyProtection="1">
      <alignment horizontal="center"/>
      <protection locked="0"/>
    </xf>
    <xf numFmtId="0" fontId="64" fillId="44" borderId="18" xfId="48" applyFont="1" applyFill="1" applyBorder="1" applyAlignment="1" applyProtection="1">
      <alignment horizontal="center"/>
      <protection locked="0"/>
    </xf>
    <xf numFmtId="0" fontId="64" fillId="44" borderId="24" xfId="48" applyFont="1" applyFill="1" applyBorder="1" applyAlignment="1" applyProtection="1">
      <alignment horizontal="center"/>
      <protection locked="0"/>
    </xf>
    <xf numFmtId="0" fontId="161" fillId="44" borderId="24" xfId="48" applyFont="1" applyFill="1" applyBorder="1" applyAlignment="1">
      <alignment horizontal="center"/>
    </xf>
    <xf numFmtId="0" fontId="161" fillId="44" borderId="469" xfId="48" applyFont="1" applyFill="1" applyBorder="1" applyAlignment="1">
      <alignment horizontal="center"/>
    </xf>
    <xf numFmtId="0" fontId="161" fillId="44" borderId="473" xfId="48" applyFont="1" applyFill="1" applyBorder="1" applyAlignment="1">
      <alignment horizontal="center"/>
    </xf>
    <xf numFmtId="0" fontId="64" fillId="44" borderId="474" xfId="48" applyFont="1" applyFill="1" applyBorder="1" applyAlignment="1" applyProtection="1">
      <alignment horizontal="center"/>
      <protection locked="0"/>
    </xf>
    <xf numFmtId="0" fontId="64" fillId="44" borderId="147" xfId="48" applyFont="1" applyFill="1" applyBorder="1" applyAlignment="1" applyProtection="1">
      <alignment horizontal="center"/>
      <protection locked="0"/>
    </xf>
    <xf numFmtId="0" fontId="64" fillId="44" borderId="148" xfId="48" applyFont="1" applyFill="1" applyBorder="1" applyAlignment="1" applyProtection="1">
      <alignment horizontal="center"/>
      <protection locked="0"/>
    </xf>
    <xf numFmtId="0" fontId="65" fillId="44" borderId="147" xfId="48" applyFont="1" applyFill="1" applyBorder="1" applyAlignment="1" applyProtection="1">
      <alignment horizontal="center"/>
      <protection locked="0"/>
    </xf>
    <xf numFmtId="0" fontId="50" fillId="44" borderId="24" xfId="48" applyFont="1" applyFill="1" applyBorder="1" applyAlignment="1">
      <alignment horizontal="center"/>
    </xf>
    <xf numFmtId="0" fontId="50" fillId="44" borderId="473" xfId="48" applyFont="1" applyFill="1" applyBorder="1" applyAlignment="1">
      <alignment horizontal="center"/>
    </xf>
    <xf numFmtId="0" fontId="60" fillId="44" borderId="24" xfId="48" applyFont="1" applyFill="1" applyBorder="1" applyAlignment="1">
      <alignment horizontal="center"/>
    </xf>
    <xf numFmtId="0" fontId="60" fillId="44" borderId="473" xfId="48" applyFont="1" applyFill="1" applyBorder="1" applyAlignment="1">
      <alignment horizontal="center"/>
    </xf>
    <xf numFmtId="0" fontId="62" fillId="44" borderId="24" xfId="48" applyFont="1" applyFill="1" applyBorder="1" applyAlignment="1">
      <alignment horizontal="center"/>
    </xf>
    <xf numFmtId="0" fontId="62" fillId="44" borderId="473" xfId="48" applyFont="1" applyFill="1" applyBorder="1" applyAlignment="1">
      <alignment horizontal="center"/>
    </xf>
    <xf numFmtId="0" fontId="63" fillId="44" borderId="474" xfId="48" applyFont="1" applyFill="1" applyBorder="1" applyAlignment="1" applyProtection="1">
      <alignment horizontal="center"/>
      <protection locked="0"/>
    </xf>
    <xf numFmtId="0" fontId="63" fillId="44" borderId="148" xfId="48" applyFont="1" applyFill="1" applyBorder="1" applyAlignment="1" applyProtection="1">
      <alignment horizontal="center"/>
      <protection locked="0"/>
    </xf>
    <xf numFmtId="0" fontId="65" fillId="44" borderId="474" xfId="48" applyFont="1" applyFill="1" applyBorder="1" applyAlignment="1" applyProtection="1">
      <alignment horizontal="center"/>
      <protection locked="0"/>
    </xf>
    <xf numFmtId="0" fontId="65" fillId="44" borderId="148" xfId="48" applyFont="1" applyFill="1" applyBorder="1" applyAlignment="1" applyProtection="1">
      <alignment horizontal="center"/>
      <protection locked="0"/>
    </xf>
    <xf numFmtId="0" fontId="68" fillId="44" borderId="24" xfId="48" applyFont="1" applyFill="1" applyBorder="1" applyAlignment="1">
      <alignment horizontal="center"/>
    </xf>
    <xf numFmtId="0" fontId="68" fillId="44" borderId="473" xfId="48" applyFont="1" applyFill="1" applyBorder="1" applyAlignment="1">
      <alignment horizontal="center"/>
    </xf>
    <xf numFmtId="0" fontId="67" fillId="44" borderId="474" xfId="48" applyFont="1" applyFill="1" applyBorder="1" applyAlignment="1" applyProtection="1">
      <alignment horizontal="center"/>
      <protection locked="0"/>
    </xf>
    <xf numFmtId="0" fontId="66" fillId="44" borderId="147" xfId="48" applyFont="1" applyFill="1" applyBorder="1" applyAlignment="1" applyProtection="1">
      <alignment horizontal="center"/>
      <protection locked="0"/>
    </xf>
    <xf numFmtId="0" fontId="68" fillId="44" borderId="474" xfId="48" applyFont="1" applyFill="1" applyBorder="1" applyAlignment="1" applyProtection="1">
      <alignment horizontal="center"/>
      <protection locked="0"/>
    </xf>
    <xf numFmtId="0" fontId="68" fillId="44" borderId="147" xfId="48" applyFont="1" applyFill="1" applyBorder="1" applyAlignment="1" applyProtection="1">
      <alignment horizontal="center"/>
      <protection locked="0"/>
    </xf>
    <xf numFmtId="0" fontId="68" fillId="44" borderId="148" xfId="48" applyFont="1" applyFill="1" applyBorder="1" applyAlignment="1" applyProtection="1">
      <alignment horizontal="center"/>
      <protection locked="0"/>
    </xf>
    <xf numFmtId="0" fontId="58" fillId="44" borderId="147" xfId="48" applyFont="1" applyFill="1" applyBorder="1" applyAlignment="1" applyProtection="1">
      <alignment horizontal="center"/>
      <protection locked="0"/>
    </xf>
    <xf numFmtId="0" fontId="66" fillId="44" borderId="474" xfId="48" applyFont="1" applyFill="1" applyBorder="1" applyAlignment="1" applyProtection="1">
      <alignment horizontal="center"/>
      <protection locked="0"/>
    </xf>
    <xf numFmtId="0" fontId="66" fillId="44" borderId="148" xfId="48" applyFont="1" applyFill="1" applyBorder="1" applyAlignment="1" applyProtection="1">
      <alignment horizontal="center"/>
      <protection locked="0"/>
    </xf>
    <xf numFmtId="0" fontId="5" fillId="44" borderId="0" xfId="48" applyFill="1" applyAlignment="1" applyProtection="1">
      <alignment horizontal="center"/>
      <protection locked="0"/>
    </xf>
    <xf numFmtId="0" fontId="57" fillId="44" borderId="469" xfId="48" applyFont="1" applyFill="1" applyBorder="1" applyAlignment="1">
      <alignment horizontal="center"/>
    </xf>
    <xf numFmtId="0" fontId="57" fillId="44" borderId="470" xfId="48" applyFont="1" applyFill="1" applyBorder="1" applyAlignment="1">
      <alignment horizontal="center"/>
    </xf>
    <xf numFmtId="0" fontId="63" fillId="44" borderId="326" xfId="48" applyFont="1" applyFill="1" applyBorder="1" applyAlignment="1" applyProtection="1">
      <alignment horizontal="center"/>
      <protection locked="0"/>
    </xf>
    <xf numFmtId="0" fontId="64" fillId="44" borderId="326" xfId="48" applyFont="1" applyFill="1" applyBorder="1" applyAlignment="1" applyProtection="1">
      <alignment horizontal="center"/>
      <protection locked="0"/>
    </xf>
    <xf numFmtId="0" fontId="65" fillId="44" borderId="326" xfId="48" applyFont="1" applyFill="1" applyBorder="1" applyAlignment="1" applyProtection="1">
      <alignment horizontal="center"/>
      <protection locked="0"/>
    </xf>
    <xf numFmtId="0" fontId="66" fillId="44" borderId="147" xfId="48" applyFont="1" applyFill="1" applyBorder="1" applyAlignment="1">
      <alignment horizontal="center"/>
    </xf>
    <xf numFmtId="0" fontId="66" fillId="44" borderId="148" xfId="48" applyFont="1" applyFill="1" applyBorder="1" applyAlignment="1">
      <alignment horizontal="center"/>
    </xf>
    <xf numFmtId="0" fontId="5" fillId="44" borderId="476" xfId="48" applyFill="1" applyBorder="1" applyAlignment="1">
      <alignment horizontal="center"/>
    </xf>
    <xf numFmtId="0" fontId="5" fillId="44" borderId="17" xfId="48" applyFill="1" applyBorder="1" applyAlignment="1">
      <alignment horizontal="center"/>
    </xf>
    <xf numFmtId="0" fontId="53" fillId="44" borderId="474" xfId="48" applyFont="1" applyFill="1" applyBorder="1" applyAlignment="1" applyProtection="1">
      <alignment horizontal="center"/>
      <protection locked="0"/>
    </xf>
    <xf numFmtId="0" fontId="53" fillId="44" borderId="147" xfId="48" applyFont="1" applyFill="1" applyBorder="1" applyAlignment="1" applyProtection="1">
      <alignment horizontal="center"/>
      <protection locked="0"/>
    </xf>
    <xf numFmtId="0" fontId="53" fillId="44" borderId="148" xfId="48" applyFont="1" applyFill="1" applyBorder="1" applyAlignment="1" applyProtection="1">
      <alignment horizontal="center"/>
      <protection locked="0"/>
    </xf>
    <xf numFmtId="0" fontId="54" fillId="44" borderId="0" xfId="48" applyFont="1" applyFill="1" applyAlignment="1" applyProtection="1">
      <alignment horizontal="center"/>
      <protection locked="0"/>
    </xf>
    <xf numFmtId="0" fontId="54" fillId="44" borderId="17" xfId="48" applyFont="1" applyFill="1" applyBorder="1" applyAlignment="1" applyProtection="1">
      <alignment horizontal="center"/>
      <protection locked="0"/>
    </xf>
    <xf numFmtId="0" fontId="55" fillId="44" borderId="18" xfId="48" applyFont="1" applyFill="1" applyBorder="1" applyAlignment="1" applyProtection="1">
      <alignment horizontal="center"/>
      <protection locked="0"/>
    </xf>
    <xf numFmtId="0" fontId="55" fillId="44" borderId="24" xfId="48" applyFont="1" applyFill="1" applyBorder="1" applyAlignment="1" applyProtection="1">
      <alignment horizontal="center"/>
      <protection locked="0"/>
    </xf>
    <xf numFmtId="0" fontId="67" fillId="44" borderId="147" xfId="48" applyFont="1" applyFill="1" applyBorder="1" applyAlignment="1">
      <alignment horizontal="center"/>
    </xf>
    <xf numFmtId="0" fontId="58" fillId="44" borderId="147" xfId="48" applyFont="1" applyFill="1" applyBorder="1" applyAlignment="1">
      <alignment horizontal="center"/>
    </xf>
    <xf numFmtId="0" fontId="67" fillId="44" borderId="148" xfId="48" applyFont="1" applyFill="1" applyBorder="1" applyAlignment="1">
      <alignment horizontal="center"/>
    </xf>
    <xf numFmtId="0" fontId="36" fillId="0" borderId="473" xfId="0" applyFont="1" applyBorder="1" applyAlignment="1" applyProtection="1">
      <alignment horizontal="center" vertical="center"/>
      <protection locked="0"/>
    </xf>
    <xf numFmtId="2" fontId="36" fillId="60" borderId="477" xfId="0" applyNumberFormat="1" applyFont="1" applyFill="1" applyBorder="1" applyAlignment="1">
      <alignment horizontal="center" vertical="center"/>
    </xf>
    <xf numFmtId="0" fontId="36" fillId="0" borderId="18" xfId="0" applyFont="1" applyBorder="1" applyAlignment="1" applyProtection="1">
      <alignment horizontal="center" vertical="center"/>
      <protection locked="0"/>
    </xf>
    <xf numFmtId="0" fontId="36" fillId="0" borderId="24" xfId="0" applyFont="1" applyBorder="1" applyAlignment="1" applyProtection="1">
      <alignment horizontal="center" vertical="center"/>
      <protection locked="0"/>
    </xf>
    <xf numFmtId="2" fontId="36" fillId="60" borderId="472" xfId="0" applyNumberFormat="1" applyFont="1" applyFill="1" applyBorder="1" applyAlignment="1">
      <alignment horizontal="center" vertical="center"/>
    </xf>
    <xf numFmtId="2" fontId="36" fillId="60" borderId="436" xfId="0" applyNumberFormat="1" applyFont="1" applyFill="1" applyBorder="1" applyAlignment="1">
      <alignment horizontal="center" vertical="center"/>
    </xf>
    <xf numFmtId="2" fontId="36" fillId="60" borderId="68" xfId="0" applyNumberFormat="1" applyFont="1" applyFill="1" applyBorder="1" applyAlignment="1">
      <alignment horizontal="center" vertical="center"/>
    </xf>
    <xf numFmtId="2" fontId="5" fillId="44" borderId="271" xfId="49" applyNumberFormat="1" applyFill="1" applyBorder="1" applyAlignment="1" applyProtection="1">
      <alignment horizontal="center" vertical="center"/>
      <protection locked="0"/>
    </xf>
    <xf numFmtId="2" fontId="5" fillId="44" borderId="462" xfId="49" applyNumberFormat="1" applyFill="1" applyBorder="1" applyAlignment="1" applyProtection="1">
      <alignment horizontal="center" vertical="center"/>
      <protection locked="0"/>
    </xf>
    <xf numFmtId="2" fontId="5" fillId="44" borderId="279" xfId="49" applyNumberFormat="1" applyFill="1" applyBorder="1" applyAlignment="1" applyProtection="1">
      <alignment horizontal="center" vertical="center"/>
      <protection locked="0"/>
    </xf>
    <xf numFmtId="0" fontId="5" fillId="48" borderId="348" xfId="48" applyFill="1" applyBorder="1" applyAlignment="1" applyProtection="1">
      <alignment horizontal="center"/>
      <protection locked="0"/>
    </xf>
    <xf numFmtId="0" fontId="5" fillId="59" borderId="11" xfId="49" applyFill="1" applyBorder="1" applyAlignment="1">
      <alignment horizontal="center"/>
    </xf>
    <xf numFmtId="0" fontId="5" fillId="76" borderId="11" xfId="49" applyFill="1" applyBorder="1" applyAlignment="1">
      <alignment horizontal="center"/>
    </xf>
    <xf numFmtId="0" fontId="5" fillId="77" borderId="11" xfId="49" applyFill="1" applyBorder="1" applyAlignment="1">
      <alignment horizontal="center"/>
    </xf>
    <xf numFmtId="0" fontId="5" fillId="55" borderId="11" xfId="49" applyFill="1" applyBorder="1" applyAlignment="1">
      <alignment horizontal="center"/>
    </xf>
    <xf numFmtId="0" fontId="164" fillId="55" borderId="348" xfId="49" applyFont="1" applyFill="1" applyBorder="1" applyAlignment="1">
      <alignment horizontal="center"/>
    </xf>
    <xf numFmtId="0" fontId="5" fillId="46" borderId="11" xfId="49" applyFill="1" applyBorder="1" applyAlignment="1">
      <alignment horizontal="center"/>
    </xf>
    <xf numFmtId="0" fontId="5" fillId="60" borderId="11" xfId="49" applyFill="1" applyBorder="1" applyAlignment="1">
      <alignment horizontal="center"/>
    </xf>
    <xf numFmtId="0" fontId="5" fillId="56" borderId="11" xfId="49" applyFill="1" applyBorder="1" applyAlignment="1">
      <alignment horizontal="center"/>
    </xf>
    <xf numFmtId="0" fontId="5" fillId="56" borderId="349" xfId="49" applyFill="1" applyBorder="1" applyAlignment="1">
      <alignment horizontal="center"/>
    </xf>
    <xf numFmtId="0" fontId="5" fillId="54" borderId="11" xfId="49" applyFill="1" applyBorder="1" applyAlignment="1">
      <alignment horizontal="center"/>
    </xf>
    <xf numFmtId="0" fontId="5" fillId="61" borderId="11" xfId="49" applyFill="1" applyBorder="1" applyAlignment="1">
      <alignment horizontal="center"/>
    </xf>
    <xf numFmtId="0" fontId="5" fillId="64" borderId="11" xfId="49" applyFill="1" applyBorder="1" applyAlignment="1">
      <alignment horizontal="center"/>
    </xf>
    <xf numFmtId="0" fontId="5" fillId="141" borderId="11" xfId="49" applyFill="1" applyBorder="1" applyAlignment="1">
      <alignment horizontal="center"/>
    </xf>
    <xf numFmtId="0" fontId="5" fillId="141" borderId="349" xfId="49" applyFill="1" applyBorder="1" applyAlignment="1">
      <alignment horizontal="center"/>
    </xf>
    <xf numFmtId="0" fontId="164" fillId="141" borderId="348" xfId="49" applyFont="1" applyFill="1" applyBorder="1" applyAlignment="1">
      <alignment horizontal="center"/>
    </xf>
    <xf numFmtId="49" fontId="5" fillId="59" borderId="11" xfId="49" applyNumberFormat="1" applyFill="1" applyBorder="1" applyAlignment="1">
      <alignment horizontal="center"/>
    </xf>
    <xf numFmtId="49" fontId="5" fillId="76" borderId="11" xfId="49" applyNumberFormat="1" applyFill="1" applyBorder="1" applyAlignment="1">
      <alignment horizontal="center"/>
    </xf>
    <xf numFmtId="49" fontId="5" fillId="77" borderId="11" xfId="49" applyNumberFormat="1" applyFill="1" applyBorder="1" applyAlignment="1">
      <alignment horizontal="center"/>
    </xf>
    <xf numFmtId="49" fontId="5" fillId="55" borderId="11" xfId="49" applyNumberFormat="1" applyFill="1" applyBorder="1" applyAlignment="1">
      <alignment horizontal="center"/>
    </xf>
    <xf numFmtId="49" fontId="164" fillId="55" borderId="348" xfId="49" applyNumberFormat="1" applyFont="1" applyFill="1" applyBorder="1" applyAlignment="1">
      <alignment horizontal="center"/>
    </xf>
    <xf numFmtId="49" fontId="5" fillId="46" borderId="11" xfId="49" applyNumberFormat="1" applyFill="1" applyBorder="1" applyAlignment="1">
      <alignment horizontal="center"/>
    </xf>
    <xf numFmtId="49" fontId="5" fillId="60" borderId="11" xfId="49" applyNumberFormat="1" applyFill="1" applyBorder="1" applyAlignment="1">
      <alignment horizontal="center"/>
    </xf>
    <xf numFmtId="49" fontId="5" fillId="56" borderId="11" xfId="49" applyNumberFormat="1" applyFill="1" applyBorder="1" applyAlignment="1">
      <alignment horizontal="center"/>
    </xf>
    <xf numFmtId="49" fontId="5" fillId="56" borderId="349" xfId="49" applyNumberFormat="1" applyFill="1" applyBorder="1" applyAlignment="1">
      <alignment horizontal="center"/>
    </xf>
    <xf numFmtId="49" fontId="5" fillId="54" borderId="11" xfId="49" applyNumberFormat="1" applyFill="1" applyBorder="1" applyAlignment="1">
      <alignment horizontal="center"/>
    </xf>
    <xf numFmtId="49" fontId="5" fillId="61" borderId="11" xfId="49" applyNumberFormat="1" applyFill="1" applyBorder="1" applyAlignment="1">
      <alignment horizontal="center"/>
    </xf>
    <xf numFmtId="49" fontId="5" fillId="64" borderId="11" xfId="49" applyNumberFormat="1" applyFill="1" applyBorder="1" applyAlignment="1">
      <alignment horizontal="center"/>
    </xf>
    <xf numFmtId="49" fontId="5" fillId="141" borderId="11" xfId="49" applyNumberFormat="1" applyFill="1" applyBorder="1" applyAlignment="1">
      <alignment horizontal="center"/>
    </xf>
    <xf numFmtId="49" fontId="5" fillId="141" borderId="349" xfId="49" applyNumberFormat="1" applyFill="1" applyBorder="1" applyAlignment="1">
      <alignment horizontal="center"/>
    </xf>
    <xf numFmtId="49" fontId="164" fillId="141" borderId="348" xfId="49" applyNumberFormat="1" applyFont="1" applyFill="1" applyBorder="1" applyAlignment="1">
      <alignment horizontal="center"/>
    </xf>
    <xf numFmtId="0" fontId="5" fillId="44" borderId="126" xfId="49" applyFill="1" applyBorder="1" applyAlignment="1" applyProtection="1">
      <alignment horizontal="center" vertical="center"/>
      <protection locked="0"/>
    </xf>
    <xf numFmtId="0" fontId="5" fillId="44" borderId="127" xfId="49" applyFill="1" applyBorder="1" applyAlignment="1" applyProtection="1">
      <alignment horizontal="center" vertical="center"/>
      <protection locked="0"/>
    </xf>
    <xf numFmtId="0" fontId="5" fillId="44" borderId="208" xfId="49" applyFill="1" applyBorder="1" applyAlignment="1" applyProtection="1">
      <alignment horizontal="center" vertical="center"/>
      <protection locked="0"/>
    </xf>
    <xf numFmtId="0" fontId="5" fillId="44" borderId="375" xfId="49" applyFill="1" applyBorder="1" applyAlignment="1" applyProtection="1">
      <alignment horizontal="center" vertical="center"/>
      <protection locked="0"/>
    </xf>
    <xf numFmtId="0" fontId="5" fillId="44" borderId="400" xfId="49" applyFill="1" applyBorder="1" applyAlignment="1" applyProtection="1">
      <alignment horizontal="center" vertical="center"/>
      <protection locked="0"/>
    </xf>
    <xf numFmtId="0" fontId="5" fillId="44" borderId="102" xfId="49" applyFill="1" applyBorder="1" applyAlignment="1" applyProtection="1">
      <alignment horizontal="center" vertical="center"/>
      <protection locked="0"/>
    </xf>
    <xf numFmtId="0" fontId="5" fillId="44" borderId="12" xfId="0" applyFont="1" applyFill="1" applyBorder="1"/>
    <xf numFmtId="0" fontId="173" fillId="50" borderId="0" xfId="0" applyFont="1" applyFill="1"/>
    <xf numFmtId="0" fontId="173" fillId="50" borderId="21" xfId="0" applyFont="1" applyFill="1" applyBorder="1"/>
    <xf numFmtId="0" fontId="52" fillId="48" borderId="471" xfId="49" applyFont="1" applyFill="1" applyBorder="1" applyAlignment="1">
      <alignment horizontal="center" vertical="top" wrapText="1"/>
    </xf>
    <xf numFmtId="0" fontId="174" fillId="59" borderId="133" xfId="49" applyFont="1" applyFill="1" applyBorder="1" applyAlignment="1" applyProtection="1">
      <alignment horizontal="center"/>
      <protection locked="0"/>
    </xf>
    <xf numFmtId="0" fontId="174" fillId="59" borderId="136" xfId="49" applyFont="1" applyFill="1" applyBorder="1" applyAlignment="1" applyProtection="1">
      <alignment horizontal="center"/>
      <protection locked="0"/>
    </xf>
    <xf numFmtId="0" fontId="82" fillId="76" borderId="471" xfId="49" applyFont="1" applyFill="1" applyBorder="1" applyAlignment="1">
      <alignment horizontal="center" vertical="top" wrapText="1"/>
    </xf>
    <xf numFmtId="0" fontId="81" fillId="77" borderId="471" xfId="49" applyFont="1" applyFill="1" applyBorder="1" applyAlignment="1">
      <alignment horizontal="center" vertical="top" wrapText="1"/>
    </xf>
    <xf numFmtId="0" fontId="165" fillId="55" borderId="471" xfId="49" applyFont="1" applyFill="1" applyBorder="1" applyAlignment="1">
      <alignment horizontal="center" vertical="top" wrapText="1"/>
    </xf>
    <xf numFmtId="0" fontId="164" fillId="58" borderId="471" xfId="49" applyFont="1" applyFill="1" applyBorder="1" applyAlignment="1">
      <alignment horizontal="center" vertical="top" wrapText="1"/>
    </xf>
    <xf numFmtId="0" fontId="60" fillId="46" borderId="471" xfId="49" applyFont="1" applyFill="1" applyBorder="1" applyAlignment="1">
      <alignment horizontal="center" vertical="top" wrapText="1"/>
    </xf>
    <xf numFmtId="0" fontId="61" fillId="60" borderId="471" xfId="49" applyFont="1" applyFill="1" applyBorder="1" applyAlignment="1">
      <alignment horizontal="center" vertical="top" wrapText="1"/>
    </xf>
    <xf numFmtId="0" fontId="53" fillId="59" borderId="68" xfId="49" applyFont="1" applyFill="1" applyBorder="1" applyAlignment="1">
      <alignment horizontal="center" vertical="top" wrapText="1"/>
    </xf>
    <xf numFmtId="0" fontId="53" fillId="59" borderId="471" xfId="49" applyFont="1" applyFill="1" applyBorder="1" applyAlignment="1">
      <alignment horizontal="center" vertical="top" wrapText="1"/>
    </xf>
    <xf numFmtId="0" fontId="5" fillId="59" borderId="471" xfId="49" applyFill="1" applyBorder="1" applyAlignment="1">
      <alignment horizontal="center" vertical="top" wrapText="1"/>
    </xf>
    <xf numFmtId="0" fontId="56" fillId="54" borderId="68" xfId="49" applyFont="1" applyFill="1" applyBorder="1" applyAlignment="1">
      <alignment horizontal="center" vertical="top" wrapText="1"/>
    </xf>
    <xf numFmtId="0" fontId="56" fillId="54" borderId="471" xfId="49" applyFont="1" applyFill="1" applyBorder="1" applyAlignment="1">
      <alignment horizontal="center" vertical="top" wrapText="1"/>
    </xf>
    <xf numFmtId="0" fontId="5" fillId="54" borderId="471" xfId="49" applyFill="1" applyBorder="1" applyAlignment="1">
      <alignment horizontal="center" vertical="top" wrapText="1"/>
    </xf>
    <xf numFmtId="0" fontId="57" fillId="61" borderId="68" xfId="49" applyFont="1" applyFill="1" applyBorder="1" applyAlignment="1">
      <alignment horizontal="center" vertical="top" wrapText="1"/>
    </xf>
    <xf numFmtId="0" fontId="57" fillId="61" borderId="471" xfId="49" applyFont="1" applyFill="1" applyBorder="1" applyAlignment="1">
      <alignment horizontal="center" vertical="top" wrapText="1"/>
    </xf>
    <xf numFmtId="0" fontId="5" fillId="61" borderId="471" xfId="49" applyFill="1" applyBorder="1" applyAlignment="1">
      <alignment horizontal="center" vertical="top" wrapText="1"/>
    </xf>
    <xf numFmtId="0" fontId="59" fillId="64" borderId="68" xfId="49" applyFont="1" applyFill="1" applyBorder="1" applyAlignment="1">
      <alignment horizontal="center" vertical="top" wrapText="1"/>
    </xf>
    <xf numFmtId="0" fontId="59" fillId="64" borderId="471" xfId="49" applyFont="1" applyFill="1" applyBorder="1" applyAlignment="1">
      <alignment horizontal="center" vertical="top" wrapText="1"/>
    </xf>
    <xf numFmtId="0" fontId="5" fillId="64" borderId="471" xfId="49" applyFill="1" applyBorder="1" applyAlignment="1">
      <alignment horizontal="center" vertical="top" wrapText="1"/>
    </xf>
    <xf numFmtId="0" fontId="128" fillId="56" borderId="18" xfId="0" applyFont="1" applyFill="1" applyBorder="1" applyAlignment="1" applyProtection="1">
      <alignment horizontal="center" vertical="center"/>
      <protection locked="0"/>
    </xf>
    <xf numFmtId="0" fontId="146" fillId="50" borderId="436" xfId="0" applyFont="1" applyFill="1" applyBorder="1" applyAlignment="1">
      <alignment vertical="center"/>
    </xf>
    <xf numFmtId="0" fontId="36" fillId="60" borderId="472" xfId="0" applyFont="1" applyFill="1" applyBorder="1" applyAlignment="1">
      <alignment horizontal="center" vertical="center"/>
    </xf>
    <xf numFmtId="168" fontId="5" fillId="44" borderId="479" xfId="0" applyNumberFormat="1" applyFont="1" applyFill="1" applyBorder="1" applyAlignment="1" applyProtection="1">
      <alignment horizontal="center"/>
      <protection locked="0"/>
    </xf>
    <xf numFmtId="168" fontId="5" fillId="44" borderId="180" xfId="0" applyNumberFormat="1" applyFont="1" applyFill="1" applyBorder="1" applyAlignment="1" applyProtection="1">
      <alignment horizontal="center"/>
      <protection locked="0"/>
    </xf>
    <xf numFmtId="168" fontId="5" fillId="44" borderId="480" xfId="0" applyNumberFormat="1" applyFont="1" applyFill="1" applyBorder="1" applyAlignment="1" applyProtection="1">
      <alignment horizontal="center"/>
      <protection locked="0"/>
    </xf>
    <xf numFmtId="0" fontId="0" fillId="43" borderId="471" xfId="0" applyFill="1" applyBorder="1" applyAlignment="1" applyProtection="1">
      <alignment horizontal="center"/>
      <protection locked="0"/>
    </xf>
    <xf numFmtId="0" fontId="9" fillId="44" borderId="76" xfId="0" applyFont="1" applyFill="1" applyBorder="1" applyAlignment="1" applyProtection="1">
      <alignment horizontal="center"/>
      <protection locked="0"/>
    </xf>
    <xf numFmtId="0" fontId="9" fillId="44" borderId="94" xfId="0" applyFont="1" applyFill="1" applyBorder="1" applyAlignment="1" applyProtection="1">
      <alignment horizontal="center"/>
      <protection locked="0"/>
    </xf>
    <xf numFmtId="0" fontId="9" fillId="44" borderId="93" xfId="0" applyFont="1" applyFill="1" applyBorder="1" applyProtection="1">
      <protection locked="0"/>
    </xf>
    <xf numFmtId="0" fontId="9" fillId="44" borderId="76" xfId="0" applyFont="1" applyFill="1" applyBorder="1" applyProtection="1">
      <protection locked="0"/>
    </xf>
    <xf numFmtId="0" fontId="9" fillId="44" borderId="93" xfId="0" applyFont="1" applyFill="1" applyBorder="1" applyAlignment="1" applyProtection="1">
      <alignment horizontal="center"/>
      <protection locked="0"/>
    </xf>
    <xf numFmtId="0" fontId="9" fillId="44" borderId="94" xfId="0" applyFont="1" applyFill="1" applyBorder="1" applyProtection="1">
      <protection locked="0"/>
    </xf>
    <xf numFmtId="0" fontId="5" fillId="44" borderId="93" xfId="0" applyFont="1" applyFill="1" applyBorder="1" applyAlignment="1" applyProtection="1">
      <alignment horizontal="center"/>
      <protection locked="0"/>
    </xf>
    <xf numFmtId="0" fontId="9" fillId="44" borderId="71" xfId="0" applyFont="1" applyFill="1" applyBorder="1" applyAlignment="1" applyProtection="1">
      <alignment horizontal="center"/>
      <protection locked="0"/>
    </xf>
    <xf numFmtId="0" fontId="9" fillId="44" borderId="73" xfId="0" applyFont="1" applyFill="1" applyBorder="1" applyAlignment="1" applyProtection="1">
      <alignment horizontal="center"/>
      <protection locked="0"/>
    </xf>
    <xf numFmtId="0" fontId="9" fillId="44" borderId="84" xfId="0" applyFont="1" applyFill="1" applyBorder="1" applyAlignment="1" applyProtection="1">
      <alignment horizontal="center"/>
      <protection locked="0"/>
    </xf>
    <xf numFmtId="0" fontId="9" fillId="44" borderId="97" xfId="0" applyFont="1" applyFill="1" applyBorder="1" applyAlignment="1" applyProtection="1">
      <alignment horizontal="center"/>
      <protection locked="0"/>
    </xf>
    <xf numFmtId="0" fontId="9" fillId="44" borderId="159" xfId="0" applyFont="1" applyFill="1" applyBorder="1" applyAlignment="1" applyProtection="1">
      <alignment horizontal="center"/>
      <protection locked="0"/>
    </xf>
    <xf numFmtId="0" fontId="9" fillId="44" borderId="481" xfId="0" applyFont="1" applyFill="1" applyBorder="1" applyAlignment="1" applyProtection="1">
      <alignment horizontal="center"/>
      <protection locked="0"/>
    </xf>
    <xf numFmtId="0" fontId="9" fillId="44" borderId="482" xfId="0" applyFont="1" applyFill="1" applyBorder="1" applyAlignment="1" applyProtection="1">
      <alignment horizontal="center"/>
      <protection locked="0"/>
    </xf>
    <xf numFmtId="0" fontId="9" fillId="43" borderId="71" xfId="0" applyFont="1" applyFill="1" applyBorder="1" applyAlignment="1" applyProtection="1">
      <alignment horizontal="center"/>
      <protection locked="0"/>
    </xf>
    <xf numFmtId="0" fontId="9" fillId="43" borderId="159" xfId="0" applyFont="1" applyFill="1" applyBorder="1" applyAlignment="1" applyProtection="1">
      <alignment horizontal="center"/>
      <protection locked="0"/>
    </xf>
    <xf numFmtId="0" fontId="9" fillId="43" borderId="18" xfId="0" applyFont="1" applyFill="1" applyBorder="1" applyAlignment="1" applyProtection="1">
      <alignment horizontal="center"/>
      <protection locked="0"/>
    </xf>
    <xf numFmtId="0" fontId="9" fillId="43" borderId="97" xfId="0" applyFont="1" applyFill="1" applyBorder="1" applyAlignment="1" applyProtection="1">
      <alignment horizontal="center"/>
      <protection locked="0"/>
    </xf>
    <xf numFmtId="0" fontId="9" fillId="43" borderId="73" xfId="0" applyFont="1" applyFill="1" applyBorder="1" applyAlignment="1" applyProtection="1">
      <alignment horizontal="center"/>
      <protection locked="0"/>
    </xf>
    <xf numFmtId="0" fontId="9" fillId="43" borderId="84" xfId="0" applyFont="1" applyFill="1" applyBorder="1" applyAlignment="1" applyProtection="1">
      <alignment horizontal="center"/>
      <protection locked="0"/>
    </xf>
    <xf numFmtId="0" fontId="0" fillId="43" borderId="68" xfId="0" applyFill="1" applyBorder="1" applyAlignment="1" applyProtection="1">
      <alignment horizontal="center"/>
      <protection locked="0"/>
    </xf>
    <xf numFmtId="164" fontId="9" fillId="58" borderId="483" xfId="0" applyNumberFormat="1" applyFont="1" applyFill="1" applyBorder="1" applyAlignment="1">
      <alignment horizontal="center"/>
    </xf>
    <xf numFmtId="164" fontId="9" fillId="58" borderId="484" xfId="0" applyNumberFormat="1" applyFont="1" applyFill="1" applyBorder="1" applyAlignment="1">
      <alignment horizontal="center"/>
    </xf>
    <xf numFmtId="164" fontId="9" fillId="58" borderId="485" xfId="0" applyNumberFormat="1" applyFont="1" applyFill="1" applyBorder="1" applyAlignment="1">
      <alignment horizontal="center"/>
    </xf>
    <xf numFmtId="164" fontId="9" fillId="75" borderId="486" xfId="0" applyNumberFormat="1" applyFont="1" applyFill="1" applyBorder="1" applyAlignment="1">
      <alignment horizontal="center"/>
    </xf>
    <xf numFmtId="164" fontId="9" fillId="75" borderId="484" xfId="0" applyNumberFormat="1" applyFont="1" applyFill="1" applyBorder="1" applyAlignment="1">
      <alignment horizontal="center"/>
    </xf>
    <xf numFmtId="164" fontId="9" fillId="75" borderId="485" xfId="0" applyNumberFormat="1" applyFont="1" applyFill="1" applyBorder="1" applyAlignment="1">
      <alignment horizontal="center"/>
    </xf>
    <xf numFmtId="164" fontId="9" fillId="48" borderId="486" xfId="0" applyNumberFormat="1" applyFont="1" applyFill="1" applyBorder="1" applyAlignment="1">
      <alignment horizontal="center"/>
    </xf>
    <xf numFmtId="164" fontId="9" fillId="48" borderId="484" xfId="0" applyNumberFormat="1" applyFont="1" applyFill="1" applyBorder="1" applyAlignment="1">
      <alignment horizontal="center"/>
    </xf>
    <xf numFmtId="164" fontId="9" fillId="48" borderId="485" xfId="0" applyNumberFormat="1" applyFont="1" applyFill="1" applyBorder="1" applyAlignment="1">
      <alignment horizontal="center"/>
    </xf>
    <xf numFmtId="164" fontId="9" fillId="58" borderId="486" xfId="0" applyNumberFormat="1" applyFont="1" applyFill="1" applyBorder="1" applyAlignment="1">
      <alignment horizontal="center"/>
    </xf>
    <xf numFmtId="164" fontId="9" fillId="75" borderId="483" xfId="0" applyNumberFormat="1" applyFont="1" applyFill="1" applyBorder="1" applyAlignment="1">
      <alignment horizontal="center"/>
    </xf>
    <xf numFmtId="164" fontId="9" fillId="48" borderId="483" xfId="0" applyNumberFormat="1" applyFont="1" applyFill="1" applyBorder="1" applyAlignment="1">
      <alignment horizontal="center"/>
    </xf>
    <xf numFmtId="164" fontId="9" fillId="56" borderId="483" xfId="0" applyNumberFormat="1" applyFont="1" applyFill="1" applyBorder="1" applyAlignment="1">
      <alignment horizontal="center"/>
    </xf>
    <xf numFmtId="164" fontId="9" fillId="56" borderId="484" xfId="0" applyNumberFormat="1" applyFont="1" applyFill="1" applyBorder="1" applyAlignment="1">
      <alignment horizontal="center"/>
    </xf>
    <xf numFmtId="164" fontId="9" fillId="56" borderId="485" xfId="0" applyNumberFormat="1" applyFont="1" applyFill="1" applyBorder="1" applyAlignment="1">
      <alignment horizontal="center"/>
    </xf>
    <xf numFmtId="164" fontId="9" fillId="60" borderId="483" xfId="0" applyNumberFormat="1" applyFont="1" applyFill="1" applyBorder="1" applyAlignment="1">
      <alignment horizontal="center"/>
    </xf>
    <xf numFmtId="164" fontId="9" fillId="60" borderId="484" xfId="0" applyNumberFormat="1" applyFont="1" applyFill="1" applyBorder="1" applyAlignment="1">
      <alignment horizontal="center"/>
    </xf>
    <xf numFmtId="164" fontId="9" fillId="60" borderId="485" xfId="0" applyNumberFormat="1" applyFont="1" applyFill="1" applyBorder="1" applyAlignment="1">
      <alignment horizontal="center"/>
    </xf>
    <xf numFmtId="164" fontId="9" fillId="46" borderId="483" xfId="0" applyNumberFormat="1" applyFont="1" applyFill="1" applyBorder="1" applyAlignment="1">
      <alignment horizontal="center"/>
    </xf>
    <xf numFmtId="164" fontId="9" fillId="46" borderId="484" xfId="0" applyNumberFormat="1" applyFont="1" applyFill="1" applyBorder="1" applyAlignment="1">
      <alignment horizontal="center"/>
    </xf>
    <xf numFmtId="164" fontId="9" fillId="46" borderId="485" xfId="0" applyNumberFormat="1" applyFont="1" applyFill="1" applyBorder="1" applyAlignment="1">
      <alignment horizontal="center"/>
    </xf>
    <xf numFmtId="164" fontId="9" fillId="77" borderId="483" xfId="0" applyNumberFormat="1" applyFont="1" applyFill="1" applyBorder="1" applyAlignment="1">
      <alignment horizontal="center"/>
    </xf>
    <xf numFmtId="164" fontId="9" fillId="77" borderId="484" xfId="0" applyNumberFormat="1" applyFont="1" applyFill="1" applyBorder="1" applyAlignment="1">
      <alignment horizontal="center"/>
    </xf>
    <xf numFmtId="164" fontId="9" fillId="77" borderId="485" xfId="0" applyNumberFormat="1" applyFont="1" applyFill="1" applyBorder="1" applyAlignment="1">
      <alignment horizontal="center"/>
    </xf>
    <xf numFmtId="164" fontId="9" fillId="76" borderId="483" xfId="0" applyNumberFormat="1" applyFont="1" applyFill="1" applyBorder="1" applyAlignment="1">
      <alignment horizontal="center"/>
    </xf>
    <xf numFmtId="164" fontId="9" fillId="76" borderId="484" xfId="0" applyNumberFormat="1" applyFont="1" applyFill="1" applyBorder="1" applyAlignment="1">
      <alignment horizontal="center"/>
    </xf>
    <xf numFmtId="164" fontId="9" fillId="76" borderId="485" xfId="0" applyNumberFormat="1" applyFont="1" applyFill="1" applyBorder="1" applyAlignment="1">
      <alignment horizontal="center"/>
    </xf>
    <xf numFmtId="164" fontId="9" fillId="45" borderId="483" xfId="0" applyNumberFormat="1" applyFont="1" applyFill="1" applyBorder="1" applyAlignment="1">
      <alignment horizontal="center"/>
    </xf>
    <xf numFmtId="164" fontId="9" fillId="45" borderId="484" xfId="0" applyNumberFormat="1" applyFont="1" applyFill="1" applyBorder="1" applyAlignment="1">
      <alignment horizontal="center"/>
    </xf>
    <xf numFmtId="164" fontId="9" fillId="45" borderId="485" xfId="0" applyNumberFormat="1" applyFont="1" applyFill="1" applyBorder="1" applyAlignment="1">
      <alignment horizontal="center"/>
    </xf>
    <xf numFmtId="164" fontId="9" fillId="64" borderId="483" xfId="0" applyNumberFormat="1" applyFont="1" applyFill="1" applyBorder="1" applyAlignment="1">
      <alignment horizontal="center"/>
    </xf>
    <xf numFmtId="164" fontId="9" fillId="64" borderId="484" xfId="0" applyNumberFormat="1" applyFont="1" applyFill="1" applyBorder="1" applyAlignment="1">
      <alignment horizontal="center"/>
    </xf>
    <xf numFmtId="164" fontId="9" fillId="64" borderId="485" xfId="0" applyNumberFormat="1" applyFont="1" applyFill="1" applyBorder="1" applyAlignment="1">
      <alignment horizontal="center"/>
    </xf>
    <xf numFmtId="164" fontId="9" fillId="61" borderId="483" xfId="0" applyNumberFormat="1" applyFont="1" applyFill="1" applyBorder="1" applyAlignment="1">
      <alignment horizontal="center"/>
    </xf>
    <xf numFmtId="164" fontId="9" fillId="61" borderId="484" xfId="0" applyNumberFormat="1" applyFont="1" applyFill="1" applyBorder="1" applyAlignment="1">
      <alignment horizontal="center"/>
    </xf>
    <xf numFmtId="164" fontId="9" fillId="61" borderId="485" xfId="0" applyNumberFormat="1" applyFont="1" applyFill="1" applyBorder="1" applyAlignment="1">
      <alignment horizontal="center"/>
    </xf>
    <xf numFmtId="164" fontId="9" fillId="54" borderId="483" xfId="0" applyNumberFormat="1" applyFont="1" applyFill="1" applyBorder="1" applyAlignment="1">
      <alignment horizontal="center"/>
    </xf>
    <xf numFmtId="164" fontId="9" fillId="54" borderId="484" xfId="0" applyNumberFormat="1" applyFont="1" applyFill="1" applyBorder="1" applyAlignment="1">
      <alignment horizontal="center"/>
    </xf>
    <xf numFmtId="164" fontId="9" fillId="54" borderId="485" xfId="0" applyNumberFormat="1" applyFont="1" applyFill="1" applyBorder="1" applyAlignment="1">
      <alignment horizontal="center"/>
    </xf>
    <xf numFmtId="0" fontId="9" fillId="43" borderId="96" xfId="0" applyFont="1" applyFill="1" applyBorder="1" applyAlignment="1" applyProtection="1">
      <alignment horizontal="center"/>
      <protection locked="0"/>
    </xf>
    <xf numFmtId="0" fontId="9" fillId="43" borderId="160" xfId="0" applyFont="1" applyFill="1" applyBorder="1" applyAlignment="1" applyProtection="1">
      <alignment horizontal="center"/>
      <protection locked="0"/>
    </xf>
    <xf numFmtId="0" fontId="9" fillId="43" borderId="436" xfId="0" applyFont="1" applyFill="1" applyBorder="1" applyAlignment="1" applyProtection="1">
      <alignment horizontal="center"/>
      <protection locked="0"/>
    </xf>
    <xf numFmtId="0" fontId="9" fillId="43" borderId="98" xfId="0" applyFont="1" applyFill="1" applyBorder="1" applyAlignment="1" applyProtection="1">
      <alignment horizontal="center"/>
      <protection locked="0"/>
    </xf>
    <xf numFmtId="0" fontId="9" fillId="43" borderId="83" xfId="0" applyFont="1" applyFill="1" applyBorder="1" applyAlignment="1" applyProtection="1">
      <alignment horizontal="center"/>
      <protection locked="0"/>
    </xf>
    <xf numFmtId="0" fontId="9" fillId="43" borderId="85" xfId="0" applyFont="1" applyFill="1" applyBorder="1" applyAlignment="1" applyProtection="1">
      <alignment horizontal="center"/>
      <protection locked="0"/>
    </xf>
    <xf numFmtId="0" fontId="164" fillId="44" borderId="126" xfId="49" applyFont="1" applyFill="1" applyBorder="1" applyAlignment="1" applyProtection="1">
      <alignment horizontal="center" vertical="center"/>
      <protection locked="0"/>
    </xf>
    <xf numFmtId="0" fontId="36" fillId="92" borderId="100" xfId="0" applyFont="1" applyFill="1" applyBorder="1" applyAlignment="1">
      <alignment horizontal="center" vertical="center"/>
    </xf>
    <xf numFmtId="0" fontId="36" fillId="92" borderId="101" xfId="0" applyFont="1" applyFill="1" applyBorder="1" applyAlignment="1">
      <alignment horizontal="center" vertical="center"/>
    </xf>
    <xf numFmtId="0" fontId="34" fillId="93" borderId="431" xfId="0" applyFont="1" applyFill="1" applyBorder="1" applyAlignment="1">
      <alignment horizontal="center" vertical="center" wrapText="1"/>
    </xf>
    <xf numFmtId="0" fontId="36" fillId="92" borderId="276" xfId="0" applyFont="1" applyFill="1" applyBorder="1" applyAlignment="1">
      <alignment horizontal="center" vertical="center"/>
    </xf>
    <xf numFmtId="0" fontId="36" fillId="92" borderId="24" xfId="0" applyFont="1" applyFill="1" applyBorder="1" applyAlignment="1">
      <alignment horizontal="center" vertical="center"/>
    </xf>
    <xf numFmtId="0" fontId="34" fillId="93" borderId="430" xfId="0" applyFont="1" applyFill="1" applyBorder="1" applyAlignment="1">
      <alignment horizontal="center" vertical="center" wrapText="1"/>
    </xf>
    <xf numFmtId="0" fontId="36" fillId="92" borderId="105" xfId="0" applyFont="1" applyFill="1" applyBorder="1" applyAlignment="1">
      <alignment horizontal="center" vertical="center"/>
    </xf>
    <xf numFmtId="0" fontId="36" fillId="92" borderId="11" xfId="0" applyFont="1" applyFill="1" applyBorder="1" applyAlignment="1">
      <alignment horizontal="center" vertical="center"/>
    </xf>
    <xf numFmtId="0" fontId="36" fillId="0" borderId="18" xfId="0" applyFont="1" applyBorder="1" applyAlignment="1">
      <alignment horizontal="center" vertical="center"/>
    </xf>
    <xf numFmtId="0" fontId="34" fillId="93" borderId="431" xfId="0" quotePrefix="1" applyFont="1" applyFill="1" applyBorder="1" applyAlignment="1">
      <alignment horizontal="center" vertical="center" wrapText="1"/>
    </xf>
    <xf numFmtId="0" fontId="36" fillId="92" borderId="487" xfId="0" applyFont="1" applyFill="1" applyBorder="1" applyAlignment="1">
      <alignment horizontal="center" vertical="center"/>
    </xf>
    <xf numFmtId="0" fontId="34" fillId="95" borderId="430" xfId="0" quotePrefix="1" applyFont="1" applyFill="1" applyBorder="1" applyAlignment="1">
      <alignment horizontal="center" vertical="center" wrapText="1"/>
    </xf>
    <xf numFmtId="0" fontId="36" fillId="92" borderId="103" xfId="0" applyFont="1" applyFill="1" applyBorder="1" applyAlignment="1" applyProtection="1">
      <alignment horizontal="center" vertical="center"/>
      <protection locked="0"/>
    </xf>
    <xf numFmtId="0" fontId="36" fillId="92" borderId="105" xfId="0" applyFont="1" applyFill="1" applyBorder="1" applyAlignment="1" applyProtection="1">
      <alignment horizontal="center" vertical="center"/>
      <protection locked="0"/>
    </xf>
    <xf numFmtId="0" fontId="36" fillId="92" borderId="173" xfId="0" applyFont="1" applyFill="1" applyBorder="1" applyAlignment="1" applyProtection="1">
      <alignment horizontal="center" vertical="center"/>
      <protection locked="0"/>
    </xf>
    <xf numFmtId="0" fontId="36" fillId="92" borderId="104" xfId="0" applyFont="1" applyFill="1" applyBorder="1" applyAlignment="1" applyProtection="1">
      <alignment horizontal="center" vertical="center"/>
      <protection locked="0"/>
    </xf>
    <xf numFmtId="0" fontId="36" fillId="92" borderId="101" xfId="0" applyFont="1" applyFill="1" applyBorder="1" applyAlignment="1" applyProtection="1">
      <alignment horizontal="center" vertical="center"/>
      <protection locked="0"/>
    </xf>
    <xf numFmtId="2" fontId="7" fillId="49" borderId="448" xfId="49" applyNumberFormat="1" applyFont="1" applyFill="1" applyBorder="1" applyAlignment="1">
      <alignment horizontal="center" vertical="center" wrapText="1"/>
    </xf>
    <xf numFmtId="165" fontId="34" fillId="49" borderId="12" xfId="0" applyNumberFormat="1" applyFont="1" applyFill="1" applyBorder="1" applyAlignment="1">
      <alignment horizontal="center" vertical="center" wrapText="1"/>
    </xf>
    <xf numFmtId="165" fontId="36" fillId="44" borderId="102" xfId="0" applyNumberFormat="1" applyFont="1" applyFill="1" applyBorder="1" applyAlignment="1" applyProtection="1">
      <alignment horizontal="center" vertical="center"/>
      <protection locked="0"/>
    </xf>
    <xf numFmtId="165" fontId="36" fillId="44" borderId="103" xfId="0" applyNumberFormat="1" applyFont="1" applyFill="1" applyBorder="1" applyAlignment="1" applyProtection="1">
      <alignment horizontal="center" vertical="center"/>
      <protection locked="0"/>
    </xf>
    <xf numFmtId="165" fontId="36" fillId="0" borderId="103" xfId="0" applyNumberFormat="1" applyFont="1" applyBorder="1" applyAlignment="1" applyProtection="1">
      <alignment horizontal="center" vertical="center"/>
      <protection locked="0"/>
    </xf>
    <xf numFmtId="165" fontId="36" fillId="0" borderId="173" xfId="0" applyNumberFormat="1" applyFont="1" applyBorder="1" applyAlignment="1" applyProtection="1">
      <alignment horizontal="center" vertical="center"/>
      <protection locked="0"/>
    </xf>
    <xf numFmtId="165" fontId="36" fillId="0" borderId="26" xfId="0" applyNumberFormat="1" applyFont="1" applyBorder="1" applyAlignment="1" applyProtection="1">
      <alignment horizontal="center" vertical="center"/>
      <protection locked="0"/>
    </xf>
    <xf numFmtId="165" fontId="36" fillId="44" borderId="105" xfId="0" applyNumberFormat="1" applyFont="1" applyFill="1" applyBorder="1" applyAlignment="1" applyProtection="1">
      <alignment horizontal="center" vertical="center"/>
      <protection locked="0"/>
    </xf>
    <xf numFmtId="165" fontId="36" fillId="44" borderId="104" xfId="0" applyNumberFormat="1" applyFont="1" applyFill="1" applyBorder="1" applyAlignment="1" applyProtection="1">
      <alignment horizontal="center" vertical="center"/>
      <protection locked="0"/>
    </xf>
    <xf numFmtId="165" fontId="36" fillId="0" borderId="105" xfId="0" applyNumberFormat="1" applyFont="1" applyBorder="1" applyAlignment="1" applyProtection="1">
      <alignment horizontal="center" vertical="center"/>
      <protection locked="0"/>
    </xf>
    <xf numFmtId="165" fontId="36" fillId="0" borderId="104" xfId="0" applyNumberFormat="1" applyFont="1" applyBorder="1" applyAlignment="1" applyProtection="1">
      <alignment horizontal="center" vertical="center"/>
      <protection locked="0"/>
    </xf>
    <xf numFmtId="165" fontId="36" fillId="44" borderId="173" xfId="0" applyNumberFormat="1" applyFont="1" applyFill="1" applyBorder="1" applyAlignment="1" applyProtection="1">
      <alignment horizontal="center" vertical="center"/>
      <protection locked="0"/>
    </xf>
    <xf numFmtId="165" fontId="36" fillId="0" borderId="245" xfId="0" applyNumberFormat="1" applyFont="1" applyBorder="1" applyAlignment="1" applyProtection="1">
      <alignment horizontal="center" vertical="center"/>
      <protection locked="0"/>
    </xf>
    <xf numFmtId="165" fontId="36" fillId="114" borderId="245" xfId="0" applyNumberFormat="1" applyFont="1" applyFill="1" applyBorder="1" applyAlignment="1" applyProtection="1">
      <alignment horizontal="center" vertical="center"/>
      <protection locked="0"/>
    </xf>
    <xf numFmtId="165" fontId="36" fillId="114" borderId="26" xfId="0" applyNumberFormat="1" applyFont="1" applyFill="1" applyBorder="1" applyAlignment="1" applyProtection="1">
      <alignment horizontal="center" vertical="center"/>
      <protection locked="0"/>
    </xf>
    <xf numFmtId="165" fontId="36" fillId="44" borderId="26" xfId="0" applyNumberFormat="1" applyFont="1" applyFill="1" applyBorder="1" applyAlignment="1" applyProtection="1">
      <alignment horizontal="center" vertical="center"/>
      <protection locked="0"/>
    </xf>
    <xf numFmtId="165" fontId="36" fillId="50" borderId="245" xfId="0" applyNumberFormat="1" applyFont="1" applyFill="1" applyBorder="1" applyAlignment="1" applyProtection="1">
      <alignment horizontal="center" vertical="center"/>
      <protection locked="0"/>
    </xf>
    <xf numFmtId="165" fontId="36" fillId="50" borderId="432" xfId="0" applyNumberFormat="1" applyFont="1" applyFill="1" applyBorder="1" applyAlignment="1" applyProtection="1">
      <alignment horizontal="center" vertical="center"/>
      <protection locked="0"/>
    </xf>
    <xf numFmtId="165" fontId="36" fillId="0" borderId="11" xfId="0" applyNumberFormat="1" applyFont="1" applyBorder="1" applyAlignment="1" applyProtection="1">
      <alignment horizontal="center" vertical="center"/>
      <protection locked="0"/>
    </xf>
    <xf numFmtId="165" fontId="36" fillId="50" borderId="436" xfId="0" applyNumberFormat="1" applyFont="1" applyFill="1" applyBorder="1" applyAlignment="1" applyProtection="1">
      <alignment horizontal="center" vertical="center"/>
      <protection locked="0"/>
    </xf>
    <xf numFmtId="165" fontId="36" fillId="0" borderId="436" xfId="0" applyNumberFormat="1" applyFont="1" applyBorder="1" applyAlignment="1" applyProtection="1">
      <alignment horizontal="center" vertical="center"/>
      <protection locked="0"/>
    </xf>
    <xf numFmtId="165" fontId="36" fillId="0" borderId="248" xfId="0" applyNumberFormat="1" applyFont="1" applyBorder="1" applyAlignment="1" applyProtection="1">
      <alignment horizontal="center" vertical="center"/>
      <protection locked="0"/>
    </xf>
    <xf numFmtId="165" fontId="36" fillId="50" borderId="248" xfId="0" applyNumberFormat="1" applyFont="1" applyFill="1" applyBorder="1" applyAlignment="1" applyProtection="1">
      <alignment horizontal="center" vertical="center"/>
      <protection locked="0"/>
    </xf>
    <xf numFmtId="165" fontId="36" fillId="0" borderId="29" xfId="0" applyNumberFormat="1" applyFont="1" applyBorder="1" applyAlignment="1" applyProtection="1">
      <alignment horizontal="center" vertical="center"/>
      <protection locked="0"/>
    </xf>
    <xf numFmtId="165" fontId="36" fillId="50" borderId="29" xfId="0" applyNumberFormat="1" applyFont="1" applyFill="1" applyBorder="1" applyAlignment="1" applyProtection="1">
      <alignment horizontal="center" vertical="center"/>
      <protection locked="0"/>
    </xf>
    <xf numFmtId="165" fontId="36" fillId="50" borderId="68" xfId="0" applyNumberFormat="1" applyFont="1" applyFill="1" applyBorder="1" applyAlignment="1" applyProtection="1">
      <alignment horizontal="center" vertical="center"/>
      <protection locked="0"/>
    </xf>
    <xf numFmtId="165" fontId="36" fillId="0" borderId="68" xfId="0" applyNumberFormat="1" applyFont="1" applyBorder="1" applyAlignment="1" applyProtection="1">
      <alignment horizontal="center" vertical="center"/>
      <protection locked="0"/>
    </xf>
    <xf numFmtId="165" fontId="36" fillId="0" borderId="0" xfId="0" applyNumberFormat="1" applyFont="1" applyAlignment="1">
      <alignment horizontal="center" vertical="center"/>
    </xf>
    <xf numFmtId="0" fontId="36" fillId="76" borderId="14" xfId="0" applyFont="1" applyFill="1" applyBorder="1" applyAlignment="1" applyProtection="1">
      <alignment horizontal="center" vertical="center"/>
      <protection locked="0"/>
    </xf>
    <xf numFmtId="0" fontId="36" fillId="76" borderId="11" xfId="0" applyFont="1" applyFill="1" applyBorder="1" applyAlignment="1" applyProtection="1">
      <alignment horizontal="center" vertical="center"/>
      <protection locked="0"/>
    </xf>
    <xf numFmtId="0" fontId="134" fillId="77" borderId="432" xfId="0" quotePrefix="1" applyFont="1" applyFill="1" applyBorder="1" applyAlignment="1">
      <alignment horizontal="center" vertical="center"/>
    </xf>
    <xf numFmtId="0" fontId="36" fillId="0" borderId="432" xfId="0" applyFont="1" applyBorder="1" applyAlignment="1" applyProtection="1">
      <alignment horizontal="center" vertical="center"/>
      <protection locked="0"/>
    </xf>
    <xf numFmtId="0" fontId="36" fillId="77" borderId="432" xfId="0" quotePrefix="1" applyFont="1" applyFill="1" applyBorder="1" applyAlignment="1">
      <alignment horizontal="center" vertical="center"/>
    </xf>
    <xf numFmtId="0" fontId="36" fillId="76" borderId="432" xfId="0" applyFont="1" applyFill="1" applyBorder="1" applyAlignment="1">
      <alignment horizontal="center" vertical="center"/>
    </xf>
    <xf numFmtId="0" fontId="36" fillId="0" borderId="426" xfId="0" applyFont="1" applyBorder="1" applyAlignment="1" applyProtection="1">
      <alignment horizontal="center" vertical="center"/>
      <protection locked="0"/>
    </xf>
    <xf numFmtId="0" fontId="9" fillId="50" borderId="0" xfId="0" applyFont="1" applyFill="1" applyAlignment="1" applyProtection="1">
      <alignment horizontal="center" vertical="center"/>
      <protection locked="0"/>
    </xf>
    <xf numFmtId="49" fontId="9" fillId="50" borderId="0" xfId="0" applyNumberFormat="1" applyFont="1" applyFill="1" applyAlignment="1" applyProtection="1">
      <alignment horizontal="center" vertical="center"/>
      <protection locked="0"/>
    </xf>
    <xf numFmtId="0" fontId="0" fillId="0" borderId="0" xfId="0" applyProtection="1">
      <protection locked="0"/>
    </xf>
    <xf numFmtId="0" fontId="5" fillId="50" borderId="0" xfId="0" applyFont="1" applyFill="1" applyAlignment="1" applyProtection="1">
      <alignment horizontal="center" vertical="center"/>
      <protection locked="0"/>
    </xf>
    <xf numFmtId="0" fontId="58" fillId="50" borderId="0" xfId="0" applyFont="1" applyFill="1" applyAlignment="1" applyProtection="1">
      <alignment horizontal="center" vertical="center"/>
      <protection locked="0"/>
    </xf>
    <xf numFmtId="165" fontId="5" fillId="50" borderId="0" xfId="0" applyNumberFormat="1" applyFont="1" applyFill="1" applyAlignment="1" applyProtection="1">
      <alignment horizontal="center" vertical="center"/>
      <protection locked="0"/>
    </xf>
    <xf numFmtId="10" fontId="44" fillId="50" borderId="0" xfId="35" applyNumberFormat="1" applyFill="1" applyAlignment="1" applyProtection="1">
      <alignment horizontal="center" vertical="center"/>
      <protection locked="0"/>
    </xf>
    <xf numFmtId="0" fontId="9" fillId="50" borderId="18" xfId="0" applyFont="1" applyFill="1" applyBorder="1" applyAlignment="1" applyProtection="1">
      <alignment horizontal="center" vertical="center"/>
      <protection locked="0"/>
    </xf>
    <xf numFmtId="0" fontId="9" fillId="50" borderId="26" xfId="0" applyFont="1" applyFill="1" applyBorder="1" applyAlignment="1" applyProtection="1">
      <alignment horizontal="center" vertical="center"/>
      <protection locked="0"/>
    </xf>
    <xf numFmtId="168" fontId="5" fillId="50" borderId="0" xfId="0" applyNumberFormat="1" applyFont="1" applyFill="1" applyAlignment="1" applyProtection="1">
      <alignment horizontal="center" vertical="center"/>
      <protection locked="0"/>
    </xf>
    <xf numFmtId="2" fontId="5" fillId="50" borderId="0" xfId="0" applyNumberFormat="1" applyFont="1" applyFill="1" applyAlignment="1" applyProtection="1">
      <alignment horizontal="center" vertical="center"/>
      <protection locked="0"/>
    </xf>
    <xf numFmtId="2" fontId="9" fillId="50" borderId="0" xfId="0" applyNumberFormat="1" applyFont="1" applyFill="1" applyAlignment="1" applyProtection="1">
      <alignment horizontal="center" vertical="center"/>
      <protection locked="0"/>
    </xf>
    <xf numFmtId="0" fontId="9" fillId="0" borderId="0" xfId="0" applyFont="1" applyAlignment="1" applyProtection="1">
      <alignment horizontal="center" vertical="center"/>
      <protection locked="0"/>
    </xf>
    <xf numFmtId="0" fontId="5" fillId="44" borderId="244" xfId="0" applyFont="1" applyFill="1" applyBorder="1" applyAlignment="1" applyProtection="1">
      <alignment horizontal="center"/>
      <protection locked="0"/>
    </xf>
    <xf numFmtId="0" fontId="36" fillId="144" borderId="11" xfId="0" applyFont="1" applyFill="1" applyBorder="1" applyAlignment="1">
      <alignment horizontal="center" vertical="center"/>
    </xf>
    <xf numFmtId="0" fontId="36" fillId="144" borderId="488" xfId="0" applyFont="1" applyFill="1" applyBorder="1" applyAlignment="1">
      <alignment horizontal="center" vertical="center"/>
    </xf>
    <xf numFmtId="0" fontId="36" fillId="144" borderId="489" xfId="0" applyFont="1" applyFill="1" applyBorder="1" applyAlignment="1">
      <alignment horizontal="center" vertical="center"/>
    </xf>
    <xf numFmtId="0" fontId="36" fillId="45" borderId="488" xfId="0" applyFont="1" applyFill="1" applyBorder="1" applyAlignment="1">
      <alignment horizontal="center" vertical="center"/>
    </xf>
    <xf numFmtId="0" fontId="36" fillId="45" borderId="489" xfId="0" applyFont="1" applyFill="1" applyBorder="1" applyAlignment="1">
      <alignment horizontal="center" vertical="center"/>
    </xf>
    <xf numFmtId="0" fontId="36" fillId="45" borderId="490" xfId="0" applyFont="1" applyFill="1" applyBorder="1" applyAlignment="1">
      <alignment horizontal="center" vertical="center"/>
    </xf>
    <xf numFmtId="165" fontId="170" fillId="44" borderId="103" xfId="0" applyNumberFormat="1" applyFont="1" applyFill="1" applyBorder="1" applyAlignment="1" applyProtection="1">
      <alignment horizontal="center" vertical="center"/>
      <protection locked="0"/>
    </xf>
    <xf numFmtId="0" fontId="170" fillId="45" borderId="490" xfId="0" applyFont="1" applyFill="1" applyBorder="1" applyAlignment="1">
      <alignment horizontal="center" vertical="center"/>
    </xf>
    <xf numFmtId="165" fontId="36" fillId="44" borderId="0" xfId="0" applyNumberFormat="1" applyFont="1" applyFill="1" applyAlignment="1">
      <alignment horizontal="center" vertical="center"/>
    </xf>
    <xf numFmtId="0" fontId="36" fillId="77" borderId="488" xfId="0" applyFont="1" applyFill="1" applyBorder="1" applyAlignment="1">
      <alignment horizontal="center" vertical="center"/>
    </xf>
    <xf numFmtId="0" fontId="36" fillId="77" borderId="489" xfId="0" applyFont="1" applyFill="1" applyBorder="1" applyAlignment="1">
      <alignment horizontal="center" vertical="center"/>
    </xf>
    <xf numFmtId="0" fontId="36" fillId="77" borderId="490" xfId="0" applyFont="1" applyFill="1" applyBorder="1" applyAlignment="1">
      <alignment horizontal="center" vertical="center"/>
    </xf>
    <xf numFmtId="0" fontId="170" fillId="92" borderId="72" xfId="0" applyFont="1" applyFill="1" applyBorder="1" applyAlignment="1">
      <alignment horizontal="center" vertical="center"/>
    </xf>
    <xf numFmtId="0" fontId="175" fillId="50" borderId="26" xfId="0" applyFont="1" applyFill="1" applyBorder="1" applyAlignment="1" applyProtection="1">
      <alignment horizontal="center" vertical="center"/>
      <protection locked="0"/>
    </xf>
    <xf numFmtId="0" fontId="170" fillId="77" borderId="26" xfId="0" applyFont="1" applyFill="1" applyBorder="1" applyAlignment="1">
      <alignment horizontal="center" vertical="center"/>
    </xf>
    <xf numFmtId="0" fontId="170" fillId="76" borderId="102" xfId="0" applyFont="1" applyFill="1" applyBorder="1" applyAlignment="1">
      <alignment horizontal="center" vertical="center"/>
    </xf>
    <xf numFmtId="0" fontId="165" fillId="55" borderId="133" xfId="49" applyFont="1" applyFill="1" applyBorder="1" applyAlignment="1" applyProtection="1">
      <alignment horizontal="center"/>
      <protection locked="0"/>
    </xf>
    <xf numFmtId="3" fontId="80" fillId="58" borderId="134" xfId="49" applyNumberFormat="1" applyFont="1" applyFill="1" applyBorder="1" applyAlignment="1" applyProtection="1">
      <alignment horizontal="center"/>
      <protection locked="0"/>
    </xf>
    <xf numFmtId="3" fontId="59" fillId="64" borderId="134" xfId="49" applyNumberFormat="1" applyFont="1" applyFill="1" applyBorder="1" applyAlignment="1" applyProtection="1">
      <alignment horizontal="center"/>
      <protection locked="0"/>
    </xf>
    <xf numFmtId="0" fontId="129" fillId="55" borderId="14" xfId="0" applyFont="1" applyFill="1" applyBorder="1" applyAlignment="1" applyProtection="1">
      <alignment horizontal="center" vertical="center"/>
      <protection locked="0"/>
    </xf>
    <xf numFmtId="0" fontId="133" fillId="58" borderId="432" xfId="0" quotePrefix="1" applyFont="1" applyFill="1" applyBorder="1" applyAlignment="1">
      <alignment horizontal="center" vertical="center"/>
    </xf>
    <xf numFmtId="2" fontId="128" fillId="56" borderId="14" xfId="0" quotePrefix="1" applyNumberFormat="1" applyFont="1" applyFill="1" applyBorder="1" applyAlignment="1">
      <alignment horizontal="center" vertical="center"/>
    </xf>
    <xf numFmtId="2" fontId="36" fillId="56" borderId="26" xfId="0" quotePrefix="1" applyNumberFormat="1" applyFont="1" applyFill="1" applyBorder="1" applyAlignment="1">
      <alignment horizontal="center" vertical="center"/>
    </xf>
    <xf numFmtId="2" fontId="128" fillId="56" borderId="26" xfId="0" quotePrefix="1" applyNumberFormat="1" applyFont="1" applyFill="1" applyBorder="1" applyAlignment="1">
      <alignment horizontal="center" vertical="center"/>
    </xf>
    <xf numFmtId="2" fontId="36" fillId="56" borderId="14" xfId="0" quotePrefix="1" applyNumberFormat="1" applyFont="1" applyFill="1" applyBorder="1" applyAlignment="1">
      <alignment horizontal="center" vertical="center"/>
    </xf>
    <xf numFmtId="2" fontId="36" fillId="56" borderId="11" xfId="0" quotePrefix="1" applyNumberFormat="1" applyFont="1" applyFill="1" applyBorder="1" applyAlignment="1">
      <alignment horizontal="center" vertical="center"/>
    </xf>
    <xf numFmtId="2" fontId="116" fillId="60" borderId="14" xfId="0" applyNumberFormat="1" applyFont="1" applyFill="1" applyBorder="1" applyAlignment="1" applyProtection="1">
      <alignment horizontal="center" vertical="center"/>
      <protection locked="0"/>
    </xf>
    <xf numFmtId="2" fontId="170" fillId="60" borderId="26" xfId="0" applyNumberFormat="1" applyFont="1" applyFill="1" applyBorder="1" applyAlignment="1" applyProtection="1">
      <alignment horizontal="center" vertical="center"/>
      <protection locked="0"/>
    </xf>
    <xf numFmtId="2" fontId="116" fillId="60" borderId="11" xfId="0" applyNumberFormat="1" applyFont="1" applyFill="1" applyBorder="1" applyAlignment="1" applyProtection="1">
      <alignment horizontal="center" vertical="center"/>
      <protection locked="0"/>
    </xf>
    <xf numFmtId="2" fontId="36" fillId="46" borderId="26" xfId="0" applyNumberFormat="1" applyFont="1" applyFill="1" applyBorder="1" applyAlignment="1">
      <alignment horizontal="center" vertical="center"/>
    </xf>
    <xf numFmtId="2" fontId="36" fillId="46" borderId="173" xfId="0" applyNumberFormat="1" applyFont="1" applyFill="1" applyBorder="1" applyAlignment="1">
      <alignment horizontal="center" vertical="center"/>
    </xf>
    <xf numFmtId="2" fontId="36" fillId="58" borderId="26" xfId="0" quotePrefix="1" applyNumberFormat="1" applyFont="1" applyFill="1" applyBorder="1" applyAlignment="1">
      <alignment horizontal="center" vertical="center"/>
    </xf>
    <xf numFmtId="2" fontId="108" fillId="55" borderId="14" xfId="0" applyNumberFormat="1" applyFont="1" applyFill="1" applyBorder="1" applyAlignment="1" applyProtection="1">
      <alignment horizontal="center" vertical="center"/>
      <protection locked="0"/>
    </xf>
    <xf numFmtId="2" fontId="36" fillId="48" borderId="26" xfId="0" applyNumberFormat="1" applyFont="1" applyFill="1" applyBorder="1" applyAlignment="1">
      <alignment horizontal="center" vertical="center"/>
    </xf>
    <xf numFmtId="2" fontId="36" fillId="48" borderId="173" xfId="0" applyNumberFormat="1" applyFont="1" applyFill="1" applyBorder="1" applyAlignment="1">
      <alignment horizontal="center" vertical="center"/>
    </xf>
    <xf numFmtId="2" fontId="134" fillId="77" borderId="14" xfId="0" quotePrefix="1" applyNumberFormat="1" applyFont="1" applyFill="1" applyBorder="1" applyAlignment="1">
      <alignment horizontal="center" vertical="center"/>
    </xf>
    <xf numFmtId="2" fontId="36" fillId="77" borderId="26" xfId="0" quotePrefix="1" applyNumberFormat="1" applyFont="1" applyFill="1" applyBorder="1" applyAlignment="1">
      <alignment horizontal="center" vertical="center"/>
    </xf>
    <xf numFmtId="2" fontId="36" fillId="77" borderId="14" xfId="0" quotePrefix="1" applyNumberFormat="1" applyFont="1" applyFill="1" applyBorder="1" applyAlignment="1">
      <alignment horizontal="center" vertical="center"/>
    </xf>
    <xf numFmtId="2" fontId="36" fillId="77" borderId="11" xfId="0" quotePrefix="1" applyNumberFormat="1" applyFont="1" applyFill="1" applyBorder="1" applyAlignment="1">
      <alignment horizontal="center" vertical="center"/>
    </xf>
    <xf numFmtId="2" fontId="36" fillId="76" borderId="11" xfId="0" applyNumberFormat="1" applyFont="1" applyFill="1" applyBorder="1" applyAlignment="1">
      <alignment horizontal="center" vertical="center"/>
    </xf>
    <xf numFmtId="2" fontId="108" fillId="76" borderId="14" xfId="0" applyNumberFormat="1" applyFont="1" applyFill="1" applyBorder="1" applyAlignment="1" applyProtection="1">
      <alignment horizontal="center" vertical="center"/>
      <protection locked="0"/>
    </xf>
    <xf numFmtId="2" fontId="36" fillId="76" borderId="26" xfId="0" applyNumberFormat="1" applyFont="1" applyFill="1" applyBorder="1" applyAlignment="1" applyProtection="1">
      <alignment horizontal="center" vertical="center"/>
      <protection locked="0"/>
    </xf>
    <xf numFmtId="2" fontId="108" fillId="76" borderId="11" xfId="0" applyNumberFormat="1" applyFont="1" applyFill="1" applyBorder="1" applyAlignment="1" applyProtection="1">
      <alignment horizontal="center" vertical="center"/>
      <protection locked="0"/>
    </xf>
    <xf numFmtId="2" fontId="36" fillId="45" borderId="26" xfId="0" applyNumberFormat="1" applyFont="1" applyFill="1" applyBorder="1" applyAlignment="1">
      <alignment horizontal="center" vertical="center"/>
    </xf>
    <xf numFmtId="2" fontId="129" fillId="55" borderId="14" xfId="0" applyNumberFormat="1" applyFont="1" applyFill="1" applyBorder="1" applyAlignment="1" applyProtection="1">
      <alignment horizontal="center" vertical="center"/>
      <protection locked="0"/>
    </xf>
    <xf numFmtId="2" fontId="137" fillId="93" borderId="14" xfId="0" quotePrefix="1" applyNumberFormat="1" applyFont="1" applyFill="1" applyBorder="1" applyAlignment="1">
      <alignment horizontal="center" vertical="center"/>
    </xf>
    <xf numFmtId="2" fontId="36" fillId="93" borderId="26" xfId="0" quotePrefix="1" applyNumberFormat="1" applyFont="1" applyFill="1" applyBorder="1" applyAlignment="1">
      <alignment horizontal="center" vertical="center"/>
    </xf>
    <xf numFmtId="2" fontId="137" fillId="93" borderId="26" xfId="0" quotePrefix="1" applyNumberFormat="1" applyFont="1" applyFill="1" applyBorder="1" applyAlignment="1">
      <alignment horizontal="center" vertical="center"/>
    </xf>
    <xf numFmtId="2" fontId="36" fillId="93" borderId="14" xfId="0" quotePrefix="1" applyNumberFormat="1" applyFont="1" applyFill="1" applyBorder="1" applyAlignment="1">
      <alignment horizontal="center" vertical="center"/>
    </xf>
    <xf numFmtId="2" fontId="36" fillId="93" borderId="11" xfId="0" quotePrefix="1" applyNumberFormat="1" applyFont="1" applyFill="1" applyBorder="1" applyAlignment="1">
      <alignment horizontal="center" vertical="center"/>
    </xf>
    <xf numFmtId="2" fontId="36" fillId="105" borderId="26" xfId="0" applyNumberFormat="1" applyFont="1" applyFill="1" applyBorder="1" applyAlignment="1">
      <alignment horizontal="center" vertical="center"/>
    </xf>
    <xf numFmtId="2" fontId="138" fillId="105" borderId="14" xfId="0" applyNumberFormat="1" applyFont="1" applyFill="1" applyBorder="1" applyAlignment="1" applyProtection="1">
      <alignment horizontal="center" vertical="center"/>
      <protection locked="0"/>
    </xf>
    <xf numFmtId="2" fontId="36" fillId="105" borderId="26" xfId="0" applyNumberFormat="1" applyFont="1" applyFill="1" applyBorder="1" applyAlignment="1" applyProtection="1">
      <alignment horizontal="center" vertical="center"/>
      <protection locked="0"/>
    </xf>
    <xf numFmtId="2" fontId="138" fillId="105" borderId="11" xfId="0" applyNumberFormat="1" applyFont="1" applyFill="1" applyBorder="1" applyAlignment="1" applyProtection="1">
      <alignment horizontal="center" vertical="center"/>
      <protection locked="0"/>
    </xf>
    <xf numFmtId="2" fontId="36" fillId="92" borderId="26" xfId="0" applyNumberFormat="1" applyFont="1" applyFill="1" applyBorder="1" applyAlignment="1">
      <alignment horizontal="center" vertical="center"/>
    </xf>
    <xf numFmtId="2" fontId="140" fillId="99" borderId="14" xfId="0" quotePrefix="1" applyNumberFormat="1" applyFont="1" applyFill="1" applyBorder="1" applyAlignment="1">
      <alignment horizontal="center" vertical="center"/>
    </xf>
    <xf numFmtId="2" fontId="36" fillId="99" borderId="26" xfId="0" quotePrefix="1" applyNumberFormat="1" applyFont="1" applyFill="1" applyBorder="1" applyAlignment="1">
      <alignment horizontal="center" vertical="center"/>
    </xf>
    <xf numFmtId="2" fontId="140" fillId="99" borderId="26" xfId="0" quotePrefix="1" applyNumberFormat="1" applyFont="1" applyFill="1" applyBorder="1" applyAlignment="1">
      <alignment horizontal="center" vertical="center"/>
    </xf>
    <xf numFmtId="2" fontId="120" fillId="96" borderId="14" xfId="0" applyNumberFormat="1" applyFont="1" applyFill="1" applyBorder="1" applyAlignment="1" applyProtection="1">
      <alignment horizontal="center" vertical="center"/>
      <protection locked="0"/>
    </xf>
    <xf numFmtId="2" fontId="36" fillId="59" borderId="26" xfId="0" applyNumberFormat="1" applyFont="1" applyFill="1" applyBorder="1" applyAlignment="1">
      <alignment horizontal="center" vertical="center"/>
    </xf>
    <xf numFmtId="2" fontId="132" fillId="64" borderId="14" xfId="0" quotePrefix="1" applyNumberFormat="1" applyFont="1" applyFill="1" applyBorder="1" applyAlignment="1">
      <alignment horizontal="center" vertical="center"/>
    </xf>
    <xf numFmtId="2" fontId="36" fillId="64" borderId="26" xfId="0" quotePrefix="1" applyNumberFormat="1" applyFont="1" applyFill="1" applyBorder="1" applyAlignment="1">
      <alignment horizontal="center" vertical="center"/>
    </xf>
    <xf numFmtId="2" fontId="117" fillId="61" borderId="14" xfId="0" applyNumberFormat="1" applyFont="1" applyFill="1" applyBorder="1" applyAlignment="1" applyProtection="1">
      <alignment horizontal="center" vertical="center"/>
      <protection locked="0"/>
    </xf>
    <xf numFmtId="2" fontId="36" fillId="54" borderId="26" xfId="0" applyNumberFormat="1" applyFont="1" applyFill="1" applyBorder="1" applyAlignment="1">
      <alignment horizontal="center" vertical="center"/>
    </xf>
    <xf numFmtId="2" fontId="36" fillId="54" borderId="173" xfId="0" applyNumberFormat="1" applyFont="1" applyFill="1" applyBorder="1" applyAlignment="1">
      <alignment horizontal="center" vertical="center"/>
    </xf>
    <xf numFmtId="2" fontId="139" fillId="109" borderId="14" xfId="0" quotePrefix="1" applyNumberFormat="1" applyFont="1" applyFill="1" applyBorder="1" applyAlignment="1">
      <alignment horizontal="center" vertical="center"/>
    </xf>
    <xf numFmtId="2" fontId="36" fillId="109" borderId="26" xfId="0" quotePrefix="1" applyNumberFormat="1" applyFont="1" applyFill="1" applyBorder="1" applyAlignment="1">
      <alignment horizontal="center" vertical="center"/>
    </xf>
    <xf numFmtId="2" fontId="139" fillId="109" borderId="26" xfId="0" quotePrefix="1" applyNumberFormat="1" applyFont="1" applyFill="1" applyBorder="1" applyAlignment="1">
      <alignment horizontal="center" vertical="center"/>
    </xf>
    <xf numFmtId="2" fontId="121" fillId="100" borderId="14" xfId="0" applyNumberFormat="1" applyFont="1" applyFill="1" applyBorder="1" applyAlignment="1" applyProtection="1">
      <alignment horizontal="center" vertical="center"/>
      <protection locked="0"/>
    </xf>
    <xf numFmtId="2" fontId="36" fillId="102" borderId="26" xfId="0" applyNumberFormat="1" applyFont="1" applyFill="1" applyBorder="1" applyAlignment="1">
      <alignment horizontal="center" vertical="center"/>
    </xf>
    <xf numFmtId="2" fontId="36" fillId="102" borderId="173" xfId="0" applyNumberFormat="1" applyFont="1" applyFill="1" applyBorder="1" applyAlignment="1">
      <alignment horizontal="center" vertical="center"/>
    </xf>
    <xf numFmtId="2" fontId="141" fillId="110" borderId="14" xfId="0" quotePrefix="1" applyNumberFormat="1" applyFont="1" applyFill="1" applyBorder="1" applyAlignment="1">
      <alignment horizontal="center" vertical="center"/>
    </xf>
    <xf numFmtId="2" fontId="36" fillId="110" borderId="26" xfId="0" quotePrefix="1" applyNumberFormat="1" applyFont="1" applyFill="1" applyBorder="1" applyAlignment="1">
      <alignment horizontal="center" vertical="center"/>
    </xf>
    <xf numFmtId="2" fontId="141" fillId="110" borderId="26" xfId="0" quotePrefix="1" applyNumberFormat="1" applyFont="1" applyFill="1" applyBorder="1" applyAlignment="1">
      <alignment horizontal="center" vertical="center"/>
    </xf>
    <xf numFmtId="2" fontId="36" fillId="110" borderId="14" xfId="0" quotePrefix="1" applyNumberFormat="1" applyFont="1" applyFill="1" applyBorder="1" applyAlignment="1">
      <alignment horizontal="center" vertical="center"/>
    </xf>
    <xf numFmtId="2" fontId="36" fillId="110" borderId="11" xfId="0" quotePrefix="1" applyNumberFormat="1" applyFont="1" applyFill="1" applyBorder="1" applyAlignment="1">
      <alignment horizontal="center" vertical="center"/>
    </xf>
    <xf numFmtId="2" fontId="36" fillId="111" borderId="26" xfId="0" applyNumberFormat="1" applyFont="1" applyFill="1" applyBorder="1" applyAlignment="1">
      <alignment horizontal="center" vertical="center"/>
    </xf>
    <xf numFmtId="2" fontId="36" fillId="111" borderId="11" xfId="0" applyNumberFormat="1" applyFont="1" applyFill="1" applyBorder="1" applyAlignment="1">
      <alignment horizontal="center" vertical="center"/>
    </xf>
    <xf numFmtId="2" fontId="142" fillId="111" borderId="14" xfId="0" applyNumberFormat="1" applyFont="1" applyFill="1" applyBorder="1" applyAlignment="1" applyProtection="1">
      <alignment horizontal="center" vertical="center"/>
      <protection locked="0"/>
    </xf>
    <xf numFmtId="2" fontId="36" fillId="111" borderId="26" xfId="0" applyNumberFormat="1" applyFont="1" applyFill="1" applyBorder="1" applyAlignment="1" applyProtection="1">
      <alignment horizontal="center" vertical="center"/>
      <protection locked="0"/>
    </xf>
    <xf numFmtId="2" fontId="142" fillId="111" borderId="11" xfId="0" applyNumberFormat="1" applyFont="1" applyFill="1" applyBorder="1" applyAlignment="1" applyProtection="1">
      <alignment horizontal="center" vertical="center"/>
      <protection locked="0"/>
    </xf>
    <xf numFmtId="2" fontId="36" fillId="112" borderId="26" xfId="0" applyNumberFormat="1" applyFont="1" applyFill="1" applyBorder="1" applyAlignment="1">
      <alignment horizontal="center" vertical="center"/>
    </xf>
    <xf numFmtId="2" fontId="36" fillId="112" borderId="173" xfId="0" applyNumberFormat="1" applyFont="1" applyFill="1" applyBorder="1" applyAlignment="1">
      <alignment horizontal="center" vertical="center"/>
    </xf>
    <xf numFmtId="2" fontId="36" fillId="109" borderId="14" xfId="0" quotePrefix="1" applyNumberFormat="1" applyFont="1" applyFill="1" applyBorder="1" applyAlignment="1">
      <alignment horizontal="center" vertical="center"/>
    </xf>
    <xf numFmtId="2" fontId="36" fillId="109" borderId="11" xfId="0" quotePrefix="1" applyNumberFormat="1" applyFont="1" applyFill="1" applyBorder="1" applyAlignment="1">
      <alignment horizontal="center" vertical="center"/>
    </xf>
    <xf numFmtId="2" fontId="36" fillId="100" borderId="26" xfId="0" applyNumberFormat="1" applyFont="1" applyFill="1" applyBorder="1" applyAlignment="1">
      <alignment horizontal="center" vertical="center"/>
    </xf>
    <xf numFmtId="2" fontId="36" fillId="100" borderId="11" xfId="0" applyNumberFormat="1" applyFont="1" applyFill="1" applyBorder="1" applyAlignment="1">
      <alignment horizontal="center" vertical="center"/>
    </xf>
    <xf numFmtId="2" fontId="36" fillId="100" borderId="26" xfId="0" applyNumberFormat="1" applyFont="1" applyFill="1" applyBorder="1" applyAlignment="1" applyProtection="1">
      <alignment horizontal="center" vertical="center"/>
      <protection locked="0"/>
    </xf>
    <xf numFmtId="2" fontId="121" fillId="100" borderId="11" xfId="0" applyNumberFormat="1" applyFont="1" applyFill="1" applyBorder="1" applyAlignment="1" applyProtection="1">
      <alignment horizontal="center" vertical="center"/>
      <protection locked="0"/>
    </xf>
    <xf numFmtId="2" fontId="36" fillId="64" borderId="11" xfId="0" quotePrefix="1" applyNumberFormat="1" applyFont="1" applyFill="1" applyBorder="1" applyAlignment="1">
      <alignment horizontal="center" vertical="center"/>
    </xf>
    <xf numFmtId="2" fontId="36" fillId="61" borderId="26" xfId="0" applyNumberFormat="1" applyFont="1" applyFill="1" applyBorder="1" applyAlignment="1">
      <alignment horizontal="center" vertical="center"/>
    </xf>
    <xf numFmtId="2" fontId="36" fillId="61" borderId="11" xfId="0" applyNumberFormat="1" applyFont="1" applyFill="1" applyBorder="1" applyAlignment="1">
      <alignment horizontal="center" vertical="center"/>
    </xf>
    <xf numFmtId="2" fontId="36" fillId="61" borderId="26" xfId="0" applyNumberFormat="1" applyFont="1" applyFill="1" applyBorder="1" applyAlignment="1" applyProtection="1">
      <alignment horizontal="center" vertical="center"/>
      <protection locked="0"/>
    </xf>
    <xf numFmtId="2" fontId="117" fillId="61" borderId="11" xfId="0" applyNumberFormat="1" applyFont="1" applyFill="1" applyBorder="1" applyAlignment="1" applyProtection="1">
      <alignment horizontal="center" vertical="center"/>
      <protection locked="0"/>
    </xf>
    <xf numFmtId="2" fontId="116" fillId="60" borderId="26" xfId="0" applyNumberFormat="1" applyFont="1" applyFill="1" applyBorder="1" applyAlignment="1" applyProtection="1">
      <alignment horizontal="center" vertical="center"/>
      <protection locked="0"/>
    </xf>
    <xf numFmtId="2" fontId="36" fillId="96" borderId="14" xfId="0" applyNumberFormat="1" applyFont="1" applyFill="1" applyBorder="1" applyAlignment="1" applyProtection="1">
      <alignment horizontal="center" vertical="center"/>
      <protection locked="0"/>
    </xf>
    <xf numFmtId="0" fontId="77" fillId="48" borderId="0" xfId="0" applyFont="1" applyFill="1" applyAlignment="1">
      <alignment horizontal="center" vertical="center" wrapText="1"/>
    </xf>
    <xf numFmtId="164" fontId="77" fillId="48" borderId="0" xfId="0" applyNumberFormat="1" applyFont="1" applyFill="1" applyAlignment="1">
      <alignment horizontal="center"/>
    </xf>
    <xf numFmtId="0" fontId="77" fillId="48" borderId="17" xfId="0" applyFont="1" applyFill="1" applyBorder="1" applyAlignment="1">
      <alignment horizontal="center" vertical="center" wrapText="1"/>
    </xf>
    <xf numFmtId="164" fontId="77" fillId="48" borderId="17" xfId="0" applyNumberFormat="1" applyFont="1" applyFill="1" applyBorder="1" applyAlignment="1">
      <alignment horizontal="center"/>
    </xf>
    <xf numFmtId="0" fontId="77" fillId="48" borderId="0" xfId="0" applyFont="1" applyFill="1" applyAlignment="1">
      <alignment horizontal="center" vertical="center"/>
    </xf>
    <xf numFmtId="0" fontId="77" fillId="48" borderId="0" xfId="0" quotePrefix="1" applyFont="1" applyFill="1" applyAlignment="1">
      <alignment horizontal="center" vertical="center"/>
    </xf>
    <xf numFmtId="2" fontId="77" fillId="48" borderId="0" xfId="0" applyNumberFormat="1" applyFont="1" applyFill="1" applyAlignment="1">
      <alignment horizontal="center"/>
    </xf>
    <xf numFmtId="0" fontId="58" fillId="44" borderId="477" xfId="0" applyFont="1" applyFill="1" applyBorder="1"/>
    <xf numFmtId="165" fontId="9" fillId="49" borderId="12" xfId="0" applyNumberFormat="1" applyFont="1" applyFill="1" applyBorder="1" applyAlignment="1">
      <alignment horizontal="center"/>
    </xf>
    <xf numFmtId="165" fontId="9" fillId="49" borderId="48" xfId="0" applyNumberFormat="1" applyFont="1" applyFill="1" applyBorder="1" applyAlignment="1">
      <alignment horizontal="center"/>
    </xf>
    <xf numFmtId="0" fontId="5" fillId="48" borderId="431" xfId="0" applyFont="1" applyFill="1" applyBorder="1" applyAlignment="1">
      <alignment horizontal="center" vertical="top"/>
    </xf>
    <xf numFmtId="0" fontId="58" fillId="44" borderId="259" xfId="0" applyFont="1" applyFill="1" applyBorder="1"/>
    <xf numFmtId="0" fontId="70" fillId="44" borderId="0" xfId="0" applyFont="1" applyFill="1" applyAlignment="1" applyProtection="1">
      <alignment horizontal="center"/>
      <protection locked="0"/>
    </xf>
    <xf numFmtId="0" fontId="77" fillId="44" borderId="0" xfId="0" applyFont="1" applyFill="1" applyAlignment="1" applyProtection="1">
      <alignment horizontal="center"/>
      <protection locked="0"/>
    </xf>
    <xf numFmtId="0" fontId="7" fillId="44" borderId="0" xfId="0" applyFont="1" applyFill="1" applyAlignment="1">
      <alignment horizontal="center"/>
    </xf>
    <xf numFmtId="166" fontId="9" fillId="44" borderId="0" xfId="0" applyNumberFormat="1" applyFont="1" applyFill="1" applyAlignment="1">
      <alignment horizontal="center"/>
    </xf>
    <xf numFmtId="20" fontId="9" fillId="44" borderId="0" xfId="0" applyNumberFormat="1" applyFont="1" applyFill="1" applyAlignment="1" applyProtection="1">
      <alignment horizontal="center"/>
      <protection locked="0"/>
    </xf>
    <xf numFmtId="14" fontId="9" fillId="44" borderId="0" xfId="0" applyNumberFormat="1" applyFont="1" applyFill="1" applyAlignment="1" applyProtection="1">
      <alignment horizontal="center"/>
      <protection locked="0"/>
    </xf>
    <xf numFmtId="0" fontId="37" fillId="44" borderId="0" xfId="0" applyFont="1" applyFill="1" applyAlignment="1">
      <alignment vertical="center" textRotation="90"/>
    </xf>
    <xf numFmtId="0" fontId="2" fillId="44" borderId="430" xfId="0" applyFont="1" applyFill="1" applyBorder="1" applyAlignment="1">
      <alignment horizontal="right" vertical="center"/>
    </xf>
    <xf numFmtId="0" fontId="100" fillId="44" borderId="159" xfId="0" applyFont="1" applyFill="1" applyBorder="1" applyAlignment="1" applyProtection="1">
      <alignment horizontal="center"/>
      <protection locked="0"/>
    </xf>
    <xf numFmtId="0" fontId="5" fillId="107" borderId="94" xfId="49" applyFill="1" applyBorder="1"/>
    <xf numFmtId="0" fontId="5" fillId="107" borderId="487" xfId="49" applyFill="1" applyBorder="1"/>
    <xf numFmtId="0" fontId="5" fillId="107" borderId="395" xfId="49" applyFill="1" applyBorder="1"/>
    <xf numFmtId="0" fontId="5" fillId="107" borderId="93" xfId="49" applyFill="1" applyBorder="1"/>
    <xf numFmtId="0" fontId="5" fillId="107" borderId="78" xfId="49" applyFill="1" applyBorder="1"/>
    <xf numFmtId="0" fontId="5" fillId="107" borderId="82" xfId="49" applyFill="1" applyBorder="1"/>
    <xf numFmtId="0" fontId="5" fillId="107" borderId="107" xfId="49" applyFill="1" applyBorder="1"/>
    <xf numFmtId="0" fontId="5" fillId="107" borderId="284" xfId="49" applyFill="1" applyBorder="1"/>
    <xf numFmtId="0" fontId="5" fillId="107" borderId="76" xfId="49" applyFill="1" applyBorder="1"/>
    <xf numFmtId="0" fontId="5" fillId="107" borderId="79" xfId="49" applyFill="1" applyBorder="1"/>
    <xf numFmtId="0" fontId="5" fillId="107" borderId="80" xfId="49" applyFill="1" applyBorder="1"/>
    <xf numFmtId="0" fontId="5" fillId="50" borderId="53" xfId="49" applyFill="1" applyBorder="1"/>
    <xf numFmtId="0" fontId="5" fillId="54" borderId="94" xfId="49" applyFill="1" applyBorder="1"/>
    <xf numFmtId="0" fontId="5" fillId="54" borderId="487" xfId="49" applyFill="1" applyBorder="1"/>
    <xf numFmtId="0" fontId="5" fillId="54" borderId="395" xfId="49" applyFill="1" applyBorder="1"/>
    <xf numFmtId="0" fontId="5" fillId="54" borderId="93" xfId="49" applyFill="1" applyBorder="1"/>
    <xf numFmtId="0" fontId="5" fillId="54" borderId="78" xfId="49" applyFill="1" applyBorder="1"/>
    <xf numFmtId="0" fontId="5" fillId="54" borderId="82" xfId="49" applyFill="1" applyBorder="1"/>
    <xf numFmtId="0" fontId="5" fillId="48" borderId="93" xfId="49" applyFill="1" applyBorder="1"/>
    <xf numFmtId="0" fontId="5" fillId="48" borderId="78" xfId="49" applyFill="1" applyBorder="1"/>
    <xf numFmtId="0" fontId="5" fillId="48" borderId="82" xfId="49" applyFill="1" applyBorder="1"/>
    <xf numFmtId="0" fontId="5" fillId="45" borderId="93" xfId="49" applyFill="1" applyBorder="1"/>
    <xf numFmtId="0" fontId="5" fillId="45" borderId="78" xfId="49" applyFill="1" applyBorder="1"/>
    <xf numFmtId="0" fontId="5" fillId="45" borderId="82" xfId="49" applyFill="1" applyBorder="1"/>
    <xf numFmtId="0" fontId="5" fillId="46" borderId="93" xfId="49" applyFill="1" applyBorder="1"/>
    <xf numFmtId="0" fontId="5" fillId="46" borderId="78" xfId="49" applyFill="1" applyBorder="1"/>
    <xf numFmtId="0" fontId="5" fillId="46" borderId="82" xfId="49" applyFill="1" applyBorder="1"/>
    <xf numFmtId="0" fontId="5" fillId="46" borderId="93" xfId="49" quotePrefix="1" applyFill="1" applyBorder="1"/>
    <xf numFmtId="0" fontId="5" fillId="46" borderId="78" xfId="49" quotePrefix="1" applyFill="1" applyBorder="1"/>
    <xf numFmtId="0" fontId="5" fillId="46" borderId="82" xfId="49" quotePrefix="1" applyFill="1" applyBorder="1"/>
    <xf numFmtId="0" fontId="5" fillId="55" borderId="93" xfId="49" applyFill="1" applyBorder="1"/>
    <xf numFmtId="0" fontId="5" fillId="55" borderId="78" xfId="49" applyFill="1" applyBorder="1"/>
    <xf numFmtId="0" fontId="5" fillId="55" borderId="82" xfId="49" applyFill="1" applyBorder="1"/>
    <xf numFmtId="0" fontId="5" fillId="84" borderId="93" xfId="49" applyFill="1" applyBorder="1"/>
    <xf numFmtId="0" fontId="5" fillId="84" borderId="78" xfId="49" applyFill="1" applyBorder="1"/>
    <xf numFmtId="0" fontId="5" fillId="84" borderId="82" xfId="49" applyFill="1" applyBorder="1"/>
    <xf numFmtId="0" fontId="5" fillId="76" borderId="93" xfId="49" applyFill="1" applyBorder="1"/>
    <xf numFmtId="0" fontId="5" fillId="76" borderId="78" xfId="49" applyFill="1" applyBorder="1"/>
    <xf numFmtId="0" fontId="5" fillId="76" borderId="82" xfId="49" applyFill="1" applyBorder="1"/>
    <xf numFmtId="0" fontId="5" fillId="76" borderId="93" xfId="49" quotePrefix="1" applyFill="1" applyBorder="1"/>
    <xf numFmtId="0" fontId="5" fillId="76" borderId="78" xfId="49" quotePrefix="1" applyFill="1" applyBorder="1"/>
    <xf numFmtId="0" fontId="5" fillId="76" borderId="82" xfId="49" quotePrefix="1" applyFill="1" applyBorder="1"/>
    <xf numFmtId="0" fontId="5" fillId="76" borderId="76" xfId="49" applyFill="1" applyBorder="1"/>
    <xf numFmtId="0" fontId="5" fillId="76" borderId="79" xfId="49" applyFill="1" applyBorder="1"/>
    <xf numFmtId="0" fontId="5" fillId="76" borderId="80" xfId="49" applyFill="1" applyBorder="1"/>
    <xf numFmtId="0" fontId="5" fillId="48" borderId="93" xfId="49" quotePrefix="1" applyFill="1" applyBorder="1"/>
    <xf numFmtId="0" fontId="32" fillId="107" borderId="487" xfId="41" applyFont="1" applyFill="1" applyBorder="1"/>
    <xf numFmtId="0" fontId="32" fillId="107" borderId="395" xfId="41" applyFont="1" applyFill="1" applyBorder="1"/>
    <xf numFmtId="49" fontId="5" fillId="107" borderId="93" xfId="49" applyNumberFormat="1" applyFill="1" applyBorder="1"/>
    <xf numFmtId="49" fontId="5" fillId="107" borderId="78" xfId="49" applyNumberFormat="1" applyFill="1" applyBorder="1"/>
    <xf numFmtId="49" fontId="5" fillId="107" borderId="82" xfId="49" applyNumberFormat="1" applyFill="1" applyBorder="1"/>
    <xf numFmtId="49" fontId="5" fillId="76" borderId="93" xfId="49" applyNumberFormat="1" applyFill="1" applyBorder="1"/>
    <xf numFmtId="49" fontId="5" fillId="76" borderId="78" xfId="49" applyNumberFormat="1" applyFill="1" applyBorder="1"/>
    <xf numFmtId="49" fontId="5" fillId="76" borderId="82" xfId="49" applyNumberFormat="1" applyFill="1" applyBorder="1"/>
    <xf numFmtId="49" fontId="5" fillId="76" borderId="93" xfId="49" quotePrefix="1" applyNumberFormat="1" applyFill="1" applyBorder="1"/>
    <xf numFmtId="49" fontId="5" fillId="107" borderId="82" xfId="49" applyNumberFormat="1" applyFill="1" applyBorder="1" applyAlignment="1">
      <alignment horizontal="justify"/>
    </xf>
    <xf numFmtId="49" fontId="5" fillId="107" borderId="76" xfId="49" quotePrefix="1" applyNumberFormat="1" applyFill="1" applyBorder="1"/>
    <xf numFmtId="49" fontId="5" fillId="107" borderId="79" xfId="49" applyNumberFormat="1" applyFill="1" applyBorder="1"/>
    <xf numFmtId="49" fontId="5" fillId="107" borderId="80" xfId="49" applyNumberFormat="1" applyFill="1" applyBorder="1"/>
    <xf numFmtId="49" fontId="5" fillId="107" borderId="158" xfId="0" applyNumberFormat="1" applyFont="1" applyFill="1" applyBorder="1" applyAlignment="1">
      <alignment horizontal="center"/>
    </xf>
    <xf numFmtId="0" fontId="100" fillId="145" borderId="0" xfId="0" applyFont="1" applyFill="1" applyAlignment="1" applyProtection="1">
      <alignment horizontal="center"/>
      <protection locked="0"/>
    </xf>
    <xf numFmtId="49" fontId="5" fillId="145" borderId="0" xfId="49" quotePrefix="1" applyNumberFormat="1" applyFill="1"/>
    <xf numFmtId="49" fontId="5" fillId="145" borderId="0" xfId="49" applyNumberFormat="1" applyFill="1"/>
    <xf numFmtId="49" fontId="5" fillId="145" borderId="0" xfId="0" applyNumberFormat="1" applyFont="1" applyFill="1" applyAlignment="1">
      <alignment horizontal="center"/>
    </xf>
    <xf numFmtId="49" fontId="0" fillId="145" borderId="0" xfId="0" applyNumberFormat="1" applyFill="1" applyAlignment="1">
      <alignment horizontal="center"/>
    </xf>
    <xf numFmtId="0" fontId="0" fillId="145" borderId="0" xfId="0" applyFill="1"/>
    <xf numFmtId="49" fontId="5" fillId="145" borderId="13" xfId="49" applyNumberFormat="1" applyFill="1" applyBorder="1"/>
    <xf numFmtId="0" fontId="171" fillId="44" borderId="12" xfId="41"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171" fillId="44" borderId="470" xfId="41" applyFont="1" applyFill="1" applyBorder="1" applyAlignment="1" applyProtection="1">
      <alignment vertical="center"/>
      <protection locked="0"/>
    </xf>
    <xf numFmtId="0" fontId="171" fillId="44" borderId="471" xfId="41" applyFont="1" applyFill="1" applyBorder="1" applyAlignment="1" applyProtection="1">
      <alignment vertical="center"/>
      <protection locked="0"/>
    </xf>
    <xf numFmtId="0" fontId="171" fillId="44" borderId="469" xfId="41" applyFont="1" applyFill="1" applyBorder="1" applyAlignment="1" applyProtection="1">
      <alignment vertical="center"/>
      <protection locked="0"/>
    </xf>
    <xf numFmtId="165" fontId="9" fillId="50" borderId="0" xfId="0" applyNumberFormat="1" applyFont="1" applyFill="1" applyAlignment="1" applyProtection="1">
      <alignment horizontal="center" vertical="center"/>
      <protection locked="0"/>
    </xf>
    <xf numFmtId="165" fontId="34" fillId="95" borderId="12" xfId="0" quotePrefix="1" applyNumberFormat="1" applyFont="1" applyFill="1" applyBorder="1" applyAlignment="1">
      <alignment horizontal="center" vertical="center" wrapText="1"/>
    </xf>
    <xf numFmtId="165" fontId="36" fillId="50" borderId="94" xfId="0" applyNumberFormat="1" applyFont="1" applyFill="1" applyBorder="1" applyAlignment="1" applyProtection="1">
      <alignment horizontal="center" vertical="center"/>
      <protection locked="0"/>
    </xf>
    <xf numFmtId="165" fontId="36" fillId="50" borderId="93" xfId="0" applyNumberFormat="1" applyFont="1" applyFill="1" applyBorder="1" applyAlignment="1" applyProtection="1">
      <alignment horizontal="center" vertical="center"/>
      <protection locked="0"/>
    </xf>
    <xf numFmtId="165" fontId="36" fillId="50" borderId="249" xfId="0" applyNumberFormat="1" applyFont="1" applyFill="1" applyBorder="1" applyAlignment="1" applyProtection="1">
      <alignment horizontal="center" vertical="center"/>
      <protection locked="0"/>
    </xf>
    <xf numFmtId="165" fontId="36" fillId="50" borderId="76" xfId="0" applyNumberFormat="1" applyFont="1" applyFill="1" applyBorder="1" applyAlignment="1" applyProtection="1">
      <alignment horizontal="center" vertical="center"/>
      <protection locked="0"/>
    </xf>
    <xf numFmtId="165" fontId="36" fillId="94" borderId="93" xfId="0" applyNumberFormat="1" applyFont="1" applyFill="1" applyBorder="1" applyAlignment="1" applyProtection="1">
      <alignment horizontal="center" vertical="center"/>
      <protection locked="0"/>
    </xf>
    <xf numFmtId="165" fontId="36" fillId="94" borderId="147" xfId="0" applyNumberFormat="1" applyFont="1" applyFill="1" applyBorder="1" applyAlignment="1" applyProtection="1">
      <alignment horizontal="center" vertical="center"/>
      <protection locked="0"/>
    </xf>
    <xf numFmtId="165" fontId="36" fillId="94" borderId="94" xfId="0" applyNumberFormat="1" applyFont="1" applyFill="1" applyBorder="1" applyAlignment="1" applyProtection="1">
      <alignment horizontal="center" vertical="center"/>
      <protection locked="0"/>
    </xf>
    <xf numFmtId="165" fontId="36" fillId="94" borderId="99" xfId="0" applyNumberFormat="1" applyFont="1" applyFill="1" applyBorder="1" applyAlignment="1" applyProtection="1">
      <alignment horizontal="center" vertical="center"/>
      <protection locked="0"/>
    </xf>
    <xf numFmtId="165" fontId="36" fillId="94" borderId="95" xfId="0" applyNumberFormat="1" applyFont="1" applyFill="1" applyBorder="1" applyAlignment="1" applyProtection="1">
      <alignment horizontal="center" vertical="center"/>
      <protection locked="0"/>
    </xf>
    <xf numFmtId="165" fontId="36" fillId="94" borderId="249" xfId="0" applyNumberFormat="1" applyFont="1" applyFill="1" applyBorder="1" applyAlignment="1" applyProtection="1">
      <alignment horizontal="center" vertical="center"/>
      <protection locked="0"/>
    </xf>
    <xf numFmtId="165" fontId="36" fillId="50" borderId="147" xfId="0" applyNumberFormat="1" applyFont="1" applyFill="1" applyBorder="1" applyAlignment="1" applyProtection="1">
      <alignment horizontal="center" vertical="center"/>
      <protection locked="0"/>
    </xf>
    <xf numFmtId="165" fontId="36" fillId="50" borderId="148" xfId="0" applyNumberFormat="1" applyFont="1" applyFill="1" applyBorder="1" applyAlignment="1" applyProtection="1">
      <alignment horizontal="center" vertical="center"/>
      <protection locked="0"/>
    </xf>
    <xf numFmtId="165" fontId="36" fillId="50" borderId="96" xfId="0" applyNumberFormat="1" applyFont="1" applyFill="1" applyBorder="1" applyAlignment="1" applyProtection="1">
      <alignment horizontal="center" vertical="center"/>
      <protection locked="0"/>
    </xf>
    <xf numFmtId="165" fontId="36" fillId="50" borderId="83" xfId="0" applyNumberFormat="1" applyFont="1" applyFill="1" applyBorder="1" applyAlignment="1" applyProtection="1">
      <alignment horizontal="center" vertical="center"/>
      <protection locked="0"/>
    </xf>
    <xf numFmtId="165" fontId="36" fillId="50" borderId="98" xfId="0" applyNumberFormat="1" applyFont="1" applyFill="1" applyBorder="1" applyAlignment="1" applyProtection="1">
      <alignment horizontal="center" vertical="center"/>
      <protection locked="0"/>
    </xf>
    <xf numFmtId="165" fontId="36" fillId="50" borderId="209" xfId="0" applyNumberFormat="1" applyFont="1" applyFill="1" applyBorder="1" applyAlignment="1" applyProtection="1">
      <alignment horizontal="center" vertical="center"/>
      <protection locked="0"/>
    </xf>
    <xf numFmtId="165" fontId="36" fillId="94" borderId="96" xfId="0" applyNumberFormat="1" applyFont="1" applyFill="1" applyBorder="1" applyAlignment="1" applyProtection="1">
      <alignment horizontal="center" vertical="center"/>
      <protection locked="0"/>
    </xf>
    <xf numFmtId="165" fontId="36" fillId="94" borderId="83" xfId="0" applyNumberFormat="1" applyFont="1" applyFill="1" applyBorder="1" applyAlignment="1" applyProtection="1">
      <alignment horizontal="center" vertical="center"/>
      <protection locked="0"/>
    </xf>
    <xf numFmtId="165" fontId="36" fillId="50" borderId="160" xfId="0" applyNumberFormat="1" applyFont="1" applyFill="1" applyBorder="1" applyAlignment="1" applyProtection="1">
      <alignment horizontal="center" vertical="center"/>
      <protection locked="0"/>
    </xf>
    <xf numFmtId="165" fontId="36" fillId="94" borderId="160" xfId="0" applyNumberFormat="1" applyFont="1" applyFill="1" applyBorder="1" applyAlignment="1" applyProtection="1">
      <alignment horizontal="center" vertical="center"/>
      <protection locked="0"/>
    </xf>
    <xf numFmtId="165" fontId="36" fillId="94" borderId="209" xfId="0" applyNumberFormat="1" applyFont="1" applyFill="1" applyBorder="1" applyAlignment="1" applyProtection="1">
      <alignment horizontal="center" vertical="center"/>
      <protection locked="0"/>
    </xf>
    <xf numFmtId="165" fontId="36" fillId="94" borderId="153" xfId="0" applyNumberFormat="1" applyFont="1" applyFill="1" applyBorder="1" applyAlignment="1" applyProtection="1">
      <alignment horizontal="center" vertical="center"/>
      <protection locked="0"/>
    </xf>
    <xf numFmtId="49" fontId="0" fillId="49" borderId="83" xfId="0" applyNumberFormat="1" applyFill="1" applyBorder="1" applyAlignment="1">
      <alignment horizontal="center"/>
    </xf>
    <xf numFmtId="20" fontId="5" fillId="29" borderId="46" xfId="0" applyNumberFormat="1" applyFont="1" applyFill="1" applyBorder="1" applyAlignment="1" applyProtection="1">
      <alignment horizontal="center"/>
      <protection locked="0"/>
    </xf>
    <xf numFmtId="0" fontId="46" fillId="44" borderId="0" xfId="0" applyFont="1" applyFill="1" applyProtection="1">
      <protection locked="0"/>
    </xf>
    <xf numFmtId="0" fontId="171" fillId="44" borderId="469" xfId="41" applyFont="1" applyFill="1" applyBorder="1" applyAlignment="1" applyProtection="1">
      <alignment horizontal="center" vertical="center"/>
      <protection locked="0"/>
    </xf>
    <xf numFmtId="0" fontId="171" fillId="44" borderId="470" xfId="41" applyFont="1" applyFill="1" applyBorder="1" applyAlignment="1" applyProtection="1">
      <alignment horizontal="center" vertical="center"/>
      <protection locked="0"/>
    </xf>
    <xf numFmtId="0" fontId="171" fillId="44" borderId="471" xfId="41" applyFont="1" applyFill="1" applyBorder="1" applyAlignment="1" applyProtection="1">
      <alignment horizontal="center" vertical="center"/>
      <protection locked="0"/>
    </xf>
    <xf numFmtId="49" fontId="0" fillId="49" borderId="74" xfId="0" applyNumberFormat="1" applyFill="1" applyBorder="1" applyAlignment="1">
      <alignment horizontal="center"/>
    </xf>
    <xf numFmtId="49" fontId="0" fillId="49" borderId="83" xfId="0" applyNumberFormat="1" applyFill="1" applyBorder="1" applyAlignment="1">
      <alignment horizontal="center"/>
    </xf>
    <xf numFmtId="49" fontId="0" fillId="49" borderId="93" xfId="0" applyNumberFormat="1" applyFill="1" applyBorder="1" applyAlignment="1">
      <alignment horizontal="center"/>
    </xf>
    <xf numFmtId="49" fontId="0" fillId="49" borderId="127" xfId="0" applyNumberFormat="1" applyFill="1" applyBorder="1" applyAlignment="1">
      <alignment horizontal="center"/>
    </xf>
    <xf numFmtId="49" fontId="0" fillId="49" borderId="72" xfId="0" applyNumberFormat="1" applyFill="1" applyBorder="1" applyAlignment="1">
      <alignment horizontal="center"/>
    </xf>
    <xf numFmtId="49" fontId="0" fillId="49" borderId="96" xfId="0" applyNumberFormat="1" applyFill="1" applyBorder="1" applyAlignment="1">
      <alignment horizontal="center"/>
    </xf>
    <xf numFmtId="49" fontId="5" fillId="76" borderId="93" xfId="0" applyNumberFormat="1" applyFont="1" applyFill="1" applyBorder="1" applyAlignment="1">
      <alignment horizontal="center"/>
    </xf>
    <xf numFmtId="49" fontId="0" fillId="76" borderId="127" xfId="0" applyNumberFormat="1" applyFill="1" applyBorder="1" applyAlignment="1">
      <alignment horizontal="center"/>
    </xf>
    <xf numFmtId="49" fontId="5" fillId="107" borderId="93" xfId="0" applyNumberFormat="1" applyFont="1" applyFill="1" applyBorder="1" applyAlignment="1">
      <alignment horizontal="center"/>
    </xf>
    <xf numFmtId="49" fontId="0" fillId="107" borderId="127" xfId="0" applyNumberFormat="1" applyFill="1" applyBorder="1" applyAlignment="1">
      <alignment horizontal="center"/>
    </xf>
    <xf numFmtId="49" fontId="5" fillId="107" borderId="76" xfId="0" applyNumberFormat="1" applyFont="1" applyFill="1" applyBorder="1" applyAlignment="1">
      <alignment horizontal="center"/>
    </xf>
    <xf numFmtId="49" fontId="0" fillId="107" borderId="128" xfId="0" applyNumberFormat="1" applyFill="1" applyBorder="1" applyAlignment="1">
      <alignment horizontal="center"/>
    </xf>
    <xf numFmtId="0" fontId="74" fillId="55" borderId="430" xfId="41" applyFont="1" applyFill="1" applyBorder="1" applyAlignment="1">
      <alignment horizontal="center" vertical="center"/>
    </xf>
    <xf numFmtId="0" fontId="2" fillId="44" borderId="430" xfId="0" applyFont="1" applyFill="1" applyBorder="1" applyAlignment="1">
      <alignment horizontal="left"/>
    </xf>
    <xf numFmtId="0" fontId="144" fillId="50" borderId="0" xfId="0" applyFont="1" applyFill="1" applyAlignment="1">
      <alignment horizontal="center" wrapText="1"/>
    </xf>
    <xf numFmtId="0" fontId="144" fillId="50" borderId="17" xfId="0" applyFont="1" applyFill="1" applyBorder="1" applyAlignment="1">
      <alignment horizontal="center"/>
    </xf>
    <xf numFmtId="0" fontId="75" fillId="44" borderId="12" xfId="41" applyFont="1" applyFill="1" applyBorder="1" applyAlignment="1" applyProtection="1">
      <alignment horizontal="center" vertical="center"/>
      <protection locked="0"/>
    </xf>
    <xf numFmtId="0" fontId="74" fillId="55" borderId="12" xfId="41" applyFont="1" applyFill="1" applyBorder="1" applyAlignment="1">
      <alignment horizontal="center" vertical="center"/>
    </xf>
    <xf numFmtId="0" fontId="74" fillId="55" borderId="469" xfId="41" applyFont="1" applyFill="1" applyBorder="1" applyAlignment="1">
      <alignment horizontal="center" vertical="center"/>
    </xf>
    <xf numFmtId="0" fontId="74" fillId="55" borderId="470" xfId="41" applyFont="1" applyFill="1" applyBorder="1" applyAlignment="1">
      <alignment horizontal="center" vertical="center"/>
    </xf>
    <xf numFmtId="0" fontId="74" fillId="55" borderId="471" xfId="41" applyFont="1" applyFill="1" applyBorder="1" applyAlignment="1">
      <alignment horizontal="center" vertical="center"/>
    </xf>
    <xf numFmtId="0" fontId="75" fillId="44" borderId="10" xfId="41" applyFont="1" applyFill="1" applyBorder="1" applyAlignment="1" applyProtection="1">
      <alignment horizontal="center" vertical="center" wrapText="1"/>
      <protection locked="0"/>
    </xf>
    <xf numFmtId="0" fontId="75" fillId="44" borderId="28" xfId="41" applyFont="1" applyFill="1" applyBorder="1" applyAlignment="1" applyProtection="1">
      <alignment horizontal="center" vertical="center"/>
      <protection locked="0"/>
    </xf>
    <xf numFmtId="0" fontId="4" fillId="44" borderId="10" xfId="0" applyFont="1" applyFill="1" applyBorder="1" applyAlignment="1" applyProtection="1">
      <alignment horizontal="left" vertical="center"/>
      <protection locked="0"/>
    </xf>
    <xf numFmtId="0" fontId="4" fillId="44" borderId="28" xfId="0" applyFont="1" applyFill="1" applyBorder="1" applyAlignment="1" applyProtection="1">
      <alignment horizontal="left" vertical="center"/>
      <protection locked="0"/>
    </xf>
    <xf numFmtId="0" fontId="144" fillId="50" borderId="0" xfId="0" applyFont="1" applyFill="1" applyAlignment="1">
      <alignment horizontal="center"/>
    </xf>
    <xf numFmtId="49" fontId="0" fillId="49" borderId="75" xfId="0" applyNumberFormat="1" applyFill="1" applyBorder="1" applyAlignment="1">
      <alignment horizontal="center"/>
    </xf>
    <xf numFmtId="49" fontId="0" fillId="49" borderId="85" xfId="0" applyNumberFormat="1" applyFill="1" applyBorder="1" applyAlignment="1">
      <alignment horizontal="center"/>
    </xf>
    <xf numFmtId="49" fontId="0" fillId="50" borderId="53" xfId="0" applyNumberFormat="1" applyFill="1" applyBorder="1" applyAlignment="1">
      <alignment horizontal="center"/>
    </xf>
    <xf numFmtId="0" fontId="5" fillId="55" borderId="30" xfId="0" applyFont="1" applyFill="1" applyBorder="1" applyAlignment="1">
      <alignment horizontal="center" wrapText="1"/>
    </xf>
    <xf numFmtId="0" fontId="5" fillId="55" borderId="0" xfId="0" applyFont="1" applyFill="1" applyAlignment="1">
      <alignment horizontal="center" wrapText="1"/>
    </xf>
    <xf numFmtId="0" fontId="74" fillId="55" borderId="245" xfId="41" applyFont="1" applyFill="1" applyBorder="1" applyAlignment="1">
      <alignment horizontal="center" vertical="center"/>
    </xf>
    <xf numFmtId="0" fontId="74" fillId="55" borderId="26" xfId="41" applyFont="1" applyFill="1" applyBorder="1" applyAlignment="1">
      <alignment horizontal="center" vertical="center"/>
    </xf>
    <xf numFmtId="0" fontId="74" fillId="55" borderId="11" xfId="41" applyFont="1" applyFill="1" applyBorder="1" applyAlignment="1">
      <alignment horizontal="center" vertical="center"/>
    </xf>
    <xf numFmtId="49" fontId="5" fillId="48" borderId="74" xfId="0" applyNumberFormat="1" applyFont="1" applyFill="1" applyBorder="1" applyAlignment="1">
      <alignment horizontal="center"/>
    </xf>
    <xf numFmtId="49" fontId="0" fillId="48" borderId="83" xfId="0" applyNumberFormat="1" applyFill="1" applyBorder="1" applyAlignment="1">
      <alignment horizontal="center"/>
    </xf>
    <xf numFmtId="49" fontId="5" fillId="107" borderId="94" xfId="0" applyNumberFormat="1" applyFont="1" applyFill="1" applyBorder="1" applyAlignment="1">
      <alignment horizontal="center"/>
    </xf>
    <xf numFmtId="49" fontId="0" fillId="107" borderId="390" xfId="0" applyNumberFormat="1" applyFill="1" applyBorder="1" applyAlignment="1">
      <alignment horizontal="center"/>
    </xf>
    <xf numFmtId="164" fontId="5" fillId="24" borderId="391" xfId="0" applyNumberFormat="1" applyFont="1" applyFill="1" applyBorder="1" applyAlignment="1">
      <alignment horizontal="center" vertical="center"/>
    </xf>
    <xf numFmtId="0" fontId="7" fillId="49" borderId="12" xfId="0" applyFont="1" applyFill="1" applyBorder="1" applyAlignment="1">
      <alignment horizontal="center" vertical="center" wrapText="1"/>
    </xf>
    <xf numFmtId="2" fontId="9" fillId="0" borderId="12" xfId="39" applyNumberFormat="1" applyBorder="1" applyAlignment="1">
      <alignment horizontal="center" vertical="center" wrapText="1"/>
    </xf>
    <xf numFmtId="0" fontId="9" fillId="0" borderId="12" xfId="39" applyBorder="1" applyAlignment="1">
      <alignment horizontal="center" vertical="center" wrapText="1"/>
    </xf>
    <xf numFmtId="0" fontId="28" fillId="36" borderId="12" xfId="39" applyFont="1" applyFill="1" applyBorder="1" applyAlignment="1">
      <alignment horizontal="center" vertical="center"/>
    </xf>
    <xf numFmtId="0" fontId="28" fillId="37" borderId="12" xfId="39" applyFont="1" applyFill="1" applyBorder="1" applyAlignment="1">
      <alignment horizontal="center" vertical="center"/>
    </xf>
    <xf numFmtId="0" fontId="28" fillId="38" borderId="12" xfId="39" applyFont="1" applyFill="1" applyBorder="1" applyAlignment="1">
      <alignment horizontal="center" vertical="center"/>
    </xf>
    <xf numFmtId="0" fontId="28" fillId="39" borderId="12" xfId="39" applyFont="1" applyFill="1" applyBorder="1" applyAlignment="1">
      <alignment horizontal="center" vertical="center"/>
    </xf>
    <xf numFmtId="0" fontId="28" fillId="40" borderId="12" xfId="39" applyFont="1" applyFill="1" applyBorder="1" applyAlignment="1">
      <alignment horizontal="center" vertical="center"/>
    </xf>
    <xf numFmtId="0" fontId="28" fillId="0" borderId="12" xfId="39" applyFont="1" applyBorder="1" applyAlignment="1">
      <alignment horizontal="center" vertical="center"/>
    </xf>
    <xf numFmtId="0" fontId="28" fillId="31" borderId="12" xfId="39" applyFont="1" applyFill="1" applyBorder="1" applyAlignment="1">
      <alignment horizontal="center" vertical="center"/>
    </xf>
    <xf numFmtId="0" fontId="28" fillId="32" borderId="12" xfId="39" applyFont="1" applyFill="1" applyBorder="1" applyAlignment="1">
      <alignment horizontal="center" vertical="center"/>
    </xf>
    <xf numFmtId="0" fontId="28" fillId="33" borderId="12" xfId="39" applyFont="1" applyFill="1" applyBorder="1" applyAlignment="1">
      <alignment horizontal="center" vertical="center"/>
    </xf>
    <xf numFmtId="0" fontId="9" fillId="0" borderId="14" xfId="39" applyBorder="1" applyAlignment="1">
      <alignment horizontal="center" vertical="center" wrapText="1"/>
    </xf>
    <xf numFmtId="0" fontId="28" fillId="34" borderId="12" xfId="39" applyFont="1" applyFill="1" applyBorder="1" applyAlignment="1">
      <alignment horizontal="center" vertical="center"/>
    </xf>
    <xf numFmtId="0" fontId="28" fillId="35" borderId="12" xfId="39" applyFont="1" applyFill="1" applyBorder="1" applyAlignment="1">
      <alignment horizontal="center" vertical="center"/>
    </xf>
    <xf numFmtId="0" fontId="28" fillId="30" borderId="12" xfId="39" applyFont="1" applyFill="1" applyBorder="1" applyAlignment="1">
      <alignment horizontal="center" vertical="center"/>
    </xf>
    <xf numFmtId="2" fontId="9" fillId="0" borderId="348" xfId="39" applyNumberFormat="1" applyBorder="1" applyAlignment="1">
      <alignment horizontal="center" vertical="center" wrapText="1"/>
    </xf>
    <xf numFmtId="0" fontId="9" fillId="0" borderId="348" xfId="39" applyBorder="1" applyAlignment="1">
      <alignment horizontal="center" vertical="center" wrapText="1"/>
    </xf>
    <xf numFmtId="2" fontId="9" fillId="0" borderId="252" xfId="39" applyNumberFormat="1" applyBorder="1" applyAlignment="1">
      <alignment horizontal="center" vertical="center" wrapText="1"/>
    </xf>
    <xf numFmtId="0" fontId="9" fillId="0" borderId="252" xfId="39" applyBorder="1" applyAlignment="1">
      <alignment horizontal="center" vertical="center" wrapText="1"/>
    </xf>
    <xf numFmtId="0" fontId="28" fillId="0" borderId="252" xfId="39" applyFont="1" applyBorder="1" applyAlignment="1">
      <alignment horizontal="center" vertical="center"/>
    </xf>
    <xf numFmtId="0" fontId="28" fillId="30" borderId="252" xfId="39" applyFont="1" applyFill="1" applyBorder="1" applyAlignment="1">
      <alignment horizontal="center" vertical="center"/>
    </xf>
    <xf numFmtId="0" fontId="28" fillId="31" borderId="252" xfId="39" applyFont="1" applyFill="1" applyBorder="1" applyAlignment="1">
      <alignment horizontal="center" vertical="center"/>
    </xf>
    <xf numFmtId="0" fontId="28" fillId="32" borderId="252" xfId="39" applyFont="1" applyFill="1" applyBorder="1" applyAlignment="1">
      <alignment horizontal="center" vertical="center"/>
    </xf>
    <xf numFmtId="0" fontId="28" fillId="33" borderId="252" xfId="39" applyFont="1" applyFill="1" applyBorder="1" applyAlignment="1">
      <alignment horizontal="center" vertical="center"/>
    </xf>
    <xf numFmtId="0" fontId="28" fillId="34" borderId="252" xfId="39" applyFont="1" applyFill="1" applyBorder="1" applyAlignment="1">
      <alignment horizontal="center" vertical="center"/>
    </xf>
    <xf numFmtId="0" fontId="28" fillId="35" borderId="252" xfId="39" applyFont="1" applyFill="1" applyBorder="1" applyAlignment="1">
      <alignment horizontal="center" vertical="center"/>
    </xf>
    <xf numFmtId="0" fontId="28" fillId="36" borderId="252" xfId="39" applyFont="1" applyFill="1" applyBorder="1" applyAlignment="1">
      <alignment horizontal="center" vertical="center"/>
    </xf>
    <xf numFmtId="0" fontId="28" fillId="37" borderId="252" xfId="39" applyFont="1" applyFill="1" applyBorder="1" applyAlignment="1">
      <alignment horizontal="center" vertical="center"/>
    </xf>
    <xf numFmtId="0" fontId="28" fillId="38" borderId="252" xfId="39" applyFont="1" applyFill="1" applyBorder="1" applyAlignment="1">
      <alignment horizontal="center" vertical="center"/>
    </xf>
    <xf numFmtId="0" fontId="28" fillId="39" borderId="252" xfId="39" applyFont="1" applyFill="1" applyBorder="1" applyAlignment="1">
      <alignment horizontal="center" vertical="center"/>
    </xf>
    <xf numFmtId="0" fontId="28" fillId="40" borderId="252" xfId="39" applyFont="1" applyFill="1" applyBorder="1" applyAlignment="1">
      <alignment horizontal="center" vertical="center"/>
    </xf>
    <xf numFmtId="2" fontId="5" fillId="0" borderId="251" xfId="49" applyNumberFormat="1" applyBorder="1" applyAlignment="1">
      <alignment horizontal="center" vertical="center" wrapText="1"/>
    </xf>
    <xf numFmtId="2" fontId="5" fillId="0" borderId="252" xfId="49" applyNumberFormat="1" applyBorder="1" applyAlignment="1">
      <alignment horizontal="center" vertical="center" wrapText="1"/>
    </xf>
    <xf numFmtId="0" fontId="5" fillId="0" borderId="252" xfId="49" applyBorder="1" applyAlignment="1">
      <alignment horizontal="center" vertical="center" wrapText="1"/>
    </xf>
    <xf numFmtId="0" fontId="5" fillId="0" borderId="251" xfId="49" applyBorder="1" applyAlignment="1">
      <alignment horizontal="center" vertical="center" wrapText="1"/>
    </xf>
    <xf numFmtId="0" fontId="28" fillId="0" borderId="251" xfId="49" applyFont="1" applyBorder="1" applyAlignment="1">
      <alignment horizontal="center" vertical="center"/>
    </xf>
    <xf numFmtId="0" fontId="28" fillId="0" borderId="252" xfId="49" applyFont="1" applyBorder="1" applyAlignment="1">
      <alignment horizontal="center" vertical="center"/>
    </xf>
    <xf numFmtId="0" fontId="28" fillId="30" borderId="251" xfId="49" applyFont="1" applyFill="1" applyBorder="1" applyAlignment="1">
      <alignment horizontal="center" vertical="center"/>
    </xf>
    <xf numFmtId="0" fontId="28" fillId="30" borderId="252" xfId="49" applyFont="1" applyFill="1" applyBorder="1" applyAlignment="1">
      <alignment horizontal="center" vertical="center"/>
    </xf>
    <xf numFmtId="0" fontId="28" fillId="31" borderId="251" xfId="49" applyFont="1" applyFill="1" applyBorder="1" applyAlignment="1">
      <alignment horizontal="center" vertical="center"/>
    </xf>
    <xf numFmtId="0" fontId="28" fillId="31" borderId="252" xfId="49" applyFont="1" applyFill="1" applyBorder="1" applyAlignment="1">
      <alignment horizontal="center" vertical="center"/>
    </xf>
    <xf numFmtId="0" fontId="28" fillId="32" borderId="251" xfId="49" applyFont="1" applyFill="1" applyBorder="1" applyAlignment="1">
      <alignment horizontal="center" vertical="center"/>
    </xf>
    <xf numFmtId="0" fontId="28" fillId="32" borderId="252" xfId="49" applyFont="1" applyFill="1" applyBorder="1" applyAlignment="1">
      <alignment horizontal="center" vertical="center"/>
    </xf>
    <xf numFmtId="0" fontId="28" fillId="33" borderId="251" xfId="49" applyFont="1" applyFill="1" applyBorder="1" applyAlignment="1">
      <alignment horizontal="center" vertical="center"/>
    </xf>
    <xf numFmtId="0" fontId="28" fillId="33" borderId="252" xfId="49" applyFont="1" applyFill="1" applyBorder="1" applyAlignment="1">
      <alignment horizontal="center" vertical="center"/>
    </xf>
    <xf numFmtId="0" fontId="5" fillId="0" borderId="258" xfId="49" applyBorder="1" applyAlignment="1">
      <alignment horizontal="center" vertical="center" wrapText="1"/>
    </xf>
    <xf numFmtId="0" fontId="28" fillId="34" borderId="251" xfId="49" applyFont="1" applyFill="1" applyBorder="1" applyAlignment="1">
      <alignment horizontal="center" vertical="center"/>
    </xf>
    <xf numFmtId="0" fontId="28" fillId="34" borderId="252" xfId="49" applyFont="1" applyFill="1" applyBorder="1" applyAlignment="1">
      <alignment horizontal="center" vertical="center"/>
    </xf>
    <xf numFmtId="0" fontId="28" fillId="35" borderId="251" xfId="49" applyFont="1" applyFill="1" applyBorder="1" applyAlignment="1">
      <alignment horizontal="center" vertical="center"/>
    </xf>
    <xf numFmtId="0" fontId="28" fillId="35" borderId="252" xfId="49" applyFont="1" applyFill="1" applyBorder="1" applyAlignment="1">
      <alignment horizontal="center" vertical="center"/>
    </xf>
    <xf numFmtId="0" fontId="28" fillId="36" borderId="251" xfId="49" applyFont="1" applyFill="1" applyBorder="1" applyAlignment="1">
      <alignment horizontal="center" vertical="center"/>
    </xf>
    <xf numFmtId="0" fontId="28" fillId="36" borderId="252" xfId="49" applyFont="1" applyFill="1" applyBorder="1" applyAlignment="1">
      <alignment horizontal="center" vertical="center"/>
    </xf>
    <xf numFmtId="0" fontId="28" fillId="37" borderId="251" xfId="49" applyFont="1" applyFill="1" applyBorder="1" applyAlignment="1">
      <alignment horizontal="center" vertical="center"/>
    </xf>
    <xf numFmtId="0" fontId="28" fillId="37" borderId="252" xfId="49" applyFont="1" applyFill="1" applyBorder="1" applyAlignment="1">
      <alignment horizontal="center" vertical="center"/>
    </xf>
    <xf numFmtId="0" fontId="28" fillId="38" borderId="251" xfId="49" applyFont="1" applyFill="1" applyBorder="1" applyAlignment="1">
      <alignment horizontal="center" vertical="center"/>
    </xf>
    <xf numFmtId="0" fontId="28" fillId="38" borderId="252" xfId="49" applyFont="1" applyFill="1" applyBorder="1" applyAlignment="1">
      <alignment horizontal="center" vertical="center"/>
    </xf>
    <xf numFmtId="0" fontId="28" fillId="39" borderId="251" xfId="49" applyFont="1" applyFill="1" applyBorder="1" applyAlignment="1">
      <alignment horizontal="center" vertical="center"/>
    </xf>
    <xf numFmtId="0" fontId="28" fillId="39" borderId="252" xfId="49" applyFont="1" applyFill="1" applyBorder="1" applyAlignment="1">
      <alignment horizontal="center" vertical="center"/>
    </xf>
    <xf numFmtId="0" fontId="28" fillId="40" borderId="251" xfId="49" applyFont="1" applyFill="1" applyBorder="1" applyAlignment="1">
      <alignment horizontal="center" vertical="center"/>
    </xf>
    <xf numFmtId="0" fontId="28" fillId="40" borderId="252" xfId="49" applyFont="1" applyFill="1" applyBorder="1" applyAlignment="1">
      <alignment horizontal="center" vertical="center"/>
    </xf>
    <xf numFmtId="0" fontId="28" fillId="33" borderId="253" xfId="49" applyFont="1" applyFill="1" applyBorder="1" applyAlignment="1">
      <alignment horizontal="center" vertical="center"/>
    </xf>
    <xf numFmtId="0" fontId="28" fillId="34" borderId="253" xfId="49" applyFont="1" applyFill="1" applyBorder="1" applyAlignment="1">
      <alignment horizontal="center" vertical="center"/>
    </xf>
    <xf numFmtId="0" fontId="28" fillId="35" borderId="253" xfId="49" applyFont="1" applyFill="1" applyBorder="1" applyAlignment="1">
      <alignment horizontal="center" vertical="center"/>
    </xf>
    <xf numFmtId="0" fontId="28" fillId="0" borderId="260" xfId="49" applyFont="1" applyBorder="1" applyAlignment="1">
      <alignment horizontal="center" vertical="center"/>
    </xf>
    <xf numFmtId="0" fontId="28" fillId="0" borderId="268" xfId="49" applyFont="1" applyBorder="1" applyAlignment="1">
      <alignment horizontal="center" vertical="center"/>
    </xf>
    <xf numFmtId="0" fontId="28" fillId="0" borderId="24" xfId="49" applyFont="1" applyBorder="1" applyAlignment="1">
      <alignment horizontal="center" vertical="center"/>
    </xf>
    <xf numFmtId="0" fontId="28" fillId="0" borderId="68" xfId="49" applyFont="1" applyBorder="1" applyAlignment="1">
      <alignment horizontal="center" vertical="center"/>
    </xf>
    <xf numFmtId="0" fontId="28" fillId="30" borderId="253" xfId="49" applyFont="1" applyFill="1" applyBorder="1" applyAlignment="1">
      <alignment horizontal="center" vertical="center"/>
    </xf>
    <xf numFmtId="0" fontId="28" fillId="38" borderId="253" xfId="49" applyFont="1" applyFill="1" applyBorder="1" applyAlignment="1">
      <alignment horizontal="center" vertical="center"/>
    </xf>
    <xf numFmtId="0" fontId="28" fillId="39" borderId="253" xfId="49" applyFont="1" applyFill="1" applyBorder="1" applyAlignment="1">
      <alignment horizontal="center" vertical="center"/>
    </xf>
    <xf numFmtId="0" fontId="28" fillId="40" borderId="253" xfId="49" applyFont="1" applyFill="1" applyBorder="1" applyAlignment="1">
      <alignment horizontal="center" vertical="center"/>
    </xf>
    <xf numFmtId="0" fontId="28" fillId="31" borderId="253" xfId="49" applyFont="1" applyFill="1" applyBorder="1" applyAlignment="1">
      <alignment horizontal="center" vertical="center"/>
    </xf>
    <xf numFmtId="0" fontId="28" fillId="32" borderId="253" xfId="49" applyFont="1" applyFill="1" applyBorder="1" applyAlignment="1">
      <alignment horizontal="center" vertical="center"/>
    </xf>
    <xf numFmtId="2" fontId="5" fillId="0" borderId="258" xfId="49" applyNumberFormat="1" applyBorder="1" applyAlignment="1">
      <alignment horizontal="center" vertical="center" wrapText="1"/>
    </xf>
    <xf numFmtId="2" fontId="5" fillId="0" borderId="26" xfId="49" applyNumberFormat="1" applyBorder="1" applyAlignment="1">
      <alignment horizontal="center" vertical="center" wrapText="1"/>
    </xf>
    <xf numFmtId="2" fontId="5" fillId="0" borderId="11" xfId="49" applyNumberFormat="1" applyBorder="1" applyAlignment="1">
      <alignment horizontal="center" vertical="center" wrapText="1"/>
    </xf>
    <xf numFmtId="0" fontId="28" fillId="36" borderId="253" xfId="49" applyFont="1" applyFill="1" applyBorder="1" applyAlignment="1">
      <alignment horizontal="center" vertical="center"/>
    </xf>
    <xf numFmtId="0" fontId="28" fillId="37" borderId="253" xfId="49" applyFont="1" applyFill="1" applyBorder="1" applyAlignment="1">
      <alignment horizontal="center" vertical="center"/>
    </xf>
    <xf numFmtId="0" fontId="28" fillId="36" borderId="377" xfId="49" applyFont="1" applyFill="1" applyBorder="1" applyAlignment="1">
      <alignment horizontal="center" vertical="center"/>
    </xf>
    <xf numFmtId="0" fontId="28" fillId="36" borderId="379" xfId="49" applyFont="1" applyFill="1" applyBorder="1" applyAlignment="1">
      <alignment horizontal="center" vertical="center"/>
    </xf>
    <xf numFmtId="2" fontId="5" fillId="0" borderId="348" xfId="49" applyNumberFormat="1" applyBorder="1" applyAlignment="1">
      <alignment horizontal="center" vertical="center" wrapText="1"/>
    </xf>
    <xf numFmtId="0" fontId="5" fillId="0" borderId="348" xfId="49" applyBorder="1" applyAlignment="1">
      <alignment horizontal="center" vertical="center" wrapText="1"/>
    </xf>
    <xf numFmtId="0" fontId="5" fillId="44" borderId="0" xfId="49" applyFill="1"/>
    <xf numFmtId="0" fontId="28" fillId="0" borderId="348" xfId="49" applyFont="1" applyBorder="1" applyAlignment="1">
      <alignment horizontal="center" vertical="center"/>
    </xf>
    <xf numFmtId="0" fontId="28" fillId="30" borderId="348" xfId="49" applyFont="1" applyFill="1" applyBorder="1" applyAlignment="1">
      <alignment horizontal="center" vertical="center"/>
    </xf>
    <xf numFmtId="0" fontId="28" fillId="31" borderId="348" xfId="49" applyFont="1" applyFill="1" applyBorder="1" applyAlignment="1">
      <alignment horizontal="center" vertical="center"/>
    </xf>
    <xf numFmtId="0" fontId="28" fillId="32" borderId="348" xfId="49" applyFont="1" applyFill="1" applyBorder="1" applyAlignment="1">
      <alignment horizontal="center" vertical="center"/>
    </xf>
    <xf numFmtId="0" fontId="28" fillId="33" borderId="348" xfId="49" applyFont="1" applyFill="1" applyBorder="1" applyAlignment="1">
      <alignment horizontal="center" vertical="center"/>
    </xf>
    <xf numFmtId="0" fontId="5" fillId="0" borderId="349" xfId="49" applyBorder="1" applyAlignment="1">
      <alignment horizontal="center" vertical="center" wrapText="1"/>
    </xf>
    <xf numFmtId="0" fontId="28" fillId="34" borderId="348" xfId="49" applyFont="1" applyFill="1" applyBorder="1" applyAlignment="1">
      <alignment horizontal="center" vertical="center"/>
    </xf>
    <xf numFmtId="0" fontId="28" fillId="35" borderId="348" xfId="49" applyFont="1" applyFill="1" applyBorder="1" applyAlignment="1">
      <alignment horizontal="center" vertical="center"/>
    </xf>
    <xf numFmtId="0" fontId="28" fillId="36" borderId="348" xfId="49" applyFont="1" applyFill="1" applyBorder="1" applyAlignment="1">
      <alignment horizontal="center" vertical="center"/>
    </xf>
    <xf numFmtId="0" fontId="28" fillId="37" borderId="348" xfId="49" applyFont="1" applyFill="1" applyBorder="1" applyAlignment="1">
      <alignment horizontal="center" vertical="center"/>
    </xf>
    <xf numFmtId="0" fontId="28" fillId="38" borderId="348" xfId="49" applyFont="1" applyFill="1" applyBorder="1" applyAlignment="1">
      <alignment horizontal="center" vertical="center"/>
    </xf>
    <xf numFmtId="0" fontId="28" fillId="39" borderId="348" xfId="49" applyFont="1" applyFill="1" applyBorder="1" applyAlignment="1">
      <alignment horizontal="center" vertical="center"/>
    </xf>
    <xf numFmtId="0" fontId="28" fillId="40" borderId="348" xfId="49" applyFont="1" applyFill="1" applyBorder="1" applyAlignment="1">
      <alignment horizontal="center" vertical="center"/>
    </xf>
    <xf numFmtId="2" fontId="9" fillId="0" borderId="430" xfId="39" applyNumberFormat="1" applyBorder="1" applyAlignment="1">
      <alignment horizontal="center" vertical="center" wrapText="1"/>
    </xf>
    <xf numFmtId="0" fontId="7" fillId="27" borderId="0" xfId="0" applyFont="1" applyFill="1" applyAlignment="1">
      <alignment horizontal="center" vertical="center" wrapText="1"/>
    </xf>
    <xf numFmtId="0" fontId="7" fillId="27" borderId="17" xfId="0" applyFont="1" applyFill="1" applyBorder="1" applyAlignment="1">
      <alignment horizontal="center" vertical="center" wrapText="1"/>
    </xf>
    <xf numFmtId="0" fontId="7" fillId="28" borderId="69" xfId="0" applyFont="1" applyFill="1" applyBorder="1" applyAlignment="1">
      <alignment horizontal="center" vertical="center" wrapText="1"/>
    </xf>
    <xf numFmtId="0" fontId="7" fillId="28" borderId="29" xfId="0" applyFont="1" applyFill="1" applyBorder="1" applyAlignment="1">
      <alignment horizontal="center" vertical="center" wrapText="1"/>
    </xf>
    <xf numFmtId="0" fontId="7" fillId="28" borderId="68" xfId="0" applyFont="1" applyFill="1" applyBorder="1" applyAlignment="1">
      <alignment horizontal="center" vertical="center" wrapText="1"/>
    </xf>
    <xf numFmtId="0" fontId="77" fillId="48" borderId="0" xfId="0" applyFont="1" applyFill="1" applyAlignment="1">
      <alignment horizontal="center" vertical="center" wrapText="1"/>
    </xf>
    <xf numFmtId="0" fontId="77" fillId="48" borderId="17" xfId="0" applyFont="1" applyFill="1" applyBorder="1" applyAlignment="1">
      <alignment horizontal="center" vertical="center" wrapText="1"/>
    </xf>
    <xf numFmtId="0" fontId="37" fillId="24" borderId="40" xfId="0" applyFont="1" applyFill="1" applyBorder="1" applyAlignment="1">
      <alignment horizontal="center" vertical="center" textRotation="90"/>
    </xf>
    <xf numFmtId="0" fontId="37" fillId="24" borderId="35" xfId="0" applyFont="1" applyFill="1" applyBorder="1" applyAlignment="1">
      <alignment horizontal="center" vertical="center" textRotation="90"/>
    </xf>
    <xf numFmtId="0" fontId="37" fillId="24" borderId="31" xfId="0" applyFont="1" applyFill="1" applyBorder="1" applyAlignment="1">
      <alignment horizontal="center" vertical="center" textRotation="90"/>
    </xf>
    <xf numFmtId="0" fontId="7" fillId="0" borderId="52" xfId="0" applyFont="1" applyBorder="1" applyAlignment="1">
      <alignment horizontal="center"/>
    </xf>
    <xf numFmtId="0" fontId="7" fillId="0" borderId="57" xfId="0" applyFont="1" applyBorder="1" applyAlignment="1">
      <alignment horizontal="center"/>
    </xf>
    <xf numFmtId="0" fontId="7" fillId="0" borderId="62" xfId="0" applyFont="1" applyBorder="1" applyAlignment="1">
      <alignment horizontal="center" vertical="center"/>
    </xf>
    <xf numFmtId="0" fontId="7" fillId="0" borderId="56" xfId="0" applyFont="1" applyBorder="1" applyAlignment="1">
      <alignment horizontal="center" vertical="center"/>
    </xf>
    <xf numFmtId="0" fontId="9" fillId="46" borderId="44" xfId="0" applyFont="1" applyFill="1" applyBorder="1" applyAlignment="1" applyProtection="1">
      <alignment horizontal="center" vertical="center"/>
      <protection locked="0"/>
    </xf>
    <xf numFmtId="0" fontId="9" fillId="46" borderId="55" xfId="0" applyFont="1" applyFill="1" applyBorder="1" applyAlignment="1" applyProtection="1">
      <alignment horizontal="center" vertical="center"/>
      <protection locked="0"/>
    </xf>
    <xf numFmtId="0" fontId="9" fillId="46" borderId="60" xfId="0" applyFont="1" applyFill="1" applyBorder="1" applyAlignment="1" applyProtection="1">
      <alignment horizontal="center" vertical="center"/>
      <protection locked="0"/>
    </xf>
    <xf numFmtId="0" fontId="9" fillId="49" borderId="15" xfId="0" applyFont="1" applyFill="1" applyBorder="1" applyAlignment="1" applyProtection="1">
      <alignment horizontal="center" vertical="center"/>
      <protection locked="0"/>
    </xf>
    <xf numFmtId="0" fontId="9" fillId="49" borderId="12" xfId="0" applyFont="1" applyFill="1" applyBorder="1" applyAlignment="1" applyProtection="1">
      <alignment horizontal="center" vertical="center"/>
      <protection locked="0"/>
    </xf>
    <xf numFmtId="0" fontId="9" fillId="49" borderId="48" xfId="0" applyFont="1" applyFill="1" applyBorder="1" applyAlignment="1" applyProtection="1">
      <alignment horizontal="center" vertical="center"/>
      <protection locked="0"/>
    </xf>
    <xf numFmtId="0" fontId="7" fillId="60" borderId="245" xfId="0" applyFont="1" applyFill="1" applyBorder="1" applyAlignment="1">
      <alignment horizontal="center" vertical="center" wrapText="1"/>
    </xf>
    <xf numFmtId="0" fontId="7" fillId="60" borderId="11" xfId="0" applyFont="1" applyFill="1" applyBorder="1" applyAlignment="1">
      <alignment horizontal="center" vertical="center" wrapText="1"/>
    </xf>
    <xf numFmtId="0" fontId="7" fillId="60" borderId="12" xfId="0" applyFont="1" applyFill="1" applyBorder="1" applyAlignment="1">
      <alignment horizontal="center" vertical="center" wrapText="1"/>
    </xf>
    <xf numFmtId="0" fontId="79" fillId="44" borderId="10" xfId="0" applyFont="1" applyFill="1" applyBorder="1" applyAlignment="1">
      <alignment horizontal="center"/>
    </xf>
    <xf numFmtId="0" fontId="79" fillId="44" borderId="53" xfId="0" applyFont="1" applyFill="1" applyBorder="1" applyAlignment="1">
      <alignment horizontal="center"/>
    </xf>
    <xf numFmtId="0" fontId="79" fillId="44" borderId="28" xfId="0" applyFont="1" applyFill="1" applyBorder="1" applyAlignment="1">
      <alignment horizontal="center"/>
    </xf>
    <xf numFmtId="0" fontId="6" fillId="44" borderId="12" xfId="0" applyFont="1" applyFill="1" applyBorder="1" applyAlignment="1">
      <alignment horizontal="center"/>
    </xf>
    <xf numFmtId="0" fontId="58" fillId="44" borderId="0" xfId="0" applyFont="1" applyFill="1" applyAlignment="1">
      <alignment horizontal="justify"/>
    </xf>
    <xf numFmtId="0" fontId="77" fillId="48" borderId="0" xfId="0" applyFont="1" applyFill="1" applyAlignment="1">
      <alignment horizontal="center" vertical="center"/>
    </xf>
    <xf numFmtId="0" fontId="7" fillId="49" borderId="10" xfId="0" applyFont="1" applyFill="1" applyBorder="1" applyAlignment="1">
      <alignment horizontal="center" vertical="center" wrapText="1"/>
    </xf>
    <xf numFmtId="0" fontId="7" fillId="49" borderId="28" xfId="0" applyFont="1" applyFill="1" applyBorder="1" applyAlignment="1">
      <alignment horizontal="center" vertical="center" wrapText="1"/>
    </xf>
    <xf numFmtId="0" fontId="7" fillId="49" borderId="14" xfId="0" applyFont="1" applyFill="1" applyBorder="1" applyAlignment="1">
      <alignment horizontal="center" vertical="center"/>
    </xf>
    <xf numFmtId="0" fontId="7" fillId="49" borderId="11" xfId="0" applyFont="1" applyFill="1" applyBorder="1" applyAlignment="1">
      <alignment horizontal="center" vertical="center"/>
    </xf>
    <xf numFmtId="0" fontId="7" fillId="49" borderId="14" xfId="0" applyFont="1" applyFill="1" applyBorder="1" applyAlignment="1">
      <alignment horizontal="center" vertical="center" wrapText="1"/>
    </xf>
    <xf numFmtId="0" fontId="7" fillId="49" borderId="11" xfId="0" applyFont="1" applyFill="1" applyBorder="1" applyAlignment="1">
      <alignment horizontal="center" vertical="center" wrapText="1"/>
    </xf>
    <xf numFmtId="0" fontId="108" fillId="43" borderId="14" xfId="0" applyFont="1" applyFill="1" applyBorder="1" applyAlignment="1" applyProtection="1">
      <alignment horizontal="center" vertical="center" wrapText="1"/>
      <protection locked="0"/>
    </xf>
    <xf numFmtId="0" fontId="110" fillId="43" borderId="245" xfId="0" applyFont="1" applyFill="1" applyBorder="1" applyAlignment="1" applyProtection="1">
      <alignment horizontal="center" vertical="center" wrapText="1"/>
      <protection locked="0"/>
    </xf>
    <xf numFmtId="0" fontId="176" fillId="55" borderId="14" xfId="0" applyFont="1" applyFill="1" applyBorder="1" applyAlignment="1" applyProtection="1">
      <alignment horizontal="center" vertical="center" wrapText="1"/>
      <protection locked="0"/>
    </xf>
    <xf numFmtId="0" fontId="176" fillId="55" borderId="26" xfId="0" applyFont="1" applyFill="1" applyBorder="1" applyAlignment="1" applyProtection="1">
      <alignment horizontal="center" vertical="center" wrapText="1"/>
      <protection locked="0"/>
    </xf>
    <xf numFmtId="0" fontId="177" fillId="76" borderId="245" xfId="0" applyFont="1" applyFill="1" applyBorder="1" applyAlignment="1" applyProtection="1">
      <alignment horizontal="center" vertical="center" wrapText="1"/>
      <protection locked="0"/>
    </xf>
    <xf numFmtId="0" fontId="177" fillId="76" borderId="26" xfId="0" applyFont="1" applyFill="1" applyBorder="1" applyAlignment="1" applyProtection="1">
      <alignment horizontal="center" vertical="center" wrapText="1"/>
      <protection locked="0"/>
    </xf>
  </cellXfs>
  <cellStyles count="5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Bueno" xfId="26" builtinId="26"/>
    <cellStyle name="Calculation" xfId="27" xr:uid="{00000000-0005-0000-0000-00001A000000}"/>
    <cellStyle name="Check Cell" xfId="28" xr:uid="{00000000-0005-0000-0000-00001B000000}"/>
    <cellStyle name="Explanatory Text" xfId="29" xr:uid="{00000000-0005-0000-0000-00001C000000}"/>
    <cellStyle name="Good" xfId="30" xr:uid="{00000000-0005-0000-0000-00001D000000}"/>
    <cellStyle name="Heading 1" xfId="31" xr:uid="{00000000-0005-0000-0000-00001E000000}"/>
    <cellStyle name="Heading 2" xfId="32" xr:uid="{00000000-0005-0000-0000-00001F000000}"/>
    <cellStyle name="Heading 3" xfId="33" xr:uid="{00000000-0005-0000-0000-000020000000}"/>
    <cellStyle name="Heading 4" xfId="34" xr:uid="{00000000-0005-0000-0000-000021000000}"/>
    <cellStyle name="Incorrecto" xfId="35" builtinId="27"/>
    <cellStyle name="Input" xfId="36" xr:uid="{00000000-0005-0000-0000-000023000000}"/>
    <cellStyle name="Linked Cell" xfId="37" xr:uid="{00000000-0005-0000-0000-000024000000}"/>
    <cellStyle name="Neutral" xfId="38" builtinId="28" customBuiltin="1"/>
    <cellStyle name="Normal" xfId="0" builtinId="0"/>
    <cellStyle name="Normal 2" xfId="39" xr:uid="{00000000-0005-0000-0000-000027000000}"/>
    <cellStyle name="Normal 2 2" xfId="49" xr:uid="{00000000-0005-0000-0000-000028000000}"/>
    <cellStyle name="Normal 3" xfId="40" xr:uid="{00000000-0005-0000-0000-000029000000}"/>
    <cellStyle name="Normal 4" xfId="48" xr:uid="{00000000-0005-0000-0000-00002A000000}"/>
    <cellStyle name="Normal_27328_1A_SS_PCT_20080114" xfId="41" xr:uid="{00000000-0005-0000-0000-00002B000000}"/>
    <cellStyle name="Normal_FRF01_00 Toma de datos RPT BW 5MHz" xfId="42" xr:uid="{00000000-0005-0000-0000-00002C000000}"/>
    <cellStyle name="Note" xfId="43" xr:uid="{00000000-0005-0000-0000-00002D000000}"/>
    <cellStyle name="Output" xfId="44" xr:uid="{00000000-0005-0000-0000-00002E000000}"/>
    <cellStyle name="Output 2" xfId="50" xr:uid="{00000000-0005-0000-0000-00002F000000}"/>
    <cellStyle name="Title" xfId="45" xr:uid="{00000000-0005-0000-0000-000030000000}"/>
    <cellStyle name="Total" xfId="46" builtinId="25" customBuiltin="1"/>
    <cellStyle name="Total 2" xfId="51" xr:uid="{00000000-0005-0000-0000-000032000000}"/>
    <cellStyle name="Warning Text" xfId="47" xr:uid="{00000000-0005-0000-0000-000033000000}"/>
  </cellStyles>
  <dxfs count="255">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s>
  <tableStyles count="0" defaultTableStyle="TableStyleMedium2" defaultPivotStyle="PivotStyleLight16"/>
  <colors>
    <mruColors>
      <color rgb="FFD9D9D9"/>
      <color rgb="FFEEE1F7"/>
      <color rgb="FFFF7C80"/>
      <color rgb="FFC5FF8B"/>
      <color rgb="FF8EA9DB"/>
      <color rgb="FF95A9DB"/>
      <color rgb="FFD8BEEC"/>
      <color rgb="FFD8B4EC"/>
      <color rgb="FFD8B4D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22/11/relationships/FeaturePropertyBag" Target="featurePropertyBag/featurePropertyBag.xml"/><Relationship Id="rId1" Type="http://schemas.openxmlformats.org/officeDocument/2006/relationships/worksheet" Target="worksheets/sheet1.xml"/><Relationship Id="rId11" Type="http://schemas.openxmlformats.org/officeDocument/2006/relationships/worksheet" Target="worksheets/sheet11.xml"/><Relationship Id="rId19" Type="http://schemas.openxmlformats.org/officeDocument/2006/relationships/sharedStrings" Target="sharedString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O$18" lockText="1" noThreeD="1"/>
</file>

<file path=xl/ctrlProps/ctrlProp3.xml><?xml version="1.0" encoding="utf-8"?>
<formControlPr xmlns="http://schemas.microsoft.com/office/spreadsheetml/2009/9/main" objectType="CheckBox" fmlaLink="$O$16" lockText="1" noThreeD="1"/>
</file>

<file path=xl/ctrlProps/ctrlProp4.xml><?xml version="1.0" encoding="utf-8"?>
<formControlPr xmlns="http://schemas.microsoft.com/office/spreadsheetml/2009/9/main" objectType="CheckBox" fmlaLink="$O$17" lockText="1" noThreeD="1"/>
</file>

<file path=xl/ctrlProps/ctrlProp5.xml><?xml version="1.0" encoding="utf-8"?>
<formControlPr xmlns="http://schemas.microsoft.com/office/spreadsheetml/2009/9/main" objectType="CheckBox" fmlaLink="$K$10" lockText="1" noThreeD="1"/>
</file>

<file path=xl/ctrlProps/ctrlProp6.xml><?xml version="1.0" encoding="utf-8"?>
<formControlPr xmlns="http://schemas.microsoft.com/office/spreadsheetml/2009/9/main" objectType="CheckBox" fmlaLink="$K$11" lockText="1" noThreeD="1"/>
</file>

<file path=xl/ctrlProps/ctrlProp7.xml><?xml version="1.0" encoding="utf-8"?>
<formControlPr xmlns="http://schemas.microsoft.com/office/spreadsheetml/2009/9/main" objectType="CheckBox" fmlaLink="$K$13" lockText="1" noThreeD="1"/>
</file>

<file path=xl/ctrlProps/ctrlProp8.xml><?xml version="1.0" encoding="utf-8"?>
<formControlPr xmlns="http://schemas.microsoft.com/office/spreadsheetml/2009/9/main" objectType="CheckBox" fmlaLink="$K$12" lockText="1" noThreeD="1"/>
</file>

<file path=xl/ctrlProps/ctrlProp9.xml><?xml version="1.0" encoding="utf-8"?>
<formControlPr xmlns="http://schemas.microsoft.com/office/spreadsheetml/2009/9/main" objectType="CheckBox" fmlaLink="$L$10" lockText="1" noThreeD="1"/>
</file>

<file path=xl/ctrlProps/ctrlProp10.xml><?xml version="1.0" encoding="utf-8"?>
<formControlPr xmlns="http://schemas.microsoft.com/office/spreadsheetml/2009/9/main" objectType="CheckBox" fmlaLink="$L$11" lockText="1" noThreeD="1"/>
</file>

<file path=xl/ctrlProps/ctrlProp11.xml><?xml version="1.0" encoding="utf-8"?>
<formControlPr xmlns="http://schemas.microsoft.com/office/spreadsheetml/2009/9/main" objectType="CheckBox" fmlaLink="$L$12" lockText="1" noThreeD="1"/>
</file>

<file path=xl/ctrlProps/ctrlProp12.xml><?xml version="1.0" encoding="utf-8"?>
<formControlPr xmlns="http://schemas.microsoft.com/office/spreadsheetml/2009/9/main" objectType="CheckBox" fmlaLink="$L$13" lockText="1" noThreeD="1"/>
</file>

<file path=xl/ctrlProps/ctrlProp13.xml><?xml version="1.0" encoding="utf-8"?>
<formControlPr xmlns="http://schemas.microsoft.com/office/spreadsheetml/2009/9/main" objectType="CheckBox" fmlaLink="$K$14" lockText="1" noThreeD="1"/>
</file>

<file path=xl/ctrlProps/ctrlProp14.xml><?xml version="1.0" encoding="utf-8"?>
<formControlPr xmlns="http://schemas.microsoft.com/office/spreadsheetml/2009/9/main" objectType="CheckBox" fmlaLink="$L$14"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1076325</xdr:colOff>
          <xdr:row>20</xdr:row>
          <xdr:rowOff>171450</xdr:rowOff>
        </xdr:from>
        <xdr:to>
          <xdr:col>9</xdr:col>
          <xdr:colOff>1285875</xdr:colOff>
          <xdr:row>22</xdr:row>
          <xdr:rowOff>38100</xdr:rowOff>
        </xdr:to>
        <xdr:sp macro="" textlink="">
          <xdr:nvSpPr>
            <xdr:cNvPr id="237575" name="Check Box 7" hidden="1">
              <a:extLst>
                <a:ext uri="{63B3BB69-23CF-44E3-9099-C40C66FF867C}">
                  <a14:compatExt spid="_x0000_s237575"/>
                </a:ext>
                <a:ext uri="{FF2B5EF4-FFF2-40B4-BE49-F238E27FC236}">
                  <a16:creationId xmlns:a16="http://schemas.microsoft.com/office/drawing/2014/main" id="{00000000-0008-0000-0000-000007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1085850</xdr:colOff>
          <xdr:row>18</xdr:row>
          <xdr:rowOff>142875</xdr:rowOff>
        </xdr:from>
        <xdr:to>
          <xdr:col>9</xdr:col>
          <xdr:colOff>1295400</xdr:colOff>
          <xdr:row>20</xdr:row>
          <xdr:rowOff>19050</xdr:rowOff>
        </xdr:to>
        <xdr:sp macro="" textlink="">
          <xdr:nvSpPr>
            <xdr:cNvPr id="237576" name="Check Box 8" hidden="1">
              <a:extLst>
                <a:ext uri="{63B3BB69-23CF-44E3-9099-C40C66FF867C}">
                  <a14:compatExt spid="_x0000_s237576"/>
                </a:ext>
                <a:ext uri="{FF2B5EF4-FFF2-40B4-BE49-F238E27FC236}">
                  <a16:creationId xmlns:a16="http://schemas.microsoft.com/office/drawing/2014/main" id="{00000000-0008-0000-0000-000008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1085850</xdr:colOff>
          <xdr:row>19</xdr:row>
          <xdr:rowOff>171450</xdr:rowOff>
        </xdr:from>
        <xdr:to>
          <xdr:col>9</xdr:col>
          <xdr:colOff>1295400</xdr:colOff>
          <xdr:row>21</xdr:row>
          <xdr:rowOff>28575</xdr:rowOff>
        </xdr:to>
        <xdr:sp macro="" textlink="">
          <xdr:nvSpPr>
            <xdr:cNvPr id="237577" name="Check Box 9" hidden="1">
              <a:extLst>
                <a:ext uri="{63B3BB69-23CF-44E3-9099-C40C66FF867C}">
                  <a14:compatExt spid="_x0000_s237577"/>
                </a:ext>
                <a:ext uri="{FF2B5EF4-FFF2-40B4-BE49-F238E27FC236}">
                  <a16:creationId xmlns:a16="http://schemas.microsoft.com/office/drawing/2014/main" id="{00000000-0008-0000-0000-000009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180975</xdr:colOff>
          <xdr:row>167</xdr:row>
          <xdr:rowOff>133350</xdr:rowOff>
        </xdr:from>
        <xdr:to>
          <xdr:col>4</xdr:col>
          <xdr:colOff>1485900</xdr:colOff>
          <xdr:row>170</xdr:row>
          <xdr:rowOff>114300</xdr:rowOff>
        </xdr:to>
        <xdr:sp macro="" textlink="">
          <xdr:nvSpPr>
            <xdr:cNvPr id="237578" name="Button 10" hidden="1">
              <a:extLst>
                <a:ext uri="{63B3BB69-23CF-44E3-9099-C40C66FF867C}">
                  <a14:compatExt spid="_x0000_s237578"/>
                </a:ext>
                <a:ext uri="{FF2B5EF4-FFF2-40B4-BE49-F238E27FC236}">
                  <a16:creationId xmlns:a16="http://schemas.microsoft.com/office/drawing/2014/main" id="{00000000-0008-0000-0000-00000AA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Click to 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9</xdr:row>
          <xdr:rowOff>0</xdr:rowOff>
        </xdr:from>
        <xdr:to>
          <xdr:col>10</xdr:col>
          <xdr:colOff>685800</xdr:colOff>
          <xdr:row>10</xdr:row>
          <xdr:rowOff>28575</xdr:rowOff>
        </xdr:to>
        <xdr:sp macro="" textlink="">
          <xdr:nvSpPr>
            <xdr:cNvPr id="237591" name="Check Box 23" hidden="1">
              <a:extLst>
                <a:ext uri="{63B3BB69-23CF-44E3-9099-C40C66FF867C}">
                  <a14:compatExt spid="_x0000_s237591"/>
                </a:ext>
                <a:ext uri="{FF2B5EF4-FFF2-40B4-BE49-F238E27FC236}">
                  <a16:creationId xmlns:a16="http://schemas.microsoft.com/office/drawing/2014/main" id="{00000000-0008-0000-0000-000017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9</xdr:row>
          <xdr:rowOff>171450</xdr:rowOff>
        </xdr:from>
        <xdr:to>
          <xdr:col>10</xdr:col>
          <xdr:colOff>676275</xdr:colOff>
          <xdr:row>11</xdr:row>
          <xdr:rowOff>19050</xdr:rowOff>
        </xdr:to>
        <xdr:sp macro="" textlink="">
          <xdr:nvSpPr>
            <xdr:cNvPr id="237593" name="Check Box 25" hidden="1">
              <a:extLst>
                <a:ext uri="{63B3BB69-23CF-44E3-9099-C40C66FF867C}">
                  <a14:compatExt spid="_x0000_s237593"/>
                </a:ext>
                <a:ext uri="{FF2B5EF4-FFF2-40B4-BE49-F238E27FC236}">
                  <a16:creationId xmlns:a16="http://schemas.microsoft.com/office/drawing/2014/main" id="{00000000-0008-0000-0000-000019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12</xdr:row>
          <xdr:rowOff>0</xdr:rowOff>
        </xdr:from>
        <xdr:to>
          <xdr:col>10</xdr:col>
          <xdr:colOff>685800</xdr:colOff>
          <xdr:row>13</xdr:row>
          <xdr:rowOff>28575</xdr:rowOff>
        </xdr:to>
        <xdr:sp macro="" textlink="">
          <xdr:nvSpPr>
            <xdr:cNvPr id="237594" name="Check Box 26" hidden="1">
              <a:extLst>
                <a:ext uri="{63B3BB69-23CF-44E3-9099-C40C66FF867C}">
                  <a14:compatExt spid="_x0000_s237594"/>
                </a:ext>
                <a:ext uri="{FF2B5EF4-FFF2-40B4-BE49-F238E27FC236}">
                  <a16:creationId xmlns:a16="http://schemas.microsoft.com/office/drawing/2014/main" id="{00000000-0008-0000-0000-00001A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11</xdr:row>
          <xdr:rowOff>9525</xdr:rowOff>
        </xdr:from>
        <xdr:to>
          <xdr:col>10</xdr:col>
          <xdr:colOff>685800</xdr:colOff>
          <xdr:row>12</xdr:row>
          <xdr:rowOff>28575</xdr:rowOff>
        </xdr:to>
        <xdr:sp macro="" textlink="">
          <xdr:nvSpPr>
            <xdr:cNvPr id="237595" name="Check Box 27" hidden="1">
              <a:extLst>
                <a:ext uri="{63B3BB69-23CF-44E3-9099-C40C66FF867C}">
                  <a14:compatExt spid="_x0000_s237595"/>
                </a:ext>
                <a:ext uri="{FF2B5EF4-FFF2-40B4-BE49-F238E27FC236}">
                  <a16:creationId xmlns:a16="http://schemas.microsoft.com/office/drawing/2014/main" id="{00000000-0008-0000-0000-00001B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323850</xdr:colOff>
          <xdr:row>13</xdr:row>
          <xdr:rowOff>0</xdr:rowOff>
        </xdr:from>
        <xdr:to>
          <xdr:col>10</xdr:col>
          <xdr:colOff>676275</xdr:colOff>
          <xdr:row>14</xdr:row>
          <xdr:rowOff>28575</xdr:rowOff>
        </xdr:to>
        <xdr:sp macro="" textlink="">
          <xdr:nvSpPr>
            <xdr:cNvPr id="237596" name="Check Box 28" hidden="1">
              <a:extLst>
                <a:ext uri="{63B3BB69-23CF-44E3-9099-C40C66FF867C}">
                  <a14:compatExt spid="_x0000_s237596"/>
                </a:ext>
                <a:ext uri="{FF2B5EF4-FFF2-40B4-BE49-F238E27FC236}">
                  <a16:creationId xmlns:a16="http://schemas.microsoft.com/office/drawing/2014/main" id="{00000000-0008-0000-0000-00001C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104775</xdr:colOff>
          <xdr:row>9</xdr:row>
          <xdr:rowOff>0</xdr:rowOff>
        </xdr:from>
        <xdr:to>
          <xdr:col>13</xdr:col>
          <xdr:colOff>228600</xdr:colOff>
          <xdr:row>10</xdr:row>
          <xdr:rowOff>28575</xdr:rowOff>
        </xdr:to>
        <xdr:sp macro="" textlink="">
          <xdr:nvSpPr>
            <xdr:cNvPr id="237597" name="Check Box 29" hidden="1">
              <a:extLst>
                <a:ext uri="{63B3BB69-23CF-44E3-9099-C40C66FF867C}">
                  <a14:compatExt spid="_x0000_s237597"/>
                </a:ext>
                <a:ext uri="{FF2B5EF4-FFF2-40B4-BE49-F238E27FC236}">
                  <a16:creationId xmlns:a16="http://schemas.microsoft.com/office/drawing/2014/main" id="{00000000-0008-0000-0000-00001D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10</xdr:row>
          <xdr:rowOff>0</xdr:rowOff>
        </xdr:from>
        <xdr:to>
          <xdr:col>13</xdr:col>
          <xdr:colOff>228600</xdr:colOff>
          <xdr:row>11</xdr:row>
          <xdr:rowOff>19050</xdr:rowOff>
        </xdr:to>
        <xdr:sp macro="" textlink="">
          <xdr:nvSpPr>
            <xdr:cNvPr id="237598" name="Check Box 30" hidden="1">
              <a:extLst>
                <a:ext uri="{63B3BB69-23CF-44E3-9099-C40C66FF867C}">
                  <a14:compatExt spid="_x0000_s237598"/>
                </a:ext>
                <a:ext uri="{FF2B5EF4-FFF2-40B4-BE49-F238E27FC236}">
                  <a16:creationId xmlns:a16="http://schemas.microsoft.com/office/drawing/2014/main" id="{00000000-0008-0000-0000-00001E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104775</xdr:colOff>
          <xdr:row>11</xdr:row>
          <xdr:rowOff>0</xdr:rowOff>
        </xdr:from>
        <xdr:to>
          <xdr:col>13</xdr:col>
          <xdr:colOff>228600</xdr:colOff>
          <xdr:row>12</xdr:row>
          <xdr:rowOff>9525</xdr:rowOff>
        </xdr:to>
        <xdr:sp macro="" textlink="">
          <xdr:nvSpPr>
            <xdr:cNvPr id="237599" name="Check Box 31" hidden="1">
              <a:extLst>
                <a:ext uri="{63B3BB69-23CF-44E3-9099-C40C66FF867C}">
                  <a14:compatExt spid="_x0000_s237599"/>
                </a:ext>
                <a:ext uri="{FF2B5EF4-FFF2-40B4-BE49-F238E27FC236}">
                  <a16:creationId xmlns:a16="http://schemas.microsoft.com/office/drawing/2014/main" id="{00000000-0008-0000-0000-00001F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12</xdr:row>
          <xdr:rowOff>0</xdr:rowOff>
        </xdr:from>
        <xdr:to>
          <xdr:col>13</xdr:col>
          <xdr:colOff>228600</xdr:colOff>
          <xdr:row>13</xdr:row>
          <xdr:rowOff>19050</xdr:rowOff>
        </xdr:to>
        <xdr:sp macro="" textlink="">
          <xdr:nvSpPr>
            <xdr:cNvPr id="237600" name="Check Box 32" hidden="1">
              <a:extLst>
                <a:ext uri="{63B3BB69-23CF-44E3-9099-C40C66FF867C}">
                  <a14:compatExt spid="_x0000_s237600"/>
                </a:ext>
                <a:ext uri="{FF2B5EF4-FFF2-40B4-BE49-F238E27FC236}">
                  <a16:creationId xmlns:a16="http://schemas.microsoft.com/office/drawing/2014/main" id="{00000000-0008-0000-0000-000020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13</xdr:row>
          <xdr:rowOff>0</xdr:rowOff>
        </xdr:from>
        <xdr:to>
          <xdr:col>13</xdr:col>
          <xdr:colOff>228600</xdr:colOff>
          <xdr:row>14</xdr:row>
          <xdr:rowOff>28575</xdr:rowOff>
        </xdr:to>
        <xdr:sp macro="" textlink="">
          <xdr:nvSpPr>
            <xdr:cNvPr id="237601" name="Check Box 33" hidden="1">
              <a:extLst>
                <a:ext uri="{63B3BB69-23CF-44E3-9099-C40C66FF867C}">
                  <a14:compatExt spid="_x0000_s237601"/>
                </a:ext>
                <a:ext uri="{FF2B5EF4-FFF2-40B4-BE49-F238E27FC236}">
                  <a16:creationId xmlns:a16="http://schemas.microsoft.com/office/drawing/2014/main" id="{00000000-0008-0000-0000-000021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314325</xdr:colOff>
          <xdr:row>13</xdr:row>
          <xdr:rowOff>190500</xdr:rowOff>
        </xdr:from>
        <xdr:to>
          <xdr:col>10</xdr:col>
          <xdr:colOff>657225</xdr:colOff>
          <xdr:row>15</xdr:row>
          <xdr:rowOff>38100</xdr:rowOff>
        </xdr:to>
        <xdr:sp macro="" textlink="">
          <xdr:nvSpPr>
            <xdr:cNvPr id="237610" name="Check Box 42" hidden="1">
              <a:extLst>
                <a:ext uri="{63B3BB69-23CF-44E3-9099-C40C66FF867C}">
                  <a14:compatExt spid="_x0000_s237610"/>
                </a:ext>
                <a:ext uri="{FF2B5EF4-FFF2-40B4-BE49-F238E27FC236}">
                  <a16:creationId xmlns:a16="http://schemas.microsoft.com/office/drawing/2014/main" id="{00000000-0008-0000-0000-00002A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13</xdr:row>
          <xdr:rowOff>133350</xdr:rowOff>
        </xdr:from>
        <xdr:to>
          <xdr:col>13</xdr:col>
          <xdr:colOff>247650</xdr:colOff>
          <xdr:row>15</xdr:row>
          <xdr:rowOff>85725</xdr:rowOff>
        </xdr:to>
        <xdr:sp macro="" textlink="">
          <xdr:nvSpPr>
            <xdr:cNvPr id="237611" name="Check Box 43" hidden="1">
              <a:extLst>
                <a:ext uri="{63B3BB69-23CF-44E3-9099-C40C66FF867C}">
                  <a14:compatExt spid="_x0000_s237611"/>
                </a:ext>
                <a:ext uri="{FF2B5EF4-FFF2-40B4-BE49-F238E27FC236}">
                  <a16:creationId xmlns:a16="http://schemas.microsoft.com/office/drawing/2014/main" id="{00000000-0008-0000-0000-00002B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78</xdr:col>
      <xdr:colOff>320040</xdr:colOff>
      <xdr:row>32</xdr:row>
      <xdr:rowOff>106680</xdr:rowOff>
    </xdr:from>
    <xdr:to>
      <xdr:col>103</xdr:col>
      <xdr:colOff>327659</xdr:colOff>
      <xdr:row>99</xdr:row>
      <xdr:rowOff>129593</xdr:rowOff>
    </xdr:to>
    <xdr:pic>
      <xdr:nvPicPr>
        <xdr:cNvPr id="172498" name="Imagen 3">
          <a:extLst>
            <a:ext uri="{FF2B5EF4-FFF2-40B4-BE49-F238E27FC236}">
              <a16:creationId xmlns:a16="http://schemas.microsoft.com/office/drawing/2014/main" id="{00000000-0008-0000-0200-0000D2A1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6400" y="6156960"/>
          <a:ext cx="14356080" cy="11551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78</xdr:col>
      <xdr:colOff>419100</xdr:colOff>
      <xdr:row>14</xdr:row>
      <xdr:rowOff>38100</xdr:rowOff>
    </xdr:from>
    <xdr:to>
      <xdr:col>82</xdr:col>
      <xdr:colOff>396241</xdr:colOff>
      <xdr:row>30</xdr:row>
      <xdr:rowOff>106681</xdr:rowOff>
    </xdr:to>
    <xdr:pic>
      <xdr:nvPicPr>
        <xdr:cNvPr id="172499" name="Imagen 1">
          <a:extLst>
            <a:ext uri="{FF2B5EF4-FFF2-40B4-BE49-F238E27FC236}">
              <a16:creationId xmlns:a16="http://schemas.microsoft.com/office/drawing/2014/main" id="{00000000-0008-0000-0200-0000D3A102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05460" y="3070860"/>
          <a:ext cx="2377440" cy="2750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82</xdr:col>
      <xdr:colOff>441960</xdr:colOff>
      <xdr:row>14</xdr:row>
      <xdr:rowOff>60960</xdr:rowOff>
    </xdr:from>
    <xdr:to>
      <xdr:col>85</xdr:col>
      <xdr:colOff>380998</xdr:colOff>
      <xdr:row>30</xdr:row>
      <xdr:rowOff>129541</xdr:rowOff>
    </xdr:to>
    <xdr:pic>
      <xdr:nvPicPr>
        <xdr:cNvPr id="172500" name="Imagen 2">
          <a:extLst>
            <a:ext uri="{FF2B5EF4-FFF2-40B4-BE49-F238E27FC236}">
              <a16:creationId xmlns:a16="http://schemas.microsoft.com/office/drawing/2014/main" id="{00000000-0008-0000-0200-0000D4A10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628620" y="3093720"/>
          <a:ext cx="2179320" cy="2750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78</xdr:col>
      <xdr:colOff>510540</xdr:colOff>
      <xdr:row>3</xdr:row>
      <xdr:rowOff>30480</xdr:rowOff>
    </xdr:from>
    <xdr:to>
      <xdr:col>84</xdr:col>
      <xdr:colOff>624839</xdr:colOff>
      <xdr:row>13</xdr:row>
      <xdr:rowOff>37503</xdr:rowOff>
    </xdr:to>
    <xdr:pic>
      <xdr:nvPicPr>
        <xdr:cNvPr id="172501" name="Imagen 3">
          <a:extLst>
            <a:ext uri="{FF2B5EF4-FFF2-40B4-BE49-F238E27FC236}">
              <a16:creationId xmlns:a16="http://schemas.microsoft.com/office/drawing/2014/main" id="{00000000-0008-0000-0200-0000D5A102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296900" y="1226820"/>
          <a:ext cx="400812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tabColor rgb="FF00B050"/>
  </sheetPr>
  <dimension ref="B1:AB171"/>
  <sheetViews>
    <sheetView tabSelected="1" zoomScale="85" zoomScaleNormal="85" workbookViewId="0">
      <selection activeCell="F18" sqref="F18"/>
    </sheetView>
  </sheetViews>
  <sheetFormatPr baseColWidth="10" defaultColWidth="10.5703125" defaultRowHeight="12.75" x14ac:dyDescent="0.2"/>
  <cols>
    <col min="1" max="1" width="2" style="37" customWidth="1"/>
    <col min="2" max="2" width="1.42578125" style="37" customWidth="1"/>
    <col min="3" max="3" width="6.5703125" style="37" customWidth="1"/>
    <col min="4" max="4" width="29.5703125" style="37" customWidth="1"/>
    <col min="5" max="5" width="22.5703125" style="37" customWidth="1"/>
    <col min="6" max="6" width="19.42578125" style="37" customWidth="1"/>
    <col min="7" max="7" width="18.42578125" style="37" customWidth="1"/>
    <col min="8" max="8" width="18.5703125" style="37" customWidth="1"/>
    <col min="9" max="9" width="9.42578125" style="37" customWidth="1"/>
    <col min="10" max="10" width="21" style="37" customWidth="1"/>
    <col min="11" max="11" width="21" style="37" bestFit="1" customWidth="1"/>
    <col min="12" max="12" width="3.5703125" style="37" customWidth="1"/>
    <col min="13" max="13" width="3.28515625" style="37" customWidth="1"/>
    <col min="14" max="14" width="12.85546875" style="37" customWidth="1"/>
    <col min="15" max="15" width="16.42578125" style="37" bestFit="1" customWidth="1"/>
    <col min="16" max="16" width="23.85546875" style="37" bestFit="1" customWidth="1"/>
    <col min="17" max="23" width="10.140625" style="37" hidden="1" customWidth="1"/>
    <col min="24" max="24" width="16" style="37" hidden="1" customWidth="1"/>
    <col min="25" max="25" width="26.85546875" style="37" hidden="1" customWidth="1"/>
    <col min="26" max="26" width="10.140625" style="37" hidden="1" customWidth="1"/>
    <col min="27" max="27" width="10.28515625" style="37" hidden="1" customWidth="1"/>
    <col min="28" max="28" width="11.7109375" style="37" hidden="1" customWidth="1"/>
    <col min="29" max="29" width="3.140625" style="37" customWidth="1"/>
    <col min="30" max="30" width="8.85546875" style="37" customWidth="1"/>
    <col min="31" max="31" width="9.140625" style="37" customWidth="1"/>
    <col min="32" max="33" width="10.5703125" style="37"/>
    <col min="34" max="34" width="8.85546875" style="37" customWidth="1"/>
    <col min="35" max="35" width="8.28515625" style="37" customWidth="1"/>
    <col min="36" max="16384" width="10.5703125" style="37"/>
  </cols>
  <sheetData>
    <row r="1" spans="2:28" ht="7.35" customHeight="1" thickBot="1" x14ac:dyDescent="0.25"/>
    <row r="2" spans="2:28" ht="18.75" x14ac:dyDescent="0.25">
      <c r="B2" s="3165"/>
      <c r="C2" s="3166"/>
      <c r="D2" s="104" t="s">
        <v>282</v>
      </c>
      <c r="E2" s="105"/>
      <c r="F2" s="3167"/>
      <c r="G2" s="3166"/>
      <c r="H2" s="3166"/>
      <c r="I2" s="3166"/>
      <c r="J2" s="3166"/>
      <c r="K2" s="3166"/>
      <c r="L2" s="3166"/>
      <c r="M2" s="3166"/>
      <c r="N2" s="3166"/>
      <c r="O2" s="3166"/>
      <c r="P2" s="3168"/>
    </row>
    <row r="3" spans="2:28" ht="18.75" x14ac:dyDescent="0.25">
      <c r="B3" s="3169"/>
      <c r="C3" s="1584"/>
      <c r="D3" s="108"/>
      <c r="E3" s="107"/>
      <c r="F3" s="3170"/>
      <c r="G3" s="1584"/>
      <c r="H3" s="1584"/>
      <c r="I3" s="1584"/>
      <c r="J3" s="1584"/>
      <c r="K3" s="1584"/>
      <c r="L3" s="1584"/>
      <c r="M3" s="1584"/>
      <c r="N3" s="1584"/>
      <c r="O3" s="1584"/>
      <c r="P3" s="3171"/>
    </row>
    <row r="4" spans="2:28" ht="15" x14ac:dyDescent="0.25">
      <c r="B4" s="3169"/>
      <c r="C4" s="1584"/>
      <c r="D4" s="109" t="s">
        <v>283</v>
      </c>
      <c r="E4" s="1734" t="inlineStr">
        <is>
          <t>Ejemplo GSM - cuatro puntos</t>
        </is>
      </c>
      <c r="F4" s="3170"/>
      <c r="G4" s="109" t="s">
        <v>284</v>
      </c>
      <c r="H4" s="3391"/>
      <c r="I4" s="1584"/>
      <c r="J4" s="1584"/>
      <c r="K4" s="1584"/>
      <c r="L4" s="1584"/>
      <c r="M4" s="1584"/>
      <c r="N4" s="1584"/>
      <c r="O4" s="1584"/>
      <c r="P4" s="3171"/>
    </row>
    <row r="5" spans="2:28" ht="15" x14ac:dyDescent="0.25">
      <c r="B5" s="3169"/>
      <c r="C5" s="1584"/>
      <c r="D5" s="109" t="s">
        <v>285</v>
      </c>
      <c r="E5" s="6908"/>
      <c r="F5" s="6747"/>
      <c r="G5" s="109" t="s">
        <v>286</v>
      </c>
      <c r="H5" s="3392"/>
      <c r="I5" s="1584"/>
      <c r="J5" s="1584"/>
      <c r="K5" s="1584"/>
      <c r="L5" s="1584"/>
      <c r="M5" s="1584"/>
      <c r="N5" s="1584"/>
      <c r="O5" s="1584"/>
      <c r="P5" s="3171"/>
    </row>
    <row r="6" spans="2:28" ht="15" x14ac:dyDescent="0.25">
      <c r="B6" s="3169"/>
      <c r="C6" s="1584"/>
      <c r="D6" s="109" t="s">
        <v>287</v>
      </c>
      <c r="E6" s="6908"/>
      <c r="F6" s="3170"/>
      <c r="G6" s="1584"/>
      <c r="H6" s="1584"/>
      <c r="I6" s="1584"/>
      <c r="J6" s="1584"/>
      <c r="K6" s="1584"/>
      <c r="L6" s="1584"/>
      <c r="M6" s="1584"/>
      <c r="N6" s="1584"/>
      <c r="O6" s="1584"/>
      <c r="P6" s="3171"/>
    </row>
    <row r="7" spans="2:28" ht="45" x14ac:dyDescent="0.25">
      <c r="B7" s="3169"/>
      <c r="C7" s="1584"/>
      <c r="D7" s="110" t="s">
        <v>1206</v>
      </c>
      <c r="E7" s="1734"/>
      <c r="F7" s="6749"/>
      <c r="G7" s="1584"/>
      <c r="H7" s="1584"/>
      <c r="I7" s="1584"/>
      <c r="J7" s="1584"/>
      <c r="K7" s="1584"/>
      <c r="L7" s="1584"/>
      <c r="M7" s="1584"/>
      <c r="N7" s="1584"/>
      <c r="O7" s="1584"/>
      <c r="P7" s="3171"/>
    </row>
    <row r="8" spans="2:28" ht="15" x14ac:dyDescent="0.25">
      <c r="B8" s="3169"/>
      <c r="C8" s="1584"/>
      <c r="D8" s="1726" t="s">
        <v>788</v>
      </c>
      <c r="E8" s="1727"/>
      <c r="F8" s="3170"/>
      <c r="G8" s="1584"/>
      <c r="H8" s="1584"/>
      <c r="I8" s="1584"/>
      <c r="J8" s="1584"/>
      <c r="K8" s="1584"/>
      <c r="L8" s="1584"/>
      <c r="M8" s="1584"/>
      <c r="N8" s="1584"/>
      <c r="O8" s="1584"/>
      <c r="P8" s="3171"/>
    </row>
    <row r="9" spans="2:28" ht="15.75" thickBot="1" x14ac:dyDescent="0.3">
      <c r="B9" s="3169"/>
      <c r="C9" s="1584"/>
      <c r="D9" s="3170"/>
      <c r="E9" s="3170"/>
      <c r="F9" s="3170"/>
      <c r="G9" s="1584"/>
      <c r="H9" s="1584"/>
      <c r="I9" s="1584"/>
      <c r="J9" s="1584"/>
      <c r="K9" s="1733" t="s">
        <v>1203</v>
      </c>
      <c r="L9" s="7516" t="s">
        <v>1204</v>
      </c>
      <c r="M9" s="7517"/>
      <c r="N9" s="7518"/>
      <c r="O9" s="1584"/>
      <c r="P9" s="3171"/>
      <c r="Q9" s="3195" t="s">
        <v>1010</v>
      </c>
      <c r="R9" s="3196"/>
      <c r="S9" s="3196"/>
      <c r="T9" s="3196"/>
      <c r="U9" s="3196"/>
      <c r="V9" s="3196"/>
      <c r="W9" s="3196"/>
      <c r="X9" s="3196"/>
    </row>
    <row r="10" spans="2:28" ht="15" x14ac:dyDescent="0.25">
      <c r="B10" s="3169"/>
      <c r="C10" s="1584"/>
      <c r="D10" s="7510" t="s">
        <v>288</v>
      </c>
      <c r="E10" s="7395" t="s">
        <v>782</v>
      </c>
      <c r="F10" s="7511" t="s">
        <v>1485</v>
      </c>
      <c r="G10" s="7511"/>
      <c r="H10" s="7511"/>
      <c r="I10" s="7511"/>
      <c r="J10" s="7511"/>
      <c r="K10" s="6893" t="b">
        <v>0</v>
      </c>
      <c r="L10" s="7495" t="b">
        <v>0</v>
      </c>
      <c r="M10" s="7496"/>
      <c r="N10" s="7497"/>
      <c r="O10" s="7117" t="b">
        <v>0</v>
      </c>
      <c r="P10" s="7118" t="b">
        <v>0</v>
      </c>
      <c r="Q10" s="3289" t="s">
        <v>821</v>
      </c>
      <c r="R10" s="3290" t="s">
        <v>818</v>
      </c>
      <c r="S10" s="3291" t="s">
        <v>814</v>
      </c>
      <c r="T10" s="3291" t="s">
        <v>815</v>
      </c>
      <c r="U10" s="3291" t="s">
        <v>819</v>
      </c>
      <c r="V10" s="3290" t="str">
        <f>IF(Overview!$O$10=TRUE,"EN 62209-1","EN 62209-2")</f>
        <v>EN 62209-2</v>
      </c>
      <c r="W10" s="3290" t="s">
        <v>820</v>
      </c>
      <c r="X10" s="3290" t="s">
        <v>818</v>
      </c>
      <c r="Y10" s="3291">
        <v>2016</v>
      </c>
      <c r="Z10" s="3291" t="s">
        <v>822</v>
      </c>
      <c r="AA10" s="3291" t="s">
        <v>819</v>
      </c>
      <c r="AB10" s="3292" t="str">
        <f>IF(Overview!$O$10=TRUE,"2016","2010/A1:2019")</f>
        <v>2010/A1:2019</v>
      </c>
    </row>
    <row r="11" spans="2:28" ht="15" x14ac:dyDescent="0.25">
      <c r="B11" s="3169"/>
      <c r="C11" s="1584"/>
      <c r="D11" s="7510"/>
      <c r="E11" s="7395" t="s">
        <v>783</v>
      </c>
      <c r="F11" s="7511" t="s">
        <v>1486</v>
      </c>
      <c r="G11" s="7511"/>
      <c r="H11" s="7511"/>
      <c r="I11" s="7511"/>
      <c r="J11" s="7511"/>
      <c r="K11" s="6893" t="b">
        <v>0</v>
      </c>
      <c r="L11" s="7495" t="b">
        <v>0</v>
      </c>
      <c r="M11" s="7496"/>
      <c r="N11" s="7497"/>
      <c r="O11" s="7117" t="b">
        <v>0</v>
      </c>
      <c r="P11" s="7118" t="b">
        <v>0</v>
      </c>
      <c r="Q11" s="3293"/>
      <c r="R11" s="3294" t="s">
        <v>812</v>
      </c>
      <c r="S11" s="3295" t="s">
        <v>816</v>
      </c>
      <c r="T11" s="3295"/>
      <c r="U11"/>
      <c r="V11"/>
      <c r="W11" s="3296"/>
      <c r="X11" s="3294" t="s">
        <v>812</v>
      </c>
      <c r="Y11" s="3295">
        <v>2013</v>
      </c>
      <c r="Z11" s="3295"/>
      <c r="AA11"/>
      <c r="AB11" s="3297"/>
    </row>
    <row r="12" spans="2:28" ht="15.75" thickBot="1" x14ac:dyDescent="0.3">
      <c r="B12" s="3169"/>
      <c r="C12" s="1584"/>
      <c r="D12" s="7510"/>
      <c r="E12" s="7395" t="s">
        <v>1487</v>
      </c>
      <c r="F12" s="7511" t="s">
        <v>667</v>
      </c>
      <c r="G12" s="7511"/>
      <c r="H12" s="7511"/>
      <c r="I12" s="7511"/>
      <c r="J12" s="7511"/>
      <c r="K12" s="6893" t="b">
        <v>0</v>
      </c>
      <c r="L12" s="7495" t="b">
        <v>0</v>
      </c>
      <c r="M12" s="7496"/>
      <c r="N12" s="7497"/>
      <c r="O12" s="7117" t="b">
        <v>0</v>
      </c>
      <c r="P12" s="7118" t="b">
        <v>0</v>
      </c>
      <c r="Q12" s="3298"/>
      <c r="R12" s="3299" t="s">
        <v>813</v>
      </c>
      <c r="S12" s="3300" t="s">
        <v>817</v>
      </c>
      <c r="T12" s="3300"/>
      <c r="U12" s="2283"/>
      <c r="V12" s="2283"/>
      <c r="W12" s="3301"/>
      <c r="X12" s="3299" t="s">
        <v>813</v>
      </c>
      <c r="Y12" s="3300">
        <v>2020</v>
      </c>
      <c r="Z12" s="3300"/>
      <c r="AA12" s="2283"/>
      <c r="AB12" s="3302"/>
    </row>
    <row r="13" spans="2:28" ht="15" x14ac:dyDescent="0.25">
      <c r="B13" s="3169"/>
      <c r="C13" s="1584"/>
      <c r="D13" s="7510"/>
      <c r="E13" s="7395" t="s">
        <v>1488</v>
      </c>
      <c r="F13" s="7511" t="s">
        <v>1489</v>
      </c>
      <c r="G13" s="7511"/>
      <c r="H13" s="7511"/>
      <c r="I13" s="7511"/>
      <c r="J13" s="7511"/>
      <c r="K13" s="6893"/>
      <c r="L13" s="7495"/>
      <c r="M13" s="7496"/>
      <c r="N13" s="7497"/>
      <c r="O13" s="7117" t="b">
        <v>0</v>
      </c>
      <c r="P13" s="7118" t="b">
        <v>0</v>
      </c>
    </row>
    <row r="14" spans="2:28" ht="15" x14ac:dyDescent="0.25">
      <c r="B14" s="3169"/>
      <c r="C14" s="1584"/>
      <c r="D14" s="7510"/>
      <c r="E14" s="7395" t="s">
        <v>780</v>
      </c>
      <c r="F14" s="7511" t="s">
        <v>1490</v>
      </c>
      <c r="G14" s="7511"/>
      <c r="H14" s="7511"/>
      <c r="I14" s="7511"/>
      <c r="J14" s="7511"/>
      <c r="K14" s="6893" t="b">
        <v>0</v>
      </c>
      <c r="L14" s="7495"/>
      <c r="M14" s="7496"/>
      <c r="N14" s="7497"/>
      <c r="O14" s="7117" t="b">
        <v>0</v>
      </c>
      <c r="P14" s="7118" t="b">
        <v>0</v>
      </c>
    </row>
    <row r="15" spans="2:28" ht="15" x14ac:dyDescent="0.25">
      <c r="B15" s="3169"/>
      <c r="C15" s="1584"/>
      <c r="D15" s="7510"/>
      <c r="E15" s="7395" t="s">
        <v>781</v>
      </c>
      <c r="F15" s="7511" t="s">
        <v>784</v>
      </c>
      <c r="G15" s="7511"/>
      <c r="H15" s="7511"/>
      <c r="I15" s="7511"/>
      <c r="J15" s="7511"/>
      <c r="K15" s="7464" t="b">
        <v>0</v>
      </c>
      <c r="L15" s="7467"/>
      <c r="M15" s="7465"/>
      <c r="N15" s="7466"/>
      <c r="O15" s="7117"/>
      <c r="P15" s="7118" t="b">
        <v>0</v>
      </c>
    </row>
    <row r="16" spans="2:28" ht="14.45" customHeight="1" x14ac:dyDescent="0.2">
      <c r="B16" s="3169"/>
      <c r="C16" s="1584"/>
      <c r="D16" s="1584"/>
      <c r="E16" s="1584"/>
      <c r="F16" s="1584"/>
      <c r="G16" s="1584"/>
      <c r="H16" s="1584"/>
      <c r="I16" s="1584"/>
      <c r="J16" s="1584"/>
      <c r="K16" s="1584"/>
      <c r="L16" s="1584"/>
      <c r="M16" s="1584"/>
      <c r="N16" s="1584"/>
      <c r="O16" s="7117" t="b">
        <v>0</v>
      </c>
      <c r="P16" s="7118" t="b">
        <v>0</v>
      </c>
    </row>
    <row r="17" spans="2:16" ht="14.45" customHeight="1" x14ac:dyDescent="0.2">
      <c r="B17" s="3169"/>
      <c r="C17" s="1584"/>
      <c r="D17" s="1584"/>
      <c r="E17" s="1584"/>
      <c r="F17" s="1584"/>
      <c r="G17" s="1584"/>
      <c r="H17" s="1584"/>
      <c r="I17" s="1584"/>
      <c r="J17" s="1584"/>
      <c r="K17" s="1584"/>
      <c r="L17" s="1584"/>
      <c r="M17" s="1584"/>
      <c r="N17" s="1584"/>
      <c r="O17" s="7117" t="b">
        <v>0</v>
      </c>
      <c r="P17" s="7118" t="b">
        <v>0</v>
      </c>
    </row>
    <row r="18" spans="2:16" x14ac:dyDescent="0.2">
      <c r="B18" s="3169"/>
      <c r="C18" s="1584"/>
      <c r="D18" s="1584"/>
      <c r="E18" s="1584"/>
      <c r="F18" s="1584"/>
      <c r="G18" s="1584"/>
      <c r="H18" s="1584"/>
      <c r="I18" s="1584"/>
      <c r="J18" s="1584"/>
      <c r="K18" s="1584"/>
      <c r="L18" s="1584"/>
      <c r="M18" s="1584"/>
      <c r="N18" s="1584"/>
      <c r="O18" s="7117" t="b">
        <v>0</v>
      </c>
      <c r="P18" s="7118" t="b">
        <v>0</v>
      </c>
    </row>
    <row r="19" spans="2:16" x14ac:dyDescent="0.2">
      <c r="B19" s="3169"/>
      <c r="C19" s="1584"/>
      <c r="D19" s="1584"/>
      <c r="E19" s="1584"/>
      <c r="F19" s="1584"/>
      <c r="G19" s="1584"/>
      <c r="H19" s="1584"/>
      <c r="I19" s="1584"/>
      <c r="J19" s="1584"/>
      <c r="K19" s="1584"/>
      <c r="L19" s="1584"/>
      <c r="M19" s="1584"/>
      <c r="N19" s="1584"/>
      <c r="O19" s="7117"/>
      <c r="P19" s="7118" t="b">
        <v>0</v>
      </c>
    </row>
    <row r="20" spans="2:16" ht="15" x14ac:dyDescent="0.2">
      <c r="B20" s="3169"/>
      <c r="C20" s="1584"/>
      <c r="D20" s="1584"/>
      <c r="E20" s="1584"/>
      <c r="F20" s="1584"/>
      <c r="G20" s="1584"/>
      <c r="H20" s="7529" t="s">
        <v>785</v>
      </c>
      <c r="I20" s="7521" t="s">
        <v>777</v>
      </c>
      <c r="J20" s="7522"/>
      <c r="K20" s="1584"/>
      <c r="L20" s="1584"/>
      <c r="M20" s="1584"/>
      <c r="N20" s="1584"/>
      <c r="O20" s="1584"/>
      <c r="P20" s="3171"/>
    </row>
    <row r="21" spans="2:16" ht="15" x14ac:dyDescent="0.2">
      <c r="B21" s="3169"/>
      <c r="C21" s="1584"/>
      <c r="D21" s="111" t="s">
        <v>290</v>
      </c>
      <c r="E21" s="112" t="s">
        <v>291</v>
      </c>
      <c r="F21" s="112" t="s">
        <v>292</v>
      </c>
      <c r="G21" s="1584"/>
      <c r="H21" s="7530"/>
      <c r="I21" s="7521" t="s">
        <v>778</v>
      </c>
      <c r="J21" s="7522"/>
      <c r="K21" s="1584"/>
      <c r="L21" s="1584"/>
      <c r="M21" s="1584"/>
      <c r="N21" s="1584"/>
      <c r="O21" s="1584"/>
      <c r="P21" s="3171"/>
    </row>
    <row r="22" spans="2:16" ht="15" x14ac:dyDescent="0.2">
      <c r="B22" s="3169"/>
      <c r="C22" s="1584"/>
      <c r="D22" s="113" t="s">
        <v>293</v>
      </c>
      <c r="E22" s="1734"/>
      <c r="F22" s="1734"/>
      <c r="G22" s="1584"/>
      <c r="H22" s="7531"/>
      <c r="I22" s="7521" t="s">
        <v>779</v>
      </c>
      <c r="J22" s="7522"/>
      <c r="K22" s="1584"/>
      <c r="L22" s="1584"/>
      <c r="M22" s="1584"/>
      <c r="N22" s="1584"/>
      <c r="O22" s="1584"/>
      <c r="P22" s="3171"/>
    </row>
    <row r="23" spans="2:16" ht="15" x14ac:dyDescent="0.2">
      <c r="B23" s="3169"/>
      <c r="C23" s="1584"/>
      <c r="D23" s="113" t="s">
        <v>294</v>
      </c>
      <c r="E23" s="1734"/>
      <c r="F23" s="1734"/>
      <c r="G23" s="1584"/>
      <c r="H23" s="111" t="s">
        <v>289</v>
      </c>
      <c r="I23" s="7519" t="s">
        <v>304</v>
      </c>
      <c r="J23" s="7520"/>
      <c r="K23" s="1584"/>
      <c r="L23" s="1584"/>
      <c r="M23" s="1584"/>
      <c r="N23" s="1584"/>
      <c r="O23" s="1584"/>
      <c r="P23" s="3171"/>
    </row>
    <row r="24" spans="2:16" x14ac:dyDescent="0.2">
      <c r="B24" s="3169"/>
      <c r="C24" s="1584"/>
      <c r="D24" s="1584"/>
      <c r="E24" s="1584"/>
      <c r="F24" s="1584"/>
      <c r="G24" s="1584"/>
      <c r="H24" s="1584"/>
      <c r="I24" s="1584"/>
      <c r="J24" s="1584"/>
      <c r="K24" s="1584"/>
      <c r="L24" s="1584"/>
      <c r="M24" s="1584"/>
      <c r="N24" s="1584"/>
      <c r="O24" s="1584"/>
      <c r="P24" s="3171"/>
    </row>
    <row r="25" spans="2:16" ht="18.75" x14ac:dyDescent="0.2">
      <c r="B25" s="3169"/>
      <c r="C25" s="1584"/>
      <c r="D25" s="106" t="s">
        <v>295</v>
      </c>
      <c r="E25" s="1584"/>
      <c r="F25" s="1584"/>
      <c r="G25" s="1584"/>
      <c r="H25" s="1584"/>
      <c r="I25" s="1584"/>
      <c r="J25" s="1584"/>
      <c r="K25" s="1584"/>
      <c r="L25" s="1584"/>
      <c r="M25" s="1584"/>
      <c r="N25" s="1584"/>
      <c r="O25" s="1584"/>
      <c r="P25" s="3171"/>
    </row>
    <row r="26" spans="2:16" x14ac:dyDescent="0.2">
      <c r="B26" s="3169"/>
      <c r="C26" s="1584"/>
      <c r="D26" s="1584"/>
      <c r="E26" s="1584"/>
      <c r="F26" s="1584"/>
      <c r="G26" s="1584"/>
      <c r="H26" s="1584"/>
      <c r="I26" s="1584"/>
      <c r="J26" s="1584"/>
      <c r="K26" s="1584"/>
      <c r="L26" s="1584"/>
      <c r="M26" s="1584"/>
      <c r="N26" s="1584"/>
      <c r="O26" s="1584"/>
      <c r="P26" s="3171"/>
    </row>
    <row r="27" spans="2:16" ht="15" x14ac:dyDescent="0.2">
      <c r="B27" s="3169"/>
      <c r="C27" s="1584"/>
      <c r="D27" s="1733" t="s">
        <v>673</v>
      </c>
      <c r="E27" s="1733" t="s">
        <v>674</v>
      </c>
      <c r="F27" s="1584"/>
      <c r="G27" s="1733" t="s">
        <v>675</v>
      </c>
      <c r="H27" s="1733" t="s">
        <v>674</v>
      </c>
      <c r="I27" s="1584"/>
      <c r="J27" s="1733" t="s">
        <v>1161</v>
      </c>
      <c r="K27" s="1733" t="s">
        <v>674</v>
      </c>
      <c r="L27" s="1584"/>
      <c r="M27" s="1584"/>
      <c r="N27" s="1584"/>
      <c r="O27" s="1733" t="s">
        <v>1164</v>
      </c>
      <c r="P27" s="1733" t="s">
        <v>674</v>
      </c>
    </row>
    <row r="28" spans="2:16" x14ac:dyDescent="0.2">
      <c r="B28" s="3169"/>
      <c r="C28" s="1584"/>
      <c r="D28" s="3172" t="s">
        <v>680</v>
      </c>
      <c r="E28" s="3178">
        <v>1</v>
      </c>
      <c r="F28" s="1584"/>
      <c r="G28" s="3172" t="s">
        <v>676</v>
      </c>
      <c r="H28" s="3178">
        <v>1</v>
      </c>
      <c r="I28" s="1584"/>
      <c r="J28" s="6615" t="inlineStr">
        <is>
          <t>Battery 1</t>
        </is>
      </c>
      <c r="K28" s="7279" t="inlineStr">
        <is>
          <t>Batería A</t>
        </is>
      </c>
      <c r="L28" s="1584"/>
      <c r="M28" s="1584"/>
      <c r="N28" s="1584"/>
      <c r="O28" s="6615" t="inlineStr">
        <is>
          <t>Accessory 1</t>
        </is>
      </c>
      <c r="P28" s="7279" t="inlineStr">
        <is>
          <t>Funda</t>
        </is>
      </c>
    </row>
    <row r="29" spans="2:16" x14ac:dyDescent="0.2">
      <c r="B29" s="3169"/>
      <c r="C29" s="1584"/>
      <c r="D29" s="3172" t="s">
        <v>681</v>
      </c>
      <c r="E29" s="3178">
        <v>2</v>
      </c>
      <c r="F29" s="1584"/>
      <c r="G29" s="3172" t="s">
        <v>677</v>
      </c>
      <c r="H29" s="3178">
        <v>2</v>
      </c>
      <c r="I29" s="1584"/>
      <c r="J29" s="6615" t="inlineStr">
        <is>
          <t>Battery 2</t>
        </is>
      </c>
      <c r="K29" s="7279" t="inlineStr">
        <is>
          <t>Batería B</t>
        </is>
      </c>
      <c r="L29" s="1584"/>
      <c r="M29" s="1584"/>
      <c r="N29" s="1584"/>
      <c r="O29" s="6615" t="inlineStr">
        <is>
          <t>Accessory 2</t>
        </is>
      </c>
      <c r="P29" s="7279" t="inlineStr">
        <is>
          <t>Clip</t>
        </is>
      </c>
    </row>
    <row r="30" spans="2:16" x14ac:dyDescent="0.2">
      <c r="B30" s="3169"/>
      <c r="C30" s="1584"/>
      <c r="D30" s="3172" t="s">
        <v>682</v>
      </c>
      <c r="E30" s="3178">
        <v>3</v>
      </c>
      <c r="F30" s="1584"/>
      <c r="G30" s="3172" t="s">
        <v>678</v>
      </c>
      <c r="H30" s="3178">
        <v>3</v>
      </c>
      <c r="I30" s="1584"/>
      <c r="J30" s="1584"/>
      <c r="K30" s="1584"/>
      <c r="L30" s="1584"/>
      <c r="M30" s="1584"/>
      <c r="N30" s="1584"/>
      <c r="O30" s="6615" t="s">
        <v>1167</v>
      </c>
      <c r="P30" s="7279"/>
    </row>
    <row r="31" spans="2:16" x14ac:dyDescent="0.2">
      <c r="B31" s="3169"/>
      <c r="C31" s="1584"/>
      <c r="D31" s="3172" t="s">
        <v>683</v>
      </c>
      <c r="E31" s="3178">
        <v>4</v>
      </c>
      <c r="F31" s="1584"/>
      <c r="G31" s="3172" t="s">
        <v>679</v>
      </c>
      <c r="H31" s="3178">
        <v>4</v>
      </c>
      <c r="I31" s="1584"/>
      <c r="J31" s="1584"/>
      <c r="K31" s="1584"/>
      <c r="L31" s="1584"/>
      <c r="M31" s="1584"/>
      <c r="N31" s="1584"/>
      <c r="O31" s="6615" t="s">
        <v>1168</v>
      </c>
      <c r="P31" s="7279"/>
    </row>
    <row r="32" spans="2:16" x14ac:dyDescent="0.2">
      <c r="B32" s="3169"/>
      <c r="C32" s="1584"/>
      <c r="D32" s="1584"/>
      <c r="E32" s="1590"/>
      <c r="F32" s="1584"/>
      <c r="G32" s="1584"/>
      <c r="H32" s="1584"/>
      <c r="I32" s="1584"/>
      <c r="J32" s="1584"/>
      <c r="K32" s="1584"/>
      <c r="L32" s="1584"/>
      <c r="M32" s="1584"/>
      <c r="N32" s="1584"/>
      <c r="O32" s="6615" t="s">
        <v>1169</v>
      </c>
      <c r="P32" s="7279"/>
    </row>
    <row r="33" spans="2:16" ht="15" x14ac:dyDescent="0.2">
      <c r="B33" s="3169"/>
      <c r="C33" s="1584"/>
      <c r="D33" s="1733" t="s">
        <v>152</v>
      </c>
      <c r="E33" s="1584"/>
      <c r="F33" s="1584"/>
      <c r="G33" s="1584"/>
      <c r="H33" s="1584"/>
      <c r="I33" s="1584"/>
      <c r="J33" s="1584"/>
      <c r="K33" s="1584"/>
      <c r="L33" s="1584"/>
      <c r="M33" s="1584"/>
      <c r="N33" s="1584"/>
      <c r="O33" s="6615" t="s">
        <v>1170</v>
      </c>
      <c r="P33" s="7279"/>
    </row>
    <row r="34" spans="2:16" ht="15" x14ac:dyDescent="0.2">
      <c r="B34" s="3169"/>
      <c r="C34" s="1584"/>
      <c r="D34" s="1733" t="s">
        <v>296</v>
      </c>
      <c r="E34" s="7515" t="s">
        <v>297</v>
      </c>
      <c r="F34" s="7515"/>
      <c r="G34" s="1733" t="s">
        <v>298</v>
      </c>
      <c r="H34" s="1733" t="s">
        <v>299</v>
      </c>
      <c r="I34" s="1733" t="s">
        <v>300</v>
      </c>
      <c r="J34" s="1733" t="s">
        <v>301</v>
      </c>
      <c r="K34" s="1733" t="s">
        <v>305</v>
      </c>
      <c r="L34" s="1584"/>
      <c r="M34" s="1584"/>
      <c r="N34" s="1584"/>
      <c r="O34" s="6615" t="s">
        <v>1171</v>
      </c>
      <c r="P34" s="7279"/>
    </row>
    <row r="35" spans="2:16" ht="15.75" thickBot="1" x14ac:dyDescent="0.3">
      <c r="B35" s="3169"/>
      <c r="C35" s="1584"/>
      <c r="D35" s="1734" t="s">
        <v>1516</v>
      </c>
      <c r="E35" s="7514"/>
      <c r="F35" s="7514"/>
      <c r="G35" s="1734"/>
      <c r="H35" s="1734"/>
      <c r="I35" s="1734"/>
      <c r="J35" s="1734"/>
      <c r="K35" s="1734"/>
      <c r="L35" s="1584"/>
      <c r="M35" s="1584"/>
      <c r="N35" s="1584"/>
      <c r="O35" s="3176"/>
      <c r="P35" s="3177"/>
    </row>
    <row r="36" spans="2:16" ht="15" customHeight="1" x14ac:dyDescent="0.2">
      <c r="B36" s="3169"/>
      <c r="C36" s="1584"/>
      <c r="D36" s="1734"/>
      <c r="E36" s="7514"/>
      <c r="F36" s="7514"/>
      <c r="G36" s="1734"/>
      <c r="H36" s="1734"/>
      <c r="I36" s="1734"/>
      <c r="J36" s="1734"/>
      <c r="K36" s="1734"/>
      <c r="L36" s="1584"/>
      <c r="M36" s="1584"/>
      <c r="N36" s="3171"/>
      <c r="O36" s="3179"/>
      <c r="P36" s="3179"/>
    </row>
    <row r="37" spans="2:16" ht="15" x14ac:dyDescent="0.2">
      <c r="B37" s="3169"/>
      <c r="C37" s="1584"/>
      <c r="D37" s="1734"/>
      <c r="E37" s="7514"/>
      <c r="F37" s="7514"/>
      <c r="G37" s="1734"/>
      <c r="H37" s="1734"/>
      <c r="I37" s="1734"/>
      <c r="J37" s="1734"/>
      <c r="K37" s="1734"/>
      <c r="L37" s="1584"/>
      <c r="M37" s="1584"/>
      <c r="N37" s="3171"/>
      <c r="O37" s="3179"/>
      <c r="P37" s="3179"/>
    </row>
    <row r="38" spans="2:16" ht="15" x14ac:dyDescent="0.2">
      <c r="B38" s="3169"/>
      <c r="C38" s="1584"/>
      <c r="D38" s="1734"/>
      <c r="E38" s="7514"/>
      <c r="F38" s="7514"/>
      <c r="G38" s="1734"/>
      <c r="H38" s="1734"/>
      <c r="I38" s="1734"/>
      <c r="J38" s="1734"/>
      <c r="K38" s="1734"/>
      <c r="L38" s="1584"/>
      <c r="M38" s="1584"/>
      <c r="N38" s="3171"/>
      <c r="O38" s="3179"/>
      <c r="P38" s="3179"/>
    </row>
    <row r="39" spans="2:16" ht="15" x14ac:dyDescent="0.2">
      <c r="B39" s="3169"/>
      <c r="C39" s="1584"/>
      <c r="D39" s="1734"/>
      <c r="E39" s="7514"/>
      <c r="F39" s="7514"/>
      <c r="G39" s="1734"/>
      <c r="H39" s="1734"/>
      <c r="I39" s="1734"/>
      <c r="J39" s="1734"/>
      <c r="K39" s="1734"/>
      <c r="L39" s="1584"/>
      <c r="M39" s="1584"/>
      <c r="N39" s="3171"/>
      <c r="O39" s="3179"/>
      <c r="P39" s="3179"/>
    </row>
    <row r="40" spans="2:16" ht="15" x14ac:dyDescent="0.2">
      <c r="B40" s="3169"/>
      <c r="C40" s="1584"/>
      <c r="D40" s="1733" t="s">
        <v>687</v>
      </c>
      <c r="E40" s="1584"/>
      <c r="F40" s="1584"/>
      <c r="G40" s="1584"/>
      <c r="H40" s="1584"/>
      <c r="I40" s="1584"/>
      <c r="J40" s="1584"/>
      <c r="K40" s="1584"/>
      <c r="L40" s="1584"/>
      <c r="M40" s="1584"/>
      <c r="N40" s="3171"/>
      <c r="O40" s="3179"/>
      <c r="P40" s="3179"/>
    </row>
    <row r="41" spans="2:16" ht="15" x14ac:dyDescent="0.2">
      <c r="B41" s="3169"/>
      <c r="C41" s="1584"/>
      <c r="D41" s="1733" t="s">
        <v>296</v>
      </c>
      <c r="E41" s="7515" t="s">
        <v>297</v>
      </c>
      <c r="F41" s="7515"/>
      <c r="G41" s="1733" t="s">
        <v>298</v>
      </c>
      <c r="H41" s="1733" t="s">
        <v>299</v>
      </c>
      <c r="I41" s="1733" t="s">
        <v>300</v>
      </c>
      <c r="J41" s="1733" t="s">
        <v>301</v>
      </c>
      <c r="K41" s="1733" t="s">
        <v>305</v>
      </c>
      <c r="L41" s="1584"/>
      <c r="M41" s="1584"/>
      <c r="N41" s="3171"/>
      <c r="O41" s="3179"/>
      <c r="P41" s="3179"/>
    </row>
    <row r="42" spans="2:16" ht="15" x14ac:dyDescent="0.2">
      <c r="B42" s="3169"/>
      <c r="C42" s="1584"/>
      <c r="D42" s="1734"/>
      <c r="E42" s="7514"/>
      <c r="F42" s="7514"/>
      <c r="G42" s="1734"/>
      <c r="H42" s="1734"/>
      <c r="I42" s="1734"/>
      <c r="J42" s="1734"/>
      <c r="K42" s="1734"/>
      <c r="L42" s="1584"/>
      <c r="M42" s="1584"/>
      <c r="N42" s="3171"/>
      <c r="O42" s="3179"/>
      <c r="P42" s="3179"/>
    </row>
    <row r="43" spans="2:16" ht="15" x14ac:dyDescent="0.2">
      <c r="B43" s="3169"/>
      <c r="C43" s="1584"/>
      <c r="D43" s="1734"/>
      <c r="E43" s="7514"/>
      <c r="F43" s="7514"/>
      <c r="G43" s="1734"/>
      <c r="H43" s="1734"/>
      <c r="I43" s="1734"/>
      <c r="J43" s="1734"/>
      <c r="K43" s="1734"/>
      <c r="L43" s="1584"/>
      <c r="M43" s="1584"/>
      <c r="N43" s="3171"/>
      <c r="O43" s="3179"/>
      <c r="P43" s="3179"/>
    </row>
    <row r="44" spans="2:16" ht="15" x14ac:dyDescent="0.2">
      <c r="B44" s="3169"/>
      <c r="C44" s="1584"/>
      <c r="D44" s="1734"/>
      <c r="E44" s="7514"/>
      <c r="F44" s="7514"/>
      <c r="G44" s="1734"/>
      <c r="H44" s="1734"/>
      <c r="I44" s="1734"/>
      <c r="J44" s="1734"/>
      <c r="K44" s="1734"/>
      <c r="L44" s="1584"/>
      <c r="M44" s="1584"/>
      <c r="N44" s="3171"/>
      <c r="O44" s="3179"/>
      <c r="P44" s="3179"/>
    </row>
    <row r="45" spans="2:16" ht="15" x14ac:dyDescent="0.2">
      <c r="B45" s="3169"/>
      <c r="C45" s="1584"/>
      <c r="D45" s="1734"/>
      <c r="E45" s="7514"/>
      <c r="F45" s="7514"/>
      <c r="G45" s="1734"/>
      <c r="H45" s="1734"/>
      <c r="I45" s="1734"/>
      <c r="J45" s="1734"/>
      <c r="K45" s="1734"/>
      <c r="L45" s="1584"/>
      <c r="M45" s="1584"/>
      <c r="N45" s="3171"/>
      <c r="O45" s="3179"/>
      <c r="P45" s="3179"/>
    </row>
    <row r="46" spans="2:16" ht="15" x14ac:dyDescent="0.2">
      <c r="B46" s="3169"/>
      <c r="C46" s="1584"/>
      <c r="D46" s="1734"/>
      <c r="E46" s="7514"/>
      <c r="F46" s="7514"/>
      <c r="G46" s="1734"/>
      <c r="H46" s="1734"/>
      <c r="I46" s="1734"/>
      <c r="J46" s="1734"/>
      <c r="K46" s="1734"/>
      <c r="L46" s="1584"/>
      <c r="M46" s="1584"/>
      <c r="N46" s="3171"/>
      <c r="O46" s="3179"/>
      <c r="P46" s="3179"/>
    </row>
    <row r="47" spans="2:16" ht="15" x14ac:dyDescent="0.2">
      <c r="B47" s="3169"/>
      <c r="C47" s="1584"/>
      <c r="D47" s="1733" t="s">
        <v>688</v>
      </c>
      <c r="E47" s="1584"/>
      <c r="F47" s="1584"/>
      <c r="G47" s="1584"/>
      <c r="H47" s="1584"/>
      <c r="I47" s="1584"/>
      <c r="J47" s="1584"/>
      <c r="K47" s="1584"/>
      <c r="L47" s="1584"/>
      <c r="M47" s="1584"/>
      <c r="N47" s="3171"/>
      <c r="O47" s="3179"/>
      <c r="P47" s="3179"/>
    </row>
    <row r="48" spans="2:16" ht="15" x14ac:dyDescent="0.2">
      <c r="B48" s="3169"/>
      <c r="C48" s="1584"/>
      <c r="D48" s="1733" t="s">
        <v>296</v>
      </c>
      <c r="E48" s="7515" t="s">
        <v>297</v>
      </c>
      <c r="F48" s="7515"/>
      <c r="G48" s="1733" t="s">
        <v>298</v>
      </c>
      <c r="H48" s="1733" t="s">
        <v>299</v>
      </c>
      <c r="I48" s="1733" t="s">
        <v>300</v>
      </c>
      <c r="J48" s="1733" t="s">
        <v>301</v>
      </c>
      <c r="K48" s="1733" t="s">
        <v>305</v>
      </c>
      <c r="L48" s="1584"/>
      <c r="M48" s="1584"/>
      <c r="N48" s="3171"/>
      <c r="O48" s="3179"/>
      <c r="P48" s="3179"/>
    </row>
    <row r="49" spans="2:16" ht="15" x14ac:dyDescent="0.2">
      <c r="B49" s="3169"/>
      <c r="C49" s="1584"/>
      <c r="D49" s="1734"/>
      <c r="E49" s="7514"/>
      <c r="F49" s="7514"/>
      <c r="G49" s="1734"/>
      <c r="H49" s="1734"/>
      <c r="I49" s="1734"/>
      <c r="J49" s="1734"/>
      <c r="K49" s="1734"/>
      <c r="L49" s="1584"/>
      <c r="M49" s="1584"/>
      <c r="N49" s="3171"/>
      <c r="O49" s="3179"/>
      <c r="P49" s="3179"/>
    </row>
    <row r="50" spans="2:16" ht="15" x14ac:dyDescent="0.2">
      <c r="B50" s="3169"/>
      <c r="C50" s="1584"/>
      <c r="D50" s="1734"/>
      <c r="E50" s="7514"/>
      <c r="F50" s="7514"/>
      <c r="G50" s="1734"/>
      <c r="H50" s="1734"/>
      <c r="I50" s="1734"/>
      <c r="J50" s="1734"/>
      <c r="K50" s="1734"/>
      <c r="L50" s="1584"/>
      <c r="M50" s="1584"/>
      <c r="N50" s="3171"/>
      <c r="O50" s="3179"/>
      <c r="P50" s="3179"/>
    </row>
    <row r="51" spans="2:16" ht="15" x14ac:dyDescent="0.2">
      <c r="B51" s="3169"/>
      <c r="C51" s="1584"/>
      <c r="D51" s="1734"/>
      <c r="E51" s="7514"/>
      <c r="F51" s="7514"/>
      <c r="G51" s="1734"/>
      <c r="H51" s="1734"/>
      <c r="I51" s="1734"/>
      <c r="J51" s="1734"/>
      <c r="K51" s="1734"/>
      <c r="L51" s="1584"/>
      <c r="M51" s="1584"/>
      <c r="N51" s="3171"/>
      <c r="O51" s="3179"/>
      <c r="P51" s="3179"/>
    </row>
    <row r="52" spans="2:16" ht="15" x14ac:dyDescent="0.2">
      <c r="B52" s="3169"/>
      <c r="C52" s="1584"/>
      <c r="D52" s="1734"/>
      <c r="E52" s="7514"/>
      <c r="F52" s="7514"/>
      <c r="G52" s="1734"/>
      <c r="H52" s="1734"/>
      <c r="I52" s="1734"/>
      <c r="J52" s="1734"/>
      <c r="K52" s="1734"/>
      <c r="L52" s="1584"/>
      <c r="M52" s="1584"/>
      <c r="N52" s="3171"/>
      <c r="O52" s="3179"/>
      <c r="P52" s="3179"/>
    </row>
    <row r="53" spans="2:16" ht="15" x14ac:dyDescent="0.2">
      <c r="B53" s="3169"/>
      <c r="C53" s="1584"/>
      <c r="D53" s="1734"/>
      <c r="E53" s="7514"/>
      <c r="F53" s="7514"/>
      <c r="G53" s="1734"/>
      <c r="H53" s="1734"/>
      <c r="I53" s="1734"/>
      <c r="J53" s="1734"/>
      <c r="K53" s="1734"/>
      <c r="L53" s="1584"/>
      <c r="M53" s="1584"/>
      <c r="N53" s="3171"/>
      <c r="O53" s="3179"/>
      <c r="P53" s="3179"/>
    </row>
    <row r="54" spans="2:16" ht="15" x14ac:dyDescent="0.2">
      <c r="B54" s="3169"/>
      <c r="C54" s="1584"/>
      <c r="D54" s="1733" t="s">
        <v>826</v>
      </c>
      <c r="E54" s="1584"/>
      <c r="F54" s="1584"/>
      <c r="G54" s="1584"/>
      <c r="H54" s="1584"/>
      <c r="I54" s="1584"/>
      <c r="J54" s="1584"/>
      <c r="K54" s="1584"/>
      <c r="L54" s="1584"/>
      <c r="M54" s="1584"/>
      <c r="N54" s="3171"/>
      <c r="O54" s="3179"/>
      <c r="P54" s="3179"/>
    </row>
    <row r="55" spans="2:16" ht="15" x14ac:dyDescent="0.2">
      <c r="B55" s="3169"/>
      <c r="C55" s="1584"/>
      <c r="D55" s="1733" t="s">
        <v>296</v>
      </c>
      <c r="E55" s="7515" t="s">
        <v>297</v>
      </c>
      <c r="F55" s="7515"/>
      <c r="G55" s="1733" t="s">
        <v>298</v>
      </c>
      <c r="H55" s="1733" t="s">
        <v>299</v>
      </c>
      <c r="I55" s="1733" t="s">
        <v>300</v>
      </c>
      <c r="J55" s="1733" t="s">
        <v>301</v>
      </c>
      <c r="K55" s="1733" t="s">
        <v>305</v>
      </c>
      <c r="L55" s="1584"/>
      <c r="M55" s="1584"/>
      <c r="N55" s="3171"/>
      <c r="O55" s="3179"/>
      <c r="P55" s="3179"/>
    </row>
    <row r="56" spans="2:16" ht="15" x14ac:dyDescent="0.2">
      <c r="B56" s="3169"/>
      <c r="C56" s="1584"/>
      <c r="D56" s="1734"/>
      <c r="E56" s="7514"/>
      <c r="F56" s="7514"/>
      <c r="G56" s="1734"/>
      <c r="H56" s="1734"/>
      <c r="I56" s="1734"/>
      <c r="J56" s="1734"/>
      <c r="K56" s="1734"/>
      <c r="L56" s="1584"/>
      <c r="M56" s="1584"/>
      <c r="N56" s="3171"/>
      <c r="O56" s="7494"/>
      <c r="P56" s="7494"/>
    </row>
    <row r="57" spans="2:16" ht="15" x14ac:dyDescent="0.2">
      <c r="B57" s="3169"/>
      <c r="C57" s="1584"/>
      <c r="D57" s="1734"/>
      <c r="E57" s="7514"/>
      <c r="F57" s="7514"/>
      <c r="G57" s="1734"/>
      <c r="H57" s="1734"/>
      <c r="I57" s="1734"/>
      <c r="J57" s="1734"/>
      <c r="K57" s="1734"/>
      <c r="L57" s="1584"/>
      <c r="M57" s="1584"/>
      <c r="N57" s="3171"/>
      <c r="O57" s="72"/>
      <c r="P57" s="72"/>
    </row>
    <row r="58" spans="2:16" ht="15" x14ac:dyDescent="0.2">
      <c r="B58" s="3169"/>
      <c r="C58" s="1584"/>
      <c r="D58" s="1734"/>
      <c r="E58" s="7514"/>
      <c r="F58" s="7514"/>
      <c r="G58" s="1734"/>
      <c r="H58" s="1734"/>
      <c r="I58" s="1734"/>
      <c r="J58" s="1734"/>
      <c r="K58" s="1734"/>
      <c r="L58" s="1584"/>
      <c r="M58" s="1584"/>
      <c r="N58" s="3171"/>
      <c r="O58" s="72"/>
      <c r="P58" s="72"/>
    </row>
    <row r="59" spans="2:16" ht="15" x14ac:dyDescent="0.2">
      <c r="B59" s="3169"/>
      <c r="C59" s="1584"/>
      <c r="D59" s="1734"/>
      <c r="E59" s="7514"/>
      <c r="F59" s="7514"/>
      <c r="G59" s="1734"/>
      <c r="H59" s="1734"/>
      <c r="I59" s="1734"/>
      <c r="J59" s="1734"/>
      <c r="K59" s="1734"/>
      <c r="L59" s="1584"/>
      <c r="M59" s="1584"/>
      <c r="N59" s="3171"/>
      <c r="O59" s="72"/>
      <c r="P59" s="72"/>
    </row>
    <row r="60" spans="2:16" ht="15" x14ac:dyDescent="0.2">
      <c r="B60" s="3169"/>
      <c r="C60" s="1584"/>
      <c r="D60" s="1734"/>
      <c r="E60" s="7514"/>
      <c r="F60" s="7514"/>
      <c r="G60" s="1734"/>
      <c r="H60" s="1734"/>
      <c r="I60" s="1734"/>
      <c r="J60" s="1734"/>
      <c r="K60" s="1734"/>
      <c r="L60" s="1584"/>
      <c r="M60" s="1584"/>
      <c r="N60" s="3171"/>
      <c r="O60" s="72"/>
      <c r="P60" s="72"/>
    </row>
    <row r="61" spans="2:16" x14ac:dyDescent="0.2">
      <c r="B61" s="3169"/>
      <c r="C61" s="1584"/>
      <c r="D61" s="1584"/>
      <c r="E61" s="1584"/>
      <c r="F61" s="1584"/>
      <c r="G61" s="1584"/>
      <c r="H61" s="1584"/>
      <c r="I61" s="1584"/>
      <c r="J61" s="1584"/>
      <c r="K61" s="1584"/>
      <c r="L61" s="1584"/>
      <c r="M61" s="1584"/>
      <c r="N61" s="3171"/>
      <c r="O61" s="72"/>
      <c r="P61" s="72"/>
    </row>
    <row r="62" spans="2:16" ht="18.75" customHeight="1" x14ac:dyDescent="0.2">
      <c r="B62" s="3169"/>
      <c r="C62" s="3173"/>
      <c r="D62" s="114" t="s">
        <v>666</v>
      </c>
      <c r="E62" s="1584"/>
      <c r="F62" s="1584"/>
      <c r="G62" s="1584"/>
      <c r="H62" s="1584"/>
      <c r="I62" s="1584"/>
      <c r="J62" s="1584"/>
      <c r="K62" s="1584"/>
      <c r="L62" s="1584"/>
      <c r="M62" s="1584"/>
      <c r="N62" s="3171"/>
      <c r="O62" s="72" t="s">
        <v>302</v>
      </c>
      <c r="P62" s="72" t="s">
        <v>303</v>
      </c>
    </row>
    <row r="63" spans="2:16" ht="18.75" customHeight="1" x14ac:dyDescent="0.25">
      <c r="B63" s="3169"/>
      <c r="C63" s="3173"/>
      <c r="D63" s="114"/>
      <c r="E63" s="1584"/>
      <c r="F63" s="1584"/>
      <c r="G63" s="7512" t="s">
        <v>764</v>
      </c>
      <c r="H63" s="7512" t="s">
        <v>763</v>
      </c>
      <c r="I63" s="7512" t="s">
        <v>762</v>
      </c>
      <c r="J63" s="7523"/>
      <c r="K63" s="3174"/>
      <c r="L63" s="3174"/>
      <c r="M63" s="1584"/>
      <c r="N63" s="3171"/>
      <c r="O63" s="72"/>
      <c r="P63" s="72"/>
    </row>
    <row r="64" spans="2:16" ht="15" x14ac:dyDescent="0.25">
      <c r="B64" s="3169"/>
      <c r="C64" s="3192" t="s">
        <v>823</v>
      </c>
      <c r="D64" s="3193" t="s">
        <v>824</v>
      </c>
      <c r="E64" s="3194"/>
      <c r="F64" s="4910"/>
      <c r="G64" s="7513"/>
      <c r="H64" s="7513"/>
      <c r="I64" s="7513"/>
      <c r="J64" s="7513"/>
      <c r="K64" s="3174"/>
      <c r="L64" s="3174"/>
      <c r="M64" s="1584"/>
      <c r="N64" s="3171"/>
      <c r="O64" s="72"/>
      <c r="P64" s="72"/>
    </row>
    <row r="65" spans="2:16" ht="15" x14ac:dyDescent="0.25">
      <c r="B65" s="3169"/>
      <c r="C65" s="838"/>
      <c r="D65" s="7397" t="s">
        <v>706</v>
      </c>
      <c r="E65" s="7398"/>
      <c r="F65" s="7399"/>
      <c r="G65" s="3404" t="s">
        <v>1019</v>
      </c>
      <c r="H65" s="3404" t="s">
        <v>1019</v>
      </c>
      <c r="I65" s="7502"/>
      <c r="J65" s="7503"/>
      <c r="K65" s="3174"/>
      <c r="L65" s="3174"/>
      <c r="M65" s="1584"/>
      <c r="N65" s="3171"/>
      <c r="O65" s="72" t="str">
        <f>IF(C65="","",IF(G65&lt;&gt;"",G65,IF(H65&lt;&gt;"",H65,I65)))</f>
        <v/>
      </c>
      <c r="P65" s="72" t="str">
        <f>IF(O65="","",O65)</f>
        <v/>
      </c>
    </row>
    <row r="66" spans="2:16" ht="15" x14ac:dyDescent="0.25">
      <c r="B66" s="3169"/>
      <c r="C66" s="839"/>
      <c r="D66" s="7400" t="s">
        <v>707</v>
      </c>
      <c r="E66" s="7401"/>
      <c r="F66" s="7402"/>
      <c r="G66" s="3405" t="s">
        <v>1020</v>
      </c>
      <c r="H66" s="3405" t="s">
        <v>1020</v>
      </c>
      <c r="I66" s="7498"/>
      <c r="J66" s="7499"/>
      <c r="K66" s="3174"/>
      <c r="L66" s="3174"/>
      <c r="M66" s="1584"/>
      <c r="N66" s="3171"/>
      <c r="O66" s="72" t="str">
        <f t="shared" ref="O66:O134" si="0">IF(C66="","",IF(G66&lt;&gt;"",G66,IF(H66&lt;&gt;"",H66,I66)))</f>
        <v/>
      </c>
      <c r="P66" s="72" t="str">
        <f>IF(O66="",P65,IF(P65="",O66,P65&amp;IF(O66="","",";"&amp;O66)))</f>
        <v/>
      </c>
    </row>
    <row r="67" spans="2:16" ht="15" x14ac:dyDescent="0.25">
      <c r="B67" s="3169"/>
      <c r="C67" s="839"/>
      <c r="D67" s="7400" t="s">
        <v>708</v>
      </c>
      <c r="E67" s="7401"/>
      <c r="F67" s="7402"/>
      <c r="G67" s="3405" t="s">
        <v>1021</v>
      </c>
      <c r="H67" s="3405" t="s">
        <v>1021</v>
      </c>
      <c r="I67" s="7500"/>
      <c r="J67" s="7501"/>
      <c r="K67" s="3174"/>
      <c r="L67" s="3174"/>
      <c r="M67" s="1584"/>
      <c r="N67" s="3171"/>
      <c r="O67" s="72" t="str">
        <f t="shared" si="0"/>
        <v/>
      </c>
      <c r="P67" s="72" t="str">
        <f t="shared" ref="P67:P135" si="1">IF(O67="",P66,IF(P66="",O67,P66&amp;IF(O67="","",";"&amp;O67)))</f>
        <v/>
      </c>
    </row>
    <row r="68" spans="2:16" ht="15" x14ac:dyDescent="0.25">
      <c r="B68" s="3169"/>
      <c r="C68" s="839"/>
      <c r="D68" s="7400" t="s">
        <v>708</v>
      </c>
      <c r="E68" s="7401"/>
      <c r="F68" s="7402"/>
      <c r="G68" s="3405" t="s">
        <v>1022</v>
      </c>
      <c r="H68" s="3405" t="s">
        <v>1022</v>
      </c>
      <c r="I68" s="7498"/>
      <c r="J68" s="7499"/>
      <c r="K68" s="3174"/>
      <c r="L68" s="3174"/>
      <c r="M68" s="1584"/>
      <c r="N68" s="3171"/>
      <c r="O68" s="72" t="str">
        <f t="shared" si="0"/>
        <v/>
      </c>
      <c r="P68" s="72" t="str">
        <f t="shared" si="1"/>
        <v/>
      </c>
    </row>
    <row r="69" spans="2:16" ht="15" x14ac:dyDescent="0.25">
      <c r="B69" s="3169"/>
      <c r="C69" s="7396"/>
      <c r="D69" s="7400" t="s">
        <v>1491</v>
      </c>
      <c r="E69" s="7403"/>
      <c r="F69" s="7404"/>
      <c r="G69" s="7456" t="s">
        <v>1501</v>
      </c>
      <c r="H69" s="7456" t="s">
        <v>1501</v>
      </c>
      <c r="I69" s="7500"/>
      <c r="J69" s="7501"/>
      <c r="K69" s="3174"/>
      <c r="L69" s="3174"/>
      <c r="M69" s="1584"/>
      <c r="N69" s="3171"/>
      <c r="O69" s="72" t="str">
        <f t="shared" si="0"/>
        <v/>
      </c>
      <c r="P69" s="72" t="str">
        <f t="shared" si="1"/>
        <v/>
      </c>
    </row>
    <row r="70" spans="2:16" ht="15" x14ac:dyDescent="0.25">
      <c r="B70" s="3169"/>
      <c r="C70" s="840"/>
      <c r="D70" s="7405" t="s">
        <v>709</v>
      </c>
      <c r="E70" s="7406"/>
      <c r="F70" s="7407"/>
      <c r="G70" s="3406" t="s">
        <v>1023</v>
      </c>
      <c r="H70" s="3406" t="s">
        <v>1023</v>
      </c>
      <c r="I70" s="7524"/>
      <c r="J70" s="7525"/>
      <c r="K70" s="3174"/>
      <c r="L70" s="3174"/>
      <c r="M70" s="1584"/>
      <c r="N70" s="3171"/>
      <c r="O70" s="72" t="str">
        <f t="shared" si="0"/>
        <v/>
      </c>
      <c r="P70" s="72" t="str">
        <f t="shared" si="1"/>
        <v/>
      </c>
    </row>
    <row r="71" spans="2:16" ht="15" x14ac:dyDescent="0.25">
      <c r="B71" s="3169"/>
      <c r="C71" s="3175"/>
      <c r="D71" s="841" t="s">
        <v>825</v>
      </c>
      <c r="E71" s="7408"/>
      <c r="F71" s="7408"/>
      <c r="G71" s="3403"/>
      <c r="H71" s="3403"/>
      <c r="I71" s="7526"/>
      <c r="J71" s="7526"/>
      <c r="K71" s="3174"/>
      <c r="L71" s="3174"/>
      <c r="M71" s="1584"/>
      <c r="N71" s="3171"/>
      <c r="O71" s="72" t="str">
        <f t="shared" si="0"/>
        <v/>
      </c>
      <c r="P71" s="72" t="str">
        <f t="shared" si="1"/>
        <v/>
      </c>
    </row>
    <row r="72" spans="2:16" ht="15" x14ac:dyDescent="0.25">
      <c r="B72" s="3169"/>
      <c r="C72" s="838"/>
      <c r="D72" s="7409" t="s">
        <v>710</v>
      </c>
      <c r="E72" s="7410"/>
      <c r="F72" s="7411"/>
      <c r="G72" s="3407" t="s">
        <v>1024</v>
      </c>
      <c r="H72" s="3407" t="s">
        <v>1024</v>
      </c>
      <c r="I72" s="7502"/>
      <c r="J72" s="7503"/>
      <c r="K72" s="3174"/>
      <c r="L72" s="3174"/>
      <c r="M72" s="1584"/>
      <c r="N72" s="3171"/>
      <c r="O72" s="72" t="str">
        <f>IF(C72="","",IF(G72&lt;&gt;"",G72,IF(H72&lt;&gt;"",H72,I72)))</f>
        <v/>
      </c>
      <c r="P72" s="72" t="str">
        <f t="shared" si="1"/>
        <v/>
      </c>
    </row>
    <row r="73" spans="2:16" ht="15" x14ac:dyDescent="0.25">
      <c r="B73" s="3169"/>
      <c r="C73" s="839"/>
      <c r="D73" s="7412" t="s">
        <v>710</v>
      </c>
      <c r="E73" s="7413"/>
      <c r="F73" s="7414"/>
      <c r="G73" s="3408" t="s">
        <v>1025</v>
      </c>
      <c r="H73" s="3408" t="s">
        <v>1025</v>
      </c>
      <c r="I73" s="7500"/>
      <c r="J73" s="7501"/>
      <c r="K73" s="3174"/>
      <c r="L73" s="3174"/>
      <c r="M73" s="1584"/>
      <c r="N73" s="3171"/>
      <c r="O73" s="72"/>
      <c r="P73" s="72"/>
    </row>
    <row r="74" spans="2:16" ht="15" x14ac:dyDescent="0.25">
      <c r="B74" s="3169"/>
      <c r="C74" s="839"/>
      <c r="D74" s="7412" t="s">
        <v>710</v>
      </c>
      <c r="E74" s="7413"/>
      <c r="F74" s="7414"/>
      <c r="G74" s="3408" t="s">
        <v>1514</v>
      </c>
      <c r="H74" s="3408" t="s">
        <v>1514</v>
      </c>
      <c r="I74" s="5821"/>
      <c r="J74" s="5822"/>
      <c r="K74" s="3174"/>
      <c r="L74" s="3174"/>
      <c r="M74" s="1584"/>
      <c r="N74" s="3171"/>
      <c r="O74" s="72"/>
      <c r="P74" s="72"/>
    </row>
    <row r="75" spans="2:16" ht="15" x14ac:dyDescent="0.25">
      <c r="B75" s="3169"/>
      <c r="C75" s="839"/>
      <c r="D75" s="7412" t="s">
        <v>711</v>
      </c>
      <c r="E75" s="7413"/>
      <c r="F75" s="7414"/>
      <c r="G75" s="3408" t="s">
        <v>1031</v>
      </c>
      <c r="H75" s="3408" t="s">
        <v>1031</v>
      </c>
      <c r="I75" s="7498"/>
      <c r="J75" s="7499"/>
      <c r="K75" s="3174"/>
      <c r="L75" s="3174"/>
      <c r="M75" s="1584"/>
      <c r="N75" s="3171"/>
      <c r="O75" s="72" t="str">
        <f t="shared" si="0"/>
        <v/>
      </c>
      <c r="P75" s="72" t="str">
        <f>IF(O75="",P72,IF(P72="",O75,P72&amp;IF(O75="","",";"&amp;O75)))</f>
        <v/>
      </c>
    </row>
    <row r="76" spans="2:16" ht="15" x14ac:dyDescent="0.25">
      <c r="B76" s="3169"/>
      <c r="C76" s="839"/>
      <c r="D76" s="7412" t="s">
        <v>711</v>
      </c>
      <c r="E76" s="7413"/>
      <c r="F76" s="7414"/>
      <c r="G76" s="3408" t="s">
        <v>1032</v>
      </c>
      <c r="H76" s="3408" t="s">
        <v>1032</v>
      </c>
      <c r="I76" s="7498"/>
      <c r="J76" s="7499"/>
      <c r="K76" s="3174"/>
      <c r="L76" s="3174"/>
      <c r="M76" s="1584"/>
      <c r="N76" s="3171"/>
      <c r="O76" s="72" t="str">
        <f t="shared" si="0"/>
        <v/>
      </c>
      <c r="P76" s="72" t="str">
        <f t="shared" si="1"/>
        <v/>
      </c>
    </row>
    <row r="77" spans="2:16" ht="15" x14ac:dyDescent="0.25">
      <c r="B77" s="3169"/>
      <c r="C77" s="839"/>
      <c r="D77" s="7412" t="s">
        <v>711</v>
      </c>
      <c r="E77" s="7413"/>
      <c r="F77" s="7414"/>
      <c r="G77" s="3408" t="s">
        <v>1515</v>
      </c>
      <c r="H77" s="3408" t="s">
        <v>1515</v>
      </c>
      <c r="I77" s="3412"/>
      <c r="J77" s="7492"/>
      <c r="K77" s="3174"/>
      <c r="L77" s="3174"/>
      <c r="M77" s="1584"/>
      <c r="N77" s="3171"/>
      <c r="O77" s="72"/>
      <c r="P77" s="72"/>
    </row>
    <row r="78" spans="2:16" ht="15" x14ac:dyDescent="0.25">
      <c r="B78" s="3169"/>
      <c r="C78" s="839"/>
      <c r="D78" s="7415" t="s">
        <v>712</v>
      </c>
      <c r="E78" s="7416"/>
      <c r="F78" s="7417"/>
      <c r="G78" s="3409" t="s">
        <v>1033</v>
      </c>
      <c r="H78" s="3409" t="s">
        <v>1033</v>
      </c>
      <c r="I78" s="7498"/>
      <c r="J78" s="7499"/>
      <c r="K78" s="3174"/>
      <c r="L78" s="3174"/>
      <c r="M78" s="1584"/>
      <c r="N78" s="3171"/>
      <c r="O78" s="72" t="str">
        <f t="shared" si="0"/>
        <v/>
      </c>
      <c r="P78" s="72"/>
    </row>
    <row r="79" spans="2:16" ht="15" x14ac:dyDescent="0.25">
      <c r="B79" s="3169"/>
      <c r="C79" s="839"/>
      <c r="D79" s="7415" t="s">
        <v>713</v>
      </c>
      <c r="E79" s="7416"/>
      <c r="F79" s="7417"/>
      <c r="G79" s="3409" t="s">
        <v>1034</v>
      </c>
      <c r="H79" s="3409" t="s">
        <v>1034</v>
      </c>
      <c r="I79" s="7498"/>
      <c r="J79" s="7499"/>
      <c r="K79" s="3174"/>
      <c r="L79" s="3174"/>
      <c r="M79" s="1584"/>
      <c r="N79" s="3171"/>
      <c r="O79" s="72" t="str">
        <f t="shared" si="0"/>
        <v/>
      </c>
      <c r="P79" s="72" t="str">
        <f>IF(O79="",P76,IF(P76="",O79,P76&amp;IF(O79="","",";"&amp;O79)))</f>
        <v/>
      </c>
    </row>
    <row r="80" spans="2:16" ht="15" x14ac:dyDescent="0.25">
      <c r="B80" s="3169"/>
      <c r="C80" s="839"/>
      <c r="D80" s="7415" t="s">
        <v>714</v>
      </c>
      <c r="E80" s="7416"/>
      <c r="F80" s="7417"/>
      <c r="G80" s="3409" t="s">
        <v>1035</v>
      </c>
      <c r="H80" s="3409" t="s">
        <v>1035</v>
      </c>
      <c r="I80" s="7498"/>
      <c r="J80" s="7499"/>
      <c r="K80" s="3174"/>
      <c r="L80" s="3174"/>
      <c r="M80" s="1584"/>
      <c r="N80" s="3171"/>
      <c r="O80" s="72" t="str">
        <f t="shared" si="0"/>
        <v/>
      </c>
      <c r="P80" s="72" t="str">
        <f t="shared" si="1"/>
        <v/>
      </c>
    </row>
    <row r="81" spans="2:16" ht="15" x14ac:dyDescent="0.25">
      <c r="B81" s="3169"/>
      <c r="C81" s="839"/>
      <c r="D81" s="7418" t="s">
        <v>715</v>
      </c>
      <c r="E81" s="7419"/>
      <c r="F81" s="7420"/>
      <c r="G81" s="3410" t="s">
        <v>1036</v>
      </c>
      <c r="H81" s="3410" t="s">
        <v>1036</v>
      </c>
      <c r="I81" s="7498"/>
      <c r="J81" s="7499"/>
      <c r="K81" s="3174"/>
      <c r="L81" s="3174"/>
      <c r="M81" s="1584"/>
      <c r="N81" s="3171"/>
      <c r="O81" s="72" t="str">
        <f t="shared" si="0"/>
        <v/>
      </c>
      <c r="P81" s="72" t="str">
        <f t="shared" si="1"/>
        <v/>
      </c>
    </row>
    <row r="82" spans="2:16" ht="15" x14ac:dyDescent="0.25">
      <c r="B82" s="3169"/>
      <c r="C82" s="839"/>
      <c r="D82" s="7418" t="s">
        <v>716</v>
      </c>
      <c r="E82" s="7419"/>
      <c r="F82" s="7420"/>
      <c r="G82" s="3410" t="s">
        <v>1037</v>
      </c>
      <c r="H82" s="3410" t="s">
        <v>1037</v>
      </c>
      <c r="I82" s="7498"/>
      <c r="J82" s="7499"/>
      <c r="K82" s="3174"/>
      <c r="L82" s="3174"/>
      <c r="M82" s="1584"/>
      <c r="N82" s="3171"/>
      <c r="O82" s="72" t="str">
        <f t="shared" si="0"/>
        <v/>
      </c>
      <c r="P82" s="72" t="str">
        <f t="shared" si="1"/>
        <v/>
      </c>
    </row>
    <row r="83" spans="2:16" ht="15" x14ac:dyDescent="0.25">
      <c r="B83" s="3169"/>
      <c r="C83" s="839"/>
      <c r="D83" s="7418" t="s">
        <v>717</v>
      </c>
      <c r="E83" s="7419"/>
      <c r="F83" s="7420"/>
      <c r="G83" s="3410" t="s">
        <v>1038</v>
      </c>
      <c r="H83" s="3410" t="s">
        <v>1038</v>
      </c>
      <c r="I83" s="7498"/>
      <c r="J83" s="7499"/>
      <c r="K83" s="3174"/>
      <c r="L83" s="3174"/>
      <c r="M83" s="1584"/>
      <c r="N83" s="3171"/>
      <c r="O83" s="72" t="str">
        <f t="shared" si="0"/>
        <v/>
      </c>
      <c r="P83" s="72" t="str">
        <f t="shared" si="1"/>
        <v/>
      </c>
    </row>
    <row r="84" spans="2:16" ht="15" x14ac:dyDescent="0.25">
      <c r="B84" s="3169"/>
      <c r="C84" s="839"/>
      <c r="D84" s="7421" t="s">
        <v>718</v>
      </c>
      <c r="E84" s="7422"/>
      <c r="F84" s="7423"/>
      <c r="G84" s="3411" t="s">
        <v>1039</v>
      </c>
      <c r="H84" s="3412"/>
      <c r="I84" s="7498"/>
      <c r="J84" s="7499"/>
      <c r="K84" s="3174"/>
      <c r="L84" s="3174"/>
      <c r="M84" s="1584"/>
      <c r="N84" s="3171"/>
      <c r="O84" s="72" t="str">
        <f t="shared" si="0"/>
        <v/>
      </c>
      <c r="P84" s="72" t="str">
        <f t="shared" si="1"/>
        <v/>
      </c>
    </row>
    <row r="85" spans="2:16" ht="15" x14ac:dyDescent="0.25">
      <c r="B85" s="3169"/>
      <c r="C85" s="839"/>
      <c r="D85" s="7421" t="s">
        <v>719</v>
      </c>
      <c r="E85" s="7422"/>
      <c r="F85" s="7423"/>
      <c r="G85" s="3411" t="s">
        <v>1040</v>
      </c>
      <c r="H85" s="3412"/>
      <c r="I85" s="7498"/>
      <c r="J85" s="7499"/>
      <c r="K85" s="3174"/>
      <c r="L85" s="3174"/>
      <c r="M85" s="1584"/>
      <c r="N85" s="3171"/>
      <c r="O85" s="72" t="str">
        <f t="shared" si="0"/>
        <v/>
      </c>
      <c r="P85" s="72" t="str">
        <f t="shared" si="1"/>
        <v/>
      </c>
    </row>
    <row r="86" spans="2:16" ht="15" x14ac:dyDescent="0.25">
      <c r="B86" s="3169"/>
      <c r="C86" s="839"/>
      <c r="D86" s="7421" t="s">
        <v>720</v>
      </c>
      <c r="E86" s="7422"/>
      <c r="F86" s="7423"/>
      <c r="G86" s="3411" t="s">
        <v>1041</v>
      </c>
      <c r="H86" s="3412"/>
      <c r="I86" s="7498"/>
      <c r="J86" s="7499"/>
      <c r="K86" s="3174"/>
      <c r="L86" s="3174"/>
      <c r="M86" s="1584"/>
      <c r="N86" s="3171"/>
      <c r="O86" s="72" t="str">
        <f t="shared" si="0"/>
        <v/>
      </c>
      <c r="P86" s="72" t="str">
        <f t="shared" si="1"/>
        <v/>
      </c>
    </row>
    <row r="87" spans="2:16" ht="15" x14ac:dyDescent="0.25">
      <c r="B87" s="3169"/>
      <c r="C87" s="839"/>
      <c r="D87" s="7421" t="s">
        <v>721</v>
      </c>
      <c r="E87" s="7422"/>
      <c r="F87" s="7423"/>
      <c r="G87" s="3411" t="s">
        <v>1042</v>
      </c>
      <c r="H87" s="3412"/>
      <c r="I87" s="7498"/>
      <c r="J87" s="7499"/>
      <c r="K87" s="3174"/>
      <c r="L87" s="3174"/>
      <c r="M87" s="1584"/>
      <c r="N87" s="3171"/>
      <c r="O87" s="72" t="str">
        <f t="shared" si="0"/>
        <v/>
      </c>
      <c r="P87" s="72" t="str">
        <f t="shared" si="1"/>
        <v/>
      </c>
    </row>
    <row r="88" spans="2:16" ht="15" x14ac:dyDescent="0.25">
      <c r="B88" s="3169"/>
      <c r="C88" s="839"/>
      <c r="D88" s="7424" t="s">
        <v>722</v>
      </c>
      <c r="E88" s="7425"/>
      <c r="F88" s="7426"/>
      <c r="G88" s="3411" t="s">
        <v>1043</v>
      </c>
      <c r="H88" s="3412"/>
      <c r="I88" s="7498"/>
      <c r="J88" s="7499"/>
      <c r="K88" s="3174"/>
      <c r="L88" s="3174"/>
      <c r="M88" s="1584"/>
      <c r="N88" s="3171"/>
      <c r="O88" s="72" t="str">
        <f t="shared" si="0"/>
        <v/>
      </c>
      <c r="P88" s="72" t="str">
        <f t="shared" si="1"/>
        <v/>
      </c>
    </row>
    <row r="89" spans="2:16" ht="15" x14ac:dyDescent="0.25">
      <c r="B89" s="3169"/>
      <c r="C89" s="839"/>
      <c r="D89" s="7427" t="s">
        <v>727</v>
      </c>
      <c r="E89" s="7428"/>
      <c r="F89" s="7429"/>
      <c r="G89" s="3412"/>
      <c r="H89" s="3413" t="s">
        <v>1026</v>
      </c>
      <c r="I89" s="7498"/>
      <c r="J89" s="7499"/>
      <c r="K89" s="3174"/>
      <c r="L89" s="3174"/>
      <c r="M89" s="1584"/>
      <c r="N89" s="3171"/>
      <c r="O89" s="72" t="str">
        <f t="shared" si="0"/>
        <v/>
      </c>
      <c r="P89" s="72" t="str">
        <f t="shared" si="1"/>
        <v/>
      </c>
    </row>
    <row r="90" spans="2:16" ht="15" x14ac:dyDescent="0.25">
      <c r="B90" s="3169"/>
      <c r="C90" s="839"/>
      <c r="D90" s="7427" t="s">
        <v>723</v>
      </c>
      <c r="E90" s="7428"/>
      <c r="F90" s="7429"/>
      <c r="G90" s="3412"/>
      <c r="H90" s="3413" t="s">
        <v>1027</v>
      </c>
      <c r="I90" s="7498"/>
      <c r="J90" s="7499"/>
      <c r="K90" s="3174"/>
      <c r="L90" s="3174"/>
      <c r="M90" s="1584"/>
      <c r="N90" s="3171"/>
      <c r="O90" s="72" t="str">
        <f t="shared" si="0"/>
        <v/>
      </c>
      <c r="P90" s="72" t="str">
        <f t="shared" si="1"/>
        <v/>
      </c>
    </row>
    <row r="91" spans="2:16" ht="15" x14ac:dyDescent="0.25">
      <c r="B91" s="3169"/>
      <c r="C91" s="839"/>
      <c r="D91" s="7427" t="s">
        <v>724</v>
      </c>
      <c r="E91" s="7428"/>
      <c r="F91" s="7429"/>
      <c r="G91" s="3412"/>
      <c r="H91" s="3413" t="s">
        <v>1028</v>
      </c>
      <c r="I91" s="7498"/>
      <c r="J91" s="7499"/>
      <c r="K91" s="3174"/>
      <c r="L91" s="3174"/>
      <c r="M91" s="1584"/>
      <c r="N91" s="3171"/>
      <c r="O91" s="72" t="str">
        <f t="shared" si="0"/>
        <v/>
      </c>
      <c r="P91" s="72" t="str">
        <f t="shared" si="1"/>
        <v/>
      </c>
    </row>
    <row r="92" spans="2:16" ht="15" x14ac:dyDescent="0.25">
      <c r="B92" s="3169"/>
      <c r="C92" s="839"/>
      <c r="D92" s="7427" t="s">
        <v>725</v>
      </c>
      <c r="E92" s="7428"/>
      <c r="F92" s="7429"/>
      <c r="G92" s="3412"/>
      <c r="H92" s="3413" t="s">
        <v>1029</v>
      </c>
      <c r="I92" s="7498"/>
      <c r="J92" s="7499"/>
      <c r="K92" s="3174"/>
      <c r="L92" s="3174"/>
      <c r="M92" s="1584"/>
      <c r="N92" s="3171"/>
      <c r="O92" s="72" t="str">
        <f t="shared" si="0"/>
        <v/>
      </c>
      <c r="P92" s="72" t="str">
        <f t="shared" si="1"/>
        <v/>
      </c>
    </row>
    <row r="93" spans="2:16" ht="15" x14ac:dyDescent="0.25">
      <c r="B93" s="3169"/>
      <c r="C93" s="839"/>
      <c r="D93" s="7427" t="s">
        <v>726</v>
      </c>
      <c r="E93" s="7428"/>
      <c r="F93" s="7429"/>
      <c r="G93" s="3412"/>
      <c r="H93" s="3413" t="s">
        <v>1030</v>
      </c>
      <c r="I93" s="7498"/>
      <c r="J93" s="7499"/>
      <c r="K93" s="3174"/>
      <c r="L93" s="3174"/>
      <c r="M93" s="1584"/>
      <c r="N93" s="3171"/>
      <c r="O93" s="72" t="str">
        <f t="shared" si="0"/>
        <v/>
      </c>
      <c r="P93" s="72" t="str">
        <f t="shared" si="1"/>
        <v/>
      </c>
    </row>
    <row r="94" spans="2:16" ht="15" x14ac:dyDescent="0.25">
      <c r="B94" s="3169"/>
      <c r="C94" s="839"/>
      <c r="D94" s="7412" t="s">
        <v>728</v>
      </c>
      <c r="E94" s="7413"/>
      <c r="F94" s="7414"/>
      <c r="G94" s="3408" t="s">
        <v>1045</v>
      </c>
      <c r="H94" s="3408" t="s">
        <v>1045</v>
      </c>
      <c r="I94" s="7498"/>
      <c r="J94" s="7499"/>
      <c r="K94" s="3174"/>
      <c r="L94" s="3174"/>
      <c r="M94" s="1584"/>
      <c r="N94" s="3171"/>
      <c r="O94" s="72" t="str">
        <f t="shared" si="0"/>
        <v/>
      </c>
      <c r="P94" s="72" t="str">
        <f t="shared" si="1"/>
        <v/>
      </c>
    </row>
    <row r="95" spans="2:16" ht="15" x14ac:dyDescent="0.25">
      <c r="B95" s="3169"/>
      <c r="C95" s="839"/>
      <c r="D95" s="7412" t="s">
        <v>729</v>
      </c>
      <c r="E95" s="7413"/>
      <c r="F95" s="7414"/>
      <c r="G95" s="3408" t="s">
        <v>1044</v>
      </c>
      <c r="H95" s="3408" t="s">
        <v>1044</v>
      </c>
      <c r="I95" s="7498"/>
      <c r="J95" s="7499"/>
      <c r="K95" s="3174"/>
      <c r="L95" s="3174"/>
      <c r="M95" s="1584"/>
      <c r="N95" s="3171"/>
      <c r="O95" s="72" t="str">
        <f t="shared" si="0"/>
        <v/>
      </c>
      <c r="P95" s="72" t="str">
        <f t="shared" si="1"/>
        <v/>
      </c>
    </row>
    <row r="96" spans="2:16" ht="15" x14ac:dyDescent="0.25">
      <c r="B96" s="3169"/>
      <c r="C96" s="839"/>
      <c r="D96" s="7412" t="s">
        <v>730</v>
      </c>
      <c r="E96" s="7413"/>
      <c r="F96" s="7414"/>
      <c r="G96" s="3408" t="s">
        <v>1046</v>
      </c>
      <c r="H96" s="3408" t="s">
        <v>1046</v>
      </c>
      <c r="I96" s="7498"/>
      <c r="J96" s="7499"/>
      <c r="K96" s="3174"/>
      <c r="L96" s="3174"/>
      <c r="M96" s="1584"/>
      <c r="N96" s="3171"/>
      <c r="O96" s="72" t="str">
        <f t="shared" si="0"/>
        <v/>
      </c>
      <c r="P96" s="72" t="str">
        <f t="shared" si="1"/>
        <v/>
      </c>
    </row>
    <row r="97" spans="2:16" ht="15" x14ac:dyDescent="0.25">
      <c r="B97" s="3169"/>
      <c r="C97" s="839"/>
      <c r="D97" s="7412" t="s">
        <v>731</v>
      </c>
      <c r="E97" s="7413"/>
      <c r="F97" s="7414"/>
      <c r="G97" s="3408" t="s">
        <v>1047</v>
      </c>
      <c r="H97" s="3408" t="s">
        <v>1047</v>
      </c>
      <c r="I97" s="7498"/>
      <c r="J97" s="7499"/>
      <c r="K97" s="3174"/>
      <c r="L97" s="3174"/>
      <c r="M97" s="1584"/>
      <c r="N97" s="3171"/>
      <c r="O97" s="72" t="str">
        <f t="shared" si="0"/>
        <v/>
      </c>
      <c r="P97" s="72" t="str">
        <f t="shared" si="1"/>
        <v/>
      </c>
    </row>
    <row r="98" spans="2:16" ht="15" x14ac:dyDescent="0.25">
      <c r="B98" s="3169"/>
      <c r="C98" s="839"/>
      <c r="D98" s="7412" t="s">
        <v>732</v>
      </c>
      <c r="E98" s="7413"/>
      <c r="F98" s="7414"/>
      <c r="G98" s="3408" t="s">
        <v>1048</v>
      </c>
      <c r="H98" s="3408" t="s">
        <v>1048</v>
      </c>
      <c r="I98" s="7498"/>
      <c r="J98" s="7499"/>
      <c r="K98" s="3174"/>
      <c r="L98" s="3174"/>
      <c r="M98" s="1584"/>
      <c r="N98" s="3171"/>
      <c r="O98" s="72" t="str">
        <f t="shared" si="0"/>
        <v/>
      </c>
      <c r="P98" s="72" t="str">
        <f t="shared" si="1"/>
        <v/>
      </c>
    </row>
    <row r="99" spans="2:16" ht="15" x14ac:dyDescent="0.25">
      <c r="B99" s="3169"/>
      <c r="C99" s="839"/>
      <c r="D99" s="7412" t="s">
        <v>733</v>
      </c>
      <c r="E99" s="7413"/>
      <c r="F99" s="7414"/>
      <c r="G99" s="3408" t="s">
        <v>1049</v>
      </c>
      <c r="H99" s="3408" t="s">
        <v>1049</v>
      </c>
      <c r="I99" s="7498"/>
      <c r="J99" s="7499"/>
      <c r="K99" s="3174"/>
      <c r="L99" s="3174"/>
      <c r="M99" s="1584"/>
      <c r="N99" s="3171"/>
      <c r="O99" s="72" t="str">
        <f t="shared" si="0"/>
        <v/>
      </c>
      <c r="P99" s="72" t="str">
        <f t="shared" si="1"/>
        <v/>
      </c>
    </row>
    <row r="100" spans="2:16" ht="15" x14ac:dyDescent="0.25">
      <c r="B100" s="3169"/>
      <c r="C100" s="839"/>
      <c r="D100" s="7412" t="s">
        <v>734</v>
      </c>
      <c r="E100" s="7413"/>
      <c r="F100" s="7414"/>
      <c r="G100" s="3408" t="s">
        <v>1050</v>
      </c>
      <c r="H100" s="3408" t="s">
        <v>1050</v>
      </c>
      <c r="I100" s="7500"/>
      <c r="J100" s="7501"/>
      <c r="K100" s="3174"/>
      <c r="L100" s="3174"/>
      <c r="M100" s="1584"/>
      <c r="N100" s="3171"/>
      <c r="O100" s="72" t="str">
        <f t="shared" si="0"/>
        <v/>
      </c>
      <c r="P100" s="72" t="str">
        <f t="shared" si="1"/>
        <v/>
      </c>
    </row>
    <row r="101" spans="2:16" ht="15" x14ac:dyDescent="0.25">
      <c r="B101" s="3169"/>
      <c r="C101" s="839"/>
      <c r="D101" s="7412" t="s">
        <v>735</v>
      </c>
      <c r="E101" s="7413"/>
      <c r="F101" s="7414"/>
      <c r="G101" s="3408" t="s">
        <v>1051</v>
      </c>
      <c r="H101" s="3408" t="s">
        <v>1051</v>
      </c>
      <c r="I101" s="7500"/>
      <c r="J101" s="7501"/>
      <c r="K101" s="3174"/>
      <c r="L101" s="3174"/>
      <c r="M101" s="1584"/>
      <c r="N101" s="3171"/>
      <c r="O101" s="72" t="str">
        <f t="shared" si="0"/>
        <v/>
      </c>
      <c r="P101" s="72" t="str">
        <f t="shared" si="1"/>
        <v/>
      </c>
    </row>
    <row r="102" spans="2:16" ht="15" x14ac:dyDescent="0.25">
      <c r="B102" s="3169"/>
      <c r="C102" s="839"/>
      <c r="D102" s="7412" t="s">
        <v>736</v>
      </c>
      <c r="E102" s="7413"/>
      <c r="F102" s="7414"/>
      <c r="G102" s="3408" t="s">
        <v>1052</v>
      </c>
      <c r="H102" s="3408" t="s">
        <v>1052</v>
      </c>
      <c r="I102" s="7498"/>
      <c r="J102" s="7499"/>
      <c r="K102" s="3174"/>
      <c r="L102" s="3174"/>
      <c r="M102" s="1584"/>
      <c r="N102" s="3171"/>
      <c r="O102" s="72" t="str">
        <f t="shared" si="0"/>
        <v/>
      </c>
      <c r="P102" s="72" t="str">
        <f t="shared" si="1"/>
        <v/>
      </c>
    </row>
    <row r="103" spans="2:16" ht="15" x14ac:dyDescent="0.25">
      <c r="B103" s="3169"/>
      <c r="C103" s="839"/>
      <c r="D103" s="7412" t="s">
        <v>1492</v>
      </c>
      <c r="E103" s="7413"/>
      <c r="F103" s="7414"/>
      <c r="G103" s="3408" t="s">
        <v>1502</v>
      </c>
      <c r="H103" s="3408" t="s">
        <v>1502</v>
      </c>
      <c r="I103" s="5821"/>
      <c r="J103" s="5822"/>
      <c r="K103" s="3174"/>
      <c r="L103" s="3174"/>
      <c r="M103" s="1584"/>
      <c r="N103" s="3171"/>
      <c r="O103" s="72" t="str">
        <f t="shared" si="0"/>
        <v/>
      </c>
      <c r="P103" s="72" t="str">
        <f t="shared" si="1"/>
        <v/>
      </c>
    </row>
    <row r="104" spans="2:16" ht="15" x14ac:dyDescent="0.25">
      <c r="B104" s="3169"/>
      <c r="C104" s="839"/>
      <c r="D104" s="7430" t="s">
        <v>737</v>
      </c>
      <c r="E104" s="7431"/>
      <c r="F104" s="7432"/>
      <c r="G104" s="3414" t="s">
        <v>1053</v>
      </c>
      <c r="H104" s="3414" t="s">
        <v>1053</v>
      </c>
      <c r="I104" s="7500"/>
      <c r="J104" s="7501"/>
      <c r="K104" s="3174"/>
      <c r="L104" s="3174"/>
      <c r="M104" s="1584"/>
      <c r="N104" s="3171"/>
      <c r="O104" s="72" t="str">
        <f t="shared" si="0"/>
        <v/>
      </c>
      <c r="P104" s="72"/>
    </row>
    <row r="105" spans="2:16" ht="15" x14ac:dyDescent="0.25">
      <c r="B105" s="3169"/>
      <c r="C105" s="839"/>
      <c r="D105" s="7430" t="s">
        <v>738</v>
      </c>
      <c r="E105" s="7431"/>
      <c r="F105" s="7432"/>
      <c r="G105" s="3414" t="s">
        <v>1054</v>
      </c>
      <c r="H105" s="3414" t="s">
        <v>1054</v>
      </c>
      <c r="I105" s="7498"/>
      <c r="J105" s="7499"/>
      <c r="K105" s="3174"/>
      <c r="L105" s="3174"/>
      <c r="M105" s="1584"/>
      <c r="N105" s="3171"/>
      <c r="O105" s="72" t="str">
        <f t="shared" si="0"/>
        <v/>
      </c>
      <c r="P105" s="72" t="str">
        <f>IF(O105="",P103,IF(P103="",O105,P103&amp;IF(O105="","",";"&amp;O105)))</f>
        <v/>
      </c>
    </row>
    <row r="106" spans="2:16" ht="15" x14ac:dyDescent="0.25">
      <c r="B106" s="3169"/>
      <c r="C106" s="839"/>
      <c r="D106" s="7430" t="s">
        <v>739</v>
      </c>
      <c r="E106" s="7431"/>
      <c r="F106" s="7432"/>
      <c r="G106" s="3414" t="s">
        <v>1055</v>
      </c>
      <c r="H106" s="3414" t="s">
        <v>1055</v>
      </c>
      <c r="I106" s="7498"/>
      <c r="J106" s="7499"/>
      <c r="K106" s="3174"/>
      <c r="L106" s="3174"/>
      <c r="M106" s="1584"/>
      <c r="N106" s="3171"/>
      <c r="O106" s="72" t="str">
        <f t="shared" si="0"/>
        <v/>
      </c>
      <c r="P106" s="72" t="str">
        <f t="shared" si="1"/>
        <v/>
      </c>
    </row>
    <row r="107" spans="2:16" ht="15" x14ac:dyDescent="0.25">
      <c r="B107" s="3169"/>
      <c r="C107" s="839"/>
      <c r="D107" s="7430" t="s">
        <v>740</v>
      </c>
      <c r="E107" s="7431"/>
      <c r="F107" s="7432"/>
      <c r="G107" s="3414" t="s">
        <v>1056</v>
      </c>
      <c r="H107" s="3414" t="s">
        <v>1056</v>
      </c>
      <c r="I107" s="7498"/>
      <c r="J107" s="7499"/>
      <c r="K107" s="3174"/>
      <c r="L107" s="3174"/>
      <c r="M107" s="1584"/>
      <c r="N107" s="3171"/>
      <c r="O107" s="72" t="str">
        <f t="shared" si="0"/>
        <v/>
      </c>
      <c r="P107" s="72" t="str">
        <f t="shared" si="1"/>
        <v/>
      </c>
    </row>
    <row r="108" spans="2:16" ht="15" x14ac:dyDescent="0.25">
      <c r="B108" s="3169"/>
      <c r="C108" s="839"/>
      <c r="D108" s="7430" t="s">
        <v>741</v>
      </c>
      <c r="E108" s="7431"/>
      <c r="F108" s="7432"/>
      <c r="G108" s="3414" t="s">
        <v>1057</v>
      </c>
      <c r="H108" s="3414" t="s">
        <v>1057</v>
      </c>
      <c r="I108" s="7498"/>
      <c r="J108" s="7499"/>
      <c r="K108" s="3174"/>
      <c r="L108" s="3174"/>
      <c r="M108" s="1584"/>
      <c r="N108" s="3171"/>
      <c r="O108" s="72" t="str">
        <f t="shared" si="0"/>
        <v/>
      </c>
      <c r="P108" s="72" t="str">
        <f t="shared" si="1"/>
        <v/>
      </c>
    </row>
    <row r="109" spans="2:16" ht="15" x14ac:dyDescent="0.25">
      <c r="B109" s="3169"/>
      <c r="C109" s="839"/>
      <c r="D109" s="7430" t="s">
        <v>742</v>
      </c>
      <c r="E109" s="7431"/>
      <c r="F109" s="7432"/>
      <c r="G109" s="3414" t="s">
        <v>1058</v>
      </c>
      <c r="H109" s="3414" t="s">
        <v>1058</v>
      </c>
      <c r="I109" s="7498"/>
      <c r="J109" s="7499"/>
      <c r="K109" s="3174"/>
      <c r="L109" s="3174"/>
      <c r="M109" s="1584"/>
      <c r="N109" s="3171"/>
      <c r="O109" s="72" t="str">
        <f t="shared" si="0"/>
        <v/>
      </c>
      <c r="P109" s="72" t="str">
        <f t="shared" si="1"/>
        <v/>
      </c>
    </row>
    <row r="110" spans="2:16" ht="15" x14ac:dyDescent="0.25">
      <c r="B110" s="3169"/>
      <c r="C110" s="839"/>
      <c r="D110" s="7430" t="s">
        <v>743</v>
      </c>
      <c r="E110" s="7431"/>
      <c r="F110" s="7432"/>
      <c r="G110" s="3414" t="s">
        <v>1059</v>
      </c>
      <c r="H110" s="3414" t="s">
        <v>1059</v>
      </c>
      <c r="I110" s="7498"/>
      <c r="J110" s="7499"/>
      <c r="K110" s="3174"/>
      <c r="L110" s="3174"/>
      <c r="M110" s="1584"/>
      <c r="N110" s="3171"/>
      <c r="O110" s="72" t="str">
        <f t="shared" si="0"/>
        <v/>
      </c>
      <c r="P110" s="72" t="str">
        <f t="shared" si="1"/>
        <v/>
      </c>
    </row>
    <row r="111" spans="2:16" ht="15" x14ac:dyDescent="0.25">
      <c r="B111" s="3169"/>
      <c r="C111" s="839"/>
      <c r="D111" s="7430" t="s">
        <v>744</v>
      </c>
      <c r="E111" s="7431"/>
      <c r="F111" s="7432"/>
      <c r="G111" s="3414" t="s">
        <v>1060</v>
      </c>
      <c r="H111" s="3414" t="s">
        <v>1060</v>
      </c>
      <c r="I111" s="7498"/>
      <c r="J111" s="7499"/>
      <c r="K111" s="3174"/>
      <c r="L111" s="3174"/>
      <c r="M111" s="1584"/>
      <c r="N111" s="3171"/>
      <c r="O111" s="72" t="str">
        <f t="shared" si="0"/>
        <v/>
      </c>
      <c r="P111" s="72" t="str">
        <f t="shared" si="1"/>
        <v/>
      </c>
    </row>
    <row r="112" spans="2:16" ht="15" x14ac:dyDescent="0.25">
      <c r="B112" s="3169"/>
      <c r="C112" s="839"/>
      <c r="D112" s="7430" t="s">
        <v>745</v>
      </c>
      <c r="E112" s="7431"/>
      <c r="F112" s="7432"/>
      <c r="G112" s="3414" t="s">
        <v>1061</v>
      </c>
      <c r="H112" s="3414" t="s">
        <v>1061</v>
      </c>
      <c r="I112" s="7498"/>
      <c r="J112" s="7499"/>
      <c r="K112" s="3174"/>
      <c r="L112" s="3174"/>
      <c r="M112" s="1584"/>
      <c r="N112" s="3171"/>
      <c r="O112" s="72" t="str">
        <f t="shared" si="0"/>
        <v/>
      </c>
      <c r="P112" s="72" t="str">
        <f t="shared" si="1"/>
        <v/>
      </c>
    </row>
    <row r="113" spans="2:16" ht="15" x14ac:dyDescent="0.25">
      <c r="B113" s="3169"/>
      <c r="C113" s="839"/>
      <c r="D113" s="7430" t="s">
        <v>746</v>
      </c>
      <c r="E113" s="7431"/>
      <c r="F113" s="7432"/>
      <c r="G113" s="3414" t="s">
        <v>1062</v>
      </c>
      <c r="H113" s="3414" t="s">
        <v>1062</v>
      </c>
      <c r="I113" s="7498"/>
      <c r="J113" s="7499"/>
      <c r="K113" s="3174"/>
      <c r="L113" s="3174"/>
      <c r="M113" s="1584"/>
      <c r="N113" s="3171"/>
      <c r="O113" s="72" t="str">
        <f t="shared" si="0"/>
        <v/>
      </c>
      <c r="P113" s="72" t="str">
        <f t="shared" si="1"/>
        <v/>
      </c>
    </row>
    <row r="114" spans="2:16" ht="15" x14ac:dyDescent="0.25">
      <c r="B114" s="3169"/>
      <c r="C114" s="839"/>
      <c r="D114" s="7430" t="s">
        <v>747</v>
      </c>
      <c r="E114" s="7431"/>
      <c r="F114" s="7432"/>
      <c r="G114" s="3414" t="s">
        <v>1063</v>
      </c>
      <c r="H114" s="3414" t="s">
        <v>1063</v>
      </c>
      <c r="I114" s="7498"/>
      <c r="J114" s="7499"/>
      <c r="K114" s="3174"/>
      <c r="L114" s="3174"/>
      <c r="M114" s="1584"/>
      <c r="N114" s="3171"/>
      <c r="O114" s="72" t="str">
        <f t="shared" si="0"/>
        <v/>
      </c>
      <c r="P114" s="72" t="str">
        <f t="shared" si="1"/>
        <v/>
      </c>
    </row>
    <row r="115" spans="2:16" ht="15" x14ac:dyDescent="0.25">
      <c r="B115" s="3169"/>
      <c r="C115" s="839"/>
      <c r="D115" s="7430" t="s">
        <v>748</v>
      </c>
      <c r="E115" s="7431"/>
      <c r="F115" s="7432"/>
      <c r="G115" s="3414" t="s">
        <v>1064</v>
      </c>
      <c r="H115" s="3414" t="s">
        <v>1064</v>
      </c>
      <c r="I115" s="7498"/>
      <c r="J115" s="7499"/>
      <c r="K115" s="3174"/>
      <c r="L115" s="3174"/>
      <c r="M115" s="1584"/>
      <c r="N115" s="3171"/>
      <c r="O115" s="72" t="str">
        <f t="shared" si="0"/>
        <v/>
      </c>
      <c r="P115" s="72" t="str">
        <f t="shared" si="1"/>
        <v/>
      </c>
    </row>
    <row r="116" spans="2:16" ht="15" x14ac:dyDescent="0.25">
      <c r="B116" s="3169"/>
      <c r="C116" s="839"/>
      <c r="D116" s="7430" t="s">
        <v>749</v>
      </c>
      <c r="E116" s="7431"/>
      <c r="F116" s="7432"/>
      <c r="G116" s="3414" t="s">
        <v>1065</v>
      </c>
      <c r="H116" s="3414" t="s">
        <v>1065</v>
      </c>
      <c r="I116" s="7498"/>
      <c r="J116" s="7499"/>
      <c r="K116" s="3174"/>
      <c r="L116" s="3174"/>
      <c r="M116" s="1584"/>
      <c r="N116" s="3171"/>
      <c r="O116" s="72" t="str">
        <f t="shared" si="0"/>
        <v/>
      </c>
      <c r="P116" s="72" t="str">
        <f t="shared" si="1"/>
        <v/>
      </c>
    </row>
    <row r="117" spans="2:16" ht="15" x14ac:dyDescent="0.25">
      <c r="B117" s="3169"/>
      <c r="C117" s="839"/>
      <c r="D117" s="7430" t="s">
        <v>750</v>
      </c>
      <c r="E117" s="7431"/>
      <c r="F117" s="7432"/>
      <c r="G117" s="3414" t="s">
        <v>1066</v>
      </c>
      <c r="H117" s="3414" t="s">
        <v>1066</v>
      </c>
      <c r="I117" s="7498"/>
      <c r="J117" s="7499"/>
      <c r="K117" s="3174"/>
      <c r="L117" s="3174"/>
      <c r="M117" s="1584"/>
      <c r="N117" s="3171"/>
      <c r="O117" s="72" t="str">
        <f t="shared" si="0"/>
        <v/>
      </c>
      <c r="P117" s="72" t="str">
        <f t="shared" si="1"/>
        <v/>
      </c>
    </row>
    <row r="118" spans="2:16" ht="15" x14ac:dyDescent="0.25">
      <c r="B118" s="3169"/>
      <c r="C118" s="839"/>
      <c r="D118" s="7430" t="s">
        <v>751</v>
      </c>
      <c r="E118" s="7431"/>
      <c r="F118" s="7432"/>
      <c r="G118" s="3414" t="s">
        <v>1067</v>
      </c>
      <c r="H118" s="3414" t="s">
        <v>1067</v>
      </c>
      <c r="I118" s="7498"/>
      <c r="J118" s="7499"/>
      <c r="K118" s="3174"/>
      <c r="L118" s="3174"/>
      <c r="M118" s="1584"/>
      <c r="N118" s="3171"/>
      <c r="O118" s="72" t="str">
        <f t="shared" si="0"/>
        <v/>
      </c>
      <c r="P118" s="72" t="str">
        <f t="shared" si="1"/>
        <v/>
      </c>
    </row>
    <row r="119" spans="2:16" ht="15" x14ac:dyDescent="0.25">
      <c r="B119" s="3169"/>
      <c r="C119" s="839"/>
      <c r="D119" s="7430" t="s">
        <v>752</v>
      </c>
      <c r="E119" s="7431"/>
      <c r="F119" s="7432"/>
      <c r="G119" s="3414" t="s">
        <v>1068</v>
      </c>
      <c r="H119" s="3414" t="s">
        <v>1068</v>
      </c>
      <c r="I119" s="7498"/>
      <c r="J119" s="7499"/>
      <c r="K119" s="3174"/>
      <c r="L119" s="3174"/>
      <c r="M119" s="1584"/>
      <c r="N119" s="3171"/>
      <c r="O119" s="72" t="str">
        <f t="shared" si="0"/>
        <v/>
      </c>
      <c r="P119" s="72" t="str">
        <f t="shared" si="1"/>
        <v/>
      </c>
    </row>
    <row r="120" spans="2:16" ht="15" x14ac:dyDescent="0.25">
      <c r="B120" s="3169"/>
      <c r="C120" s="839"/>
      <c r="D120" s="7430" t="s">
        <v>753</v>
      </c>
      <c r="E120" s="7431"/>
      <c r="F120" s="7432"/>
      <c r="G120" s="3414" t="s">
        <v>1069</v>
      </c>
      <c r="H120" s="3414" t="s">
        <v>1069</v>
      </c>
      <c r="I120" s="7498"/>
      <c r="J120" s="7499"/>
      <c r="K120" s="3174"/>
      <c r="L120" s="3174"/>
      <c r="M120" s="1584"/>
      <c r="N120" s="3171"/>
      <c r="O120" s="72" t="str">
        <f t="shared" si="0"/>
        <v/>
      </c>
      <c r="P120" s="72" t="str">
        <f t="shared" si="1"/>
        <v/>
      </c>
    </row>
    <row r="121" spans="2:16" ht="15" x14ac:dyDescent="0.25">
      <c r="B121" s="3169"/>
      <c r="C121" s="839"/>
      <c r="D121" s="7430" t="s">
        <v>1493</v>
      </c>
      <c r="E121" s="7431"/>
      <c r="F121" s="7432"/>
      <c r="G121" s="3414" t="s">
        <v>1503</v>
      </c>
      <c r="H121" s="3414" t="s">
        <v>1503</v>
      </c>
      <c r="I121" s="7500"/>
      <c r="J121" s="7501"/>
      <c r="K121" s="3174"/>
      <c r="L121" s="3174"/>
      <c r="M121" s="1584"/>
      <c r="N121" s="3171"/>
      <c r="O121" s="72" t="str">
        <f t="shared" si="0"/>
        <v/>
      </c>
      <c r="P121" s="72" t="str">
        <f t="shared" si="1"/>
        <v/>
      </c>
    </row>
    <row r="122" spans="2:16" ht="15" x14ac:dyDescent="0.25">
      <c r="B122" s="3169"/>
      <c r="C122" s="839"/>
      <c r="D122" s="7430" t="s">
        <v>1494</v>
      </c>
      <c r="E122" s="7431"/>
      <c r="F122" s="7432"/>
      <c r="G122" s="3414" t="s">
        <v>1504</v>
      </c>
      <c r="H122" s="3414" t="s">
        <v>1504</v>
      </c>
      <c r="I122" s="7500"/>
      <c r="J122" s="7501"/>
      <c r="K122" s="3174"/>
      <c r="L122" s="3174"/>
      <c r="M122" s="1584"/>
      <c r="N122" s="3171"/>
      <c r="O122" s="72" t="str">
        <f t="shared" si="0"/>
        <v/>
      </c>
      <c r="P122" s="72" t="str">
        <f t="shared" si="1"/>
        <v/>
      </c>
    </row>
    <row r="123" spans="2:16" ht="15" x14ac:dyDescent="0.25">
      <c r="B123" s="3169"/>
      <c r="C123" s="839"/>
      <c r="D123" s="7430" t="s">
        <v>1495</v>
      </c>
      <c r="E123" s="7431"/>
      <c r="F123" s="7432"/>
      <c r="G123" s="3414" t="s">
        <v>1505</v>
      </c>
      <c r="H123" s="3414" t="s">
        <v>1505</v>
      </c>
      <c r="I123" s="7500"/>
      <c r="J123" s="7501"/>
      <c r="K123" s="3174"/>
      <c r="L123" s="3174"/>
      <c r="M123" s="1584"/>
      <c r="N123" s="3171"/>
      <c r="O123" s="72" t="str">
        <f t="shared" si="0"/>
        <v/>
      </c>
      <c r="P123" s="72" t="str">
        <f t="shared" si="1"/>
        <v/>
      </c>
    </row>
    <row r="124" spans="2:16" ht="15" x14ac:dyDescent="0.25">
      <c r="B124" s="3169"/>
      <c r="C124" s="839"/>
      <c r="D124" s="7430" t="s">
        <v>1495</v>
      </c>
      <c r="E124" s="7431"/>
      <c r="F124" s="7432"/>
      <c r="G124" s="3414" t="s">
        <v>1506</v>
      </c>
      <c r="H124" s="3414" t="s">
        <v>1506</v>
      </c>
      <c r="I124" s="7500"/>
      <c r="J124" s="7501"/>
      <c r="K124" s="3174"/>
      <c r="L124" s="3174"/>
      <c r="M124" s="1584"/>
      <c r="N124" s="3171"/>
      <c r="O124" s="72" t="str">
        <f t="shared" si="0"/>
        <v/>
      </c>
      <c r="P124" s="72" t="str">
        <f t="shared" si="1"/>
        <v/>
      </c>
    </row>
    <row r="125" spans="2:16" ht="15" x14ac:dyDescent="0.25">
      <c r="B125" s="3169"/>
      <c r="C125" s="839"/>
      <c r="D125" s="7430" t="s">
        <v>1495</v>
      </c>
      <c r="E125" s="7431"/>
      <c r="F125" s="7432"/>
      <c r="G125" s="3414" t="s">
        <v>1507</v>
      </c>
      <c r="H125" s="3414" t="s">
        <v>1507</v>
      </c>
      <c r="I125" s="7500"/>
      <c r="J125" s="7501"/>
      <c r="K125" s="3174"/>
      <c r="L125" s="3174"/>
      <c r="M125" s="1584"/>
      <c r="N125" s="3171"/>
      <c r="O125" s="72" t="str">
        <f t="shared" si="0"/>
        <v/>
      </c>
      <c r="P125" s="72" t="str">
        <f t="shared" si="1"/>
        <v/>
      </c>
    </row>
    <row r="126" spans="2:16" ht="15" x14ac:dyDescent="0.25">
      <c r="B126" s="3169"/>
      <c r="C126" s="839"/>
      <c r="D126" s="7430" t="s">
        <v>1496</v>
      </c>
      <c r="E126" s="7431"/>
      <c r="F126" s="7432"/>
      <c r="G126" s="3414" t="s">
        <v>1508</v>
      </c>
      <c r="H126" s="3414" t="s">
        <v>1508</v>
      </c>
      <c r="I126" s="7500"/>
      <c r="J126" s="7501"/>
      <c r="K126" s="3174"/>
      <c r="L126" s="3174"/>
      <c r="M126" s="1584"/>
      <c r="N126" s="3171"/>
      <c r="O126" s="72" t="str">
        <f t="shared" si="0"/>
        <v/>
      </c>
      <c r="P126" s="72" t="str">
        <f t="shared" si="1"/>
        <v/>
      </c>
    </row>
    <row r="127" spans="2:16" ht="15" x14ac:dyDescent="0.25">
      <c r="B127" s="3169"/>
      <c r="C127" s="839"/>
      <c r="D127" s="7433" t="s">
        <v>754</v>
      </c>
      <c r="E127" s="7434"/>
      <c r="F127" s="7435"/>
      <c r="G127" s="3415" t="s">
        <v>1070</v>
      </c>
      <c r="H127" s="3415" t="s">
        <v>1070</v>
      </c>
      <c r="I127" s="7498"/>
      <c r="J127" s="7499"/>
      <c r="K127" s="3174"/>
      <c r="L127" s="3174"/>
      <c r="M127" s="1584"/>
      <c r="N127" s="3171"/>
      <c r="O127" s="72" t="str">
        <f t="shared" si="0"/>
        <v/>
      </c>
      <c r="P127" s="72" t="str">
        <f t="shared" si="1"/>
        <v/>
      </c>
    </row>
    <row r="128" spans="2:16" ht="15" x14ac:dyDescent="0.25">
      <c r="B128" s="3169"/>
      <c r="C128" s="839"/>
      <c r="D128" s="7433" t="s">
        <v>1497</v>
      </c>
      <c r="E128" s="7434"/>
      <c r="F128" s="7435"/>
      <c r="G128" s="3415" t="s">
        <v>1509</v>
      </c>
      <c r="H128" s="3415" t="s">
        <v>1509</v>
      </c>
      <c r="I128" s="7500"/>
      <c r="J128" s="7501"/>
      <c r="K128" s="3174"/>
      <c r="L128" s="3174"/>
      <c r="M128" s="1584"/>
      <c r="N128" s="3171"/>
      <c r="O128" s="72" t="str">
        <f t="shared" si="0"/>
        <v/>
      </c>
      <c r="P128" s="72" t="str">
        <f t="shared" si="1"/>
        <v/>
      </c>
    </row>
    <row r="129" spans="2:16" ht="15" x14ac:dyDescent="0.25">
      <c r="B129" s="3169"/>
      <c r="C129" s="839"/>
      <c r="D129" s="7433" t="s">
        <v>1498</v>
      </c>
      <c r="E129" s="7434"/>
      <c r="F129" s="7435"/>
      <c r="G129" s="3415" t="s">
        <v>1510</v>
      </c>
      <c r="H129" s="3415" t="s">
        <v>1510</v>
      </c>
      <c r="I129" s="7500"/>
      <c r="J129" s="7501"/>
      <c r="K129" s="3174"/>
      <c r="L129" s="3174"/>
      <c r="M129" s="1584"/>
      <c r="N129" s="3171"/>
      <c r="O129" s="72" t="str">
        <f t="shared" si="0"/>
        <v/>
      </c>
      <c r="P129" s="72" t="str">
        <f t="shared" si="1"/>
        <v/>
      </c>
    </row>
    <row r="130" spans="2:16" ht="15" x14ac:dyDescent="0.25">
      <c r="B130" s="3169"/>
      <c r="C130" s="839"/>
      <c r="D130" s="7433" t="s">
        <v>1499</v>
      </c>
      <c r="E130" s="7434"/>
      <c r="F130" s="7435"/>
      <c r="G130" s="3415" t="s">
        <v>1511</v>
      </c>
      <c r="H130" s="3415" t="s">
        <v>1511</v>
      </c>
      <c r="I130" s="7500"/>
      <c r="J130" s="7501"/>
      <c r="K130" s="3174"/>
      <c r="L130" s="3174"/>
      <c r="M130" s="1584"/>
      <c r="N130" s="3171"/>
      <c r="O130" s="72" t="str">
        <f t="shared" si="0"/>
        <v/>
      </c>
      <c r="P130" s="72" t="str">
        <f t="shared" si="1"/>
        <v/>
      </c>
    </row>
    <row r="131" spans="2:16" ht="15" x14ac:dyDescent="0.25">
      <c r="B131" s="3169"/>
      <c r="C131" s="839"/>
      <c r="D131" s="7433" t="s">
        <v>755</v>
      </c>
      <c r="E131" s="7434"/>
      <c r="F131" s="7435"/>
      <c r="G131" s="3415" t="s">
        <v>1071</v>
      </c>
      <c r="H131" s="3415" t="s">
        <v>1071</v>
      </c>
      <c r="I131" s="7498"/>
      <c r="J131" s="7499"/>
      <c r="K131" s="3174"/>
      <c r="L131" s="3174"/>
      <c r="M131" s="1584"/>
      <c r="N131" s="3171"/>
      <c r="O131" s="72" t="str">
        <f t="shared" si="0"/>
        <v/>
      </c>
      <c r="P131" s="72" t="str">
        <f t="shared" si="1"/>
        <v/>
      </c>
    </row>
    <row r="132" spans="2:16" ht="15" x14ac:dyDescent="0.25">
      <c r="B132" s="3169"/>
      <c r="C132" s="839"/>
      <c r="D132" s="7436" t="s">
        <v>756</v>
      </c>
      <c r="E132" s="7437"/>
      <c r="F132" s="7438"/>
      <c r="G132" s="3415" t="s">
        <v>1072</v>
      </c>
      <c r="H132" s="3415" t="s">
        <v>1072</v>
      </c>
      <c r="I132" s="7498"/>
      <c r="J132" s="7499"/>
      <c r="K132" s="3174"/>
      <c r="L132" s="3174"/>
      <c r="M132" s="1584"/>
      <c r="N132" s="3171"/>
      <c r="O132" s="72" t="str">
        <f t="shared" si="0"/>
        <v/>
      </c>
      <c r="P132" s="72" t="str">
        <f t="shared" si="1"/>
        <v/>
      </c>
    </row>
    <row r="133" spans="2:16" ht="15" x14ac:dyDescent="0.25">
      <c r="B133" s="3169"/>
      <c r="C133" s="839"/>
      <c r="D133" s="7433" t="s">
        <v>757</v>
      </c>
      <c r="E133" s="7434"/>
      <c r="F133" s="7435"/>
      <c r="G133" s="3415" t="s">
        <v>1073</v>
      </c>
      <c r="H133" s="3415" t="s">
        <v>1073</v>
      </c>
      <c r="I133" s="7498"/>
      <c r="J133" s="7499"/>
      <c r="K133" s="3174"/>
      <c r="L133" s="3174"/>
      <c r="M133" s="1584"/>
      <c r="N133" s="3171"/>
      <c r="O133" s="72" t="str">
        <f t="shared" si="0"/>
        <v/>
      </c>
      <c r="P133" s="72" t="str">
        <f t="shared" si="1"/>
        <v/>
      </c>
    </row>
    <row r="134" spans="2:16" ht="15" x14ac:dyDescent="0.25">
      <c r="B134" s="3169"/>
      <c r="C134" s="839"/>
      <c r="D134" s="7433" t="s">
        <v>758</v>
      </c>
      <c r="E134" s="7434"/>
      <c r="F134" s="7435"/>
      <c r="G134" s="3415" t="s">
        <v>1074</v>
      </c>
      <c r="H134" s="3415" t="s">
        <v>1074</v>
      </c>
      <c r="I134" s="7498"/>
      <c r="J134" s="7499"/>
      <c r="K134" s="3174"/>
      <c r="L134" s="3174"/>
      <c r="M134" s="1584"/>
      <c r="N134" s="3171"/>
      <c r="O134" s="72" t="str">
        <f t="shared" si="0"/>
        <v/>
      </c>
      <c r="P134" s="72" t="str">
        <f t="shared" si="1"/>
        <v/>
      </c>
    </row>
    <row r="135" spans="2:16" ht="15" x14ac:dyDescent="0.25">
      <c r="B135" s="3169"/>
      <c r="C135" s="839"/>
      <c r="D135" s="7433" t="s">
        <v>1500</v>
      </c>
      <c r="E135" s="7434"/>
      <c r="F135" s="7435"/>
      <c r="G135" s="3415" t="s">
        <v>1512</v>
      </c>
      <c r="H135" s="3415" t="s">
        <v>1512</v>
      </c>
      <c r="I135" s="7500"/>
      <c r="J135" s="7501"/>
      <c r="K135" s="3174"/>
      <c r="L135" s="3174"/>
      <c r="M135" s="1584"/>
      <c r="N135" s="3171"/>
      <c r="O135" s="72" t="str">
        <f t="shared" ref="O135:O153" si="2">IF(C135="","",IF(G135&lt;&gt;"",G135,IF(H135&lt;&gt;"",H135,I135)))</f>
        <v/>
      </c>
      <c r="P135" s="72" t="str">
        <f t="shared" si="1"/>
        <v/>
      </c>
    </row>
    <row r="136" spans="2:16" ht="15" x14ac:dyDescent="0.25">
      <c r="B136" s="3169"/>
      <c r="C136" s="839"/>
      <c r="D136" s="7433" t="s">
        <v>1500</v>
      </c>
      <c r="E136" s="7434"/>
      <c r="F136" s="7435"/>
      <c r="G136" s="3415" t="s">
        <v>1513</v>
      </c>
      <c r="H136" s="3415" t="s">
        <v>1513</v>
      </c>
      <c r="I136" s="7500"/>
      <c r="J136" s="7501"/>
      <c r="K136" s="3174"/>
      <c r="L136" s="3174"/>
      <c r="M136" s="1584"/>
      <c r="N136" s="3171"/>
      <c r="O136" s="72" t="str">
        <f t="shared" si="2"/>
        <v/>
      </c>
      <c r="P136" s="72" t="str">
        <f t="shared" ref="P136:P153" si="3">IF(O136="",P135,IF(P135="",O136,P135&amp;IF(O136="","",";"&amp;O136)))</f>
        <v/>
      </c>
    </row>
    <row r="137" spans="2:16" ht="15" x14ac:dyDescent="0.25">
      <c r="B137" s="3169"/>
      <c r="C137" s="839"/>
      <c r="D137" s="7433" t="s">
        <v>759</v>
      </c>
      <c r="E137" s="7434"/>
      <c r="F137" s="7435"/>
      <c r="G137" s="3415" t="s">
        <v>1075</v>
      </c>
      <c r="H137" s="3415" t="s">
        <v>1075</v>
      </c>
      <c r="I137" s="7498"/>
      <c r="J137" s="7499"/>
      <c r="K137" s="3174"/>
      <c r="L137" s="3174"/>
      <c r="M137" s="1584"/>
      <c r="N137" s="3171"/>
      <c r="O137" s="72" t="str">
        <f t="shared" si="2"/>
        <v/>
      </c>
      <c r="P137" s="72" t="str">
        <f t="shared" si="3"/>
        <v/>
      </c>
    </row>
    <row r="138" spans="2:16" ht="15" x14ac:dyDescent="0.25">
      <c r="B138" s="3169"/>
      <c r="C138" s="839"/>
      <c r="D138" s="7433" t="s">
        <v>759</v>
      </c>
      <c r="E138" s="7434"/>
      <c r="F138" s="7435"/>
      <c r="G138" s="3415" t="s">
        <v>1076</v>
      </c>
      <c r="H138" s="3415" t="s">
        <v>1076</v>
      </c>
      <c r="I138" s="7498"/>
      <c r="J138" s="7499"/>
      <c r="K138" s="3174"/>
      <c r="L138" s="3174"/>
      <c r="M138" s="1584"/>
      <c r="N138" s="3171"/>
      <c r="O138" s="72" t="str">
        <f t="shared" si="2"/>
        <v/>
      </c>
      <c r="P138" s="72" t="str">
        <f t="shared" si="3"/>
        <v/>
      </c>
    </row>
    <row r="139" spans="2:16" ht="15" x14ac:dyDescent="0.25">
      <c r="B139" s="3169"/>
      <c r="C139" s="840"/>
      <c r="D139" s="7439" t="s">
        <v>760</v>
      </c>
      <c r="E139" s="7440"/>
      <c r="F139" s="7441"/>
      <c r="G139" s="3416" t="s">
        <v>1077</v>
      </c>
      <c r="H139" s="3416" t="s">
        <v>1077</v>
      </c>
      <c r="I139" s="7524"/>
      <c r="J139" s="7525"/>
      <c r="K139" s="3174"/>
      <c r="L139" s="3174"/>
      <c r="M139" s="1584"/>
      <c r="N139" s="3171"/>
      <c r="O139" s="72" t="str">
        <f t="shared" si="2"/>
        <v/>
      </c>
      <c r="P139" s="72" t="str">
        <f t="shared" si="3"/>
        <v/>
      </c>
    </row>
    <row r="140" spans="2:16" ht="15" x14ac:dyDescent="0.25">
      <c r="B140" s="3169"/>
      <c r="C140" s="3175"/>
      <c r="D140" s="841" t="s">
        <v>3</v>
      </c>
      <c r="E140" s="7408"/>
      <c r="F140" s="7408"/>
      <c r="G140" s="3403"/>
      <c r="H140" s="3403"/>
      <c r="I140" s="7526"/>
      <c r="J140" s="7526"/>
      <c r="K140" s="3174"/>
      <c r="L140" s="3174"/>
      <c r="M140" s="1584"/>
      <c r="N140" s="3171"/>
      <c r="O140" s="72" t="str">
        <f t="shared" si="2"/>
        <v/>
      </c>
      <c r="P140" s="72" t="str">
        <f t="shared" si="3"/>
        <v/>
      </c>
    </row>
    <row r="141" spans="2:16" ht="15" x14ac:dyDescent="0.25">
      <c r="B141" s="3169"/>
      <c r="C141" s="839"/>
      <c r="D141" s="7415" t="s">
        <v>773</v>
      </c>
      <c r="E141" s="7415"/>
      <c r="F141" s="7415"/>
      <c r="G141" s="3417"/>
      <c r="H141" s="3417"/>
      <c r="I141" s="7532" t="s">
        <v>1078</v>
      </c>
      <c r="J141" s="7533"/>
      <c r="K141" s="3174"/>
      <c r="L141" s="3174"/>
      <c r="M141" s="1584"/>
      <c r="N141" s="3171"/>
      <c r="O141" s="72" t="str">
        <f t="shared" si="2"/>
        <v/>
      </c>
      <c r="P141" s="72" t="str">
        <f t="shared" si="3"/>
        <v/>
      </c>
    </row>
    <row r="142" spans="2:16" ht="15" x14ac:dyDescent="0.25">
      <c r="B142" s="3169"/>
      <c r="C142" s="839"/>
      <c r="D142" s="7415" t="s">
        <v>774</v>
      </c>
      <c r="E142" s="7415"/>
      <c r="F142" s="7415"/>
      <c r="G142" s="3418"/>
      <c r="H142" s="3418"/>
      <c r="I142" s="7532" t="s">
        <v>1079</v>
      </c>
      <c r="J142" s="7533"/>
      <c r="K142" s="3174"/>
      <c r="L142" s="3174"/>
      <c r="M142" s="1584"/>
      <c r="N142" s="3171"/>
      <c r="O142" s="72" t="str">
        <f t="shared" si="2"/>
        <v/>
      </c>
      <c r="P142" s="72" t="str">
        <f t="shared" si="3"/>
        <v/>
      </c>
    </row>
    <row r="143" spans="2:16" ht="15" x14ac:dyDescent="0.25">
      <c r="B143" s="3169"/>
      <c r="C143" s="839"/>
      <c r="D143" s="7442" t="s">
        <v>761</v>
      </c>
      <c r="E143" s="7442"/>
      <c r="F143" s="7442"/>
      <c r="G143" s="3418"/>
      <c r="H143" s="3418"/>
      <c r="I143" s="7532" t="s">
        <v>1080</v>
      </c>
      <c r="J143" s="7533"/>
      <c r="K143" s="3174"/>
      <c r="L143" s="3174"/>
      <c r="M143" s="1584"/>
      <c r="N143" s="3171"/>
      <c r="O143" s="72" t="str">
        <f t="shared" si="2"/>
        <v/>
      </c>
      <c r="P143" s="72" t="str">
        <f t="shared" si="3"/>
        <v/>
      </c>
    </row>
    <row r="144" spans="2:16" ht="15" x14ac:dyDescent="0.25">
      <c r="B144" s="3169"/>
      <c r="C144" s="839"/>
      <c r="D144" s="7415" t="s">
        <v>765</v>
      </c>
      <c r="E144" s="7415"/>
      <c r="F144" s="7415"/>
      <c r="G144" s="3418"/>
      <c r="H144" s="3418"/>
      <c r="I144" s="7532" t="s">
        <v>1081</v>
      </c>
      <c r="J144" s="7533">
        <v>2216</v>
      </c>
      <c r="K144" s="3174"/>
      <c r="L144" s="3174"/>
      <c r="M144" s="1584"/>
      <c r="N144" s="3171"/>
      <c r="O144" s="72" t="str">
        <f t="shared" si="2"/>
        <v/>
      </c>
      <c r="P144" s="72" t="str">
        <f t="shared" si="3"/>
        <v/>
      </c>
    </row>
    <row r="145" spans="2:16" ht="15" x14ac:dyDescent="0.25">
      <c r="B145" s="3169"/>
      <c r="C145" s="3175"/>
      <c r="D145" s="841" t="s">
        <v>4</v>
      </c>
      <c r="E145" s="7408"/>
      <c r="F145" s="7408"/>
      <c r="G145" s="3403"/>
      <c r="H145" s="3403"/>
      <c r="I145" s="7526"/>
      <c r="J145" s="7526"/>
      <c r="K145" s="3174"/>
      <c r="L145" s="3174"/>
      <c r="M145" s="1584"/>
      <c r="N145" s="3171"/>
      <c r="O145" s="72" t="str">
        <f t="shared" si="2"/>
        <v/>
      </c>
      <c r="P145" s="72" t="str">
        <f t="shared" si="3"/>
        <v/>
      </c>
    </row>
    <row r="146" spans="2:16" ht="15" x14ac:dyDescent="0.25">
      <c r="B146" s="3169"/>
      <c r="C146" s="838"/>
      <c r="D146" s="3419" t="s">
        <v>766</v>
      </c>
      <c r="E146" s="7443"/>
      <c r="F146" s="7444"/>
      <c r="G146" s="3404" t="s">
        <v>1082</v>
      </c>
      <c r="H146" s="3404" t="s">
        <v>1082</v>
      </c>
      <c r="I146" s="7534" t="s">
        <v>1082</v>
      </c>
      <c r="J146" s="7535"/>
      <c r="K146" s="3174"/>
      <c r="L146" s="3174"/>
      <c r="M146" s="1584"/>
      <c r="N146" s="3171"/>
      <c r="O146" s="72" t="str">
        <f t="shared" si="2"/>
        <v/>
      </c>
      <c r="P146" s="72" t="str">
        <f t="shared" si="3"/>
        <v/>
      </c>
    </row>
    <row r="147" spans="2:16" ht="15" x14ac:dyDescent="0.25">
      <c r="B147" s="3169"/>
      <c r="C147" s="839"/>
      <c r="D147" s="7445" t="s">
        <v>766</v>
      </c>
      <c r="E147" s="7446"/>
      <c r="F147" s="7447"/>
      <c r="G147" s="3405" t="s">
        <v>1083</v>
      </c>
      <c r="H147" s="3405" t="s">
        <v>1083</v>
      </c>
      <c r="I147" s="7506" t="s">
        <v>1083</v>
      </c>
      <c r="J147" s="7507"/>
      <c r="K147" s="3174"/>
      <c r="L147" s="3174"/>
      <c r="M147" s="1584"/>
      <c r="N147" s="3171"/>
      <c r="O147" s="72" t="str">
        <f t="shared" si="2"/>
        <v/>
      </c>
      <c r="P147" s="72" t="str">
        <f t="shared" si="3"/>
        <v/>
      </c>
    </row>
    <row r="148" spans="2:16" ht="15" x14ac:dyDescent="0.25">
      <c r="B148" s="3169"/>
      <c r="C148" s="839"/>
      <c r="D148" s="7445" t="s">
        <v>766</v>
      </c>
      <c r="E148" s="7446"/>
      <c r="F148" s="7447"/>
      <c r="G148" s="3405" t="s">
        <v>1084</v>
      </c>
      <c r="H148" s="3405" t="s">
        <v>1084</v>
      </c>
      <c r="I148" s="7506" t="s">
        <v>1084</v>
      </c>
      <c r="J148" s="7507"/>
      <c r="K148" s="3174"/>
      <c r="L148" s="3174"/>
      <c r="M148" s="1584"/>
      <c r="N148" s="3171"/>
      <c r="O148" s="72" t="str">
        <f t="shared" si="2"/>
        <v/>
      </c>
      <c r="P148" s="72" t="str">
        <f t="shared" si="3"/>
        <v/>
      </c>
    </row>
    <row r="149" spans="2:16" ht="15" x14ac:dyDescent="0.25">
      <c r="B149" s="3169"/>
      <c r="C149" s="839"/>
      <c r="D149" s="7445" t="s">
        <v>767</v>
      </c>
      <c r="E149" s="7446"/>
      <c r="F149" s="7447"/>
      <c r="G149" s="3405" t="s">
        <v>1085</v>
      </c>
      <c r="H149" s="3405" t="s">
        <v>1085</v>
      </c>
      <c r="I149" s="7506" t="s">
        <v>1085</v>
      </c>
      <c r="J149" s="7507"/>
      <c r="K149" s="3174"/>
      <c r="L149" s="3174"/>
      <c r="M149" s="1584"/>
      <c r="N149" s="3171"/>
      <c r="O149" s="72" t="str">
        <f t="shared" si="2"/>
        <v/>
      </c>
      <c r="P149" s="72" t="str">
        <f t="shared" si="3"/>
        <v/>
      </c>
    </row>
    <row r="150" spans="2:16" ht="15" x14ac:dyDescent="0.25">
      <c r="B150" s="3169"/>
      <c r="C150" s="839"/>
      <c r="D150" s="7445" t="s">
        <v>767</v>
      </c>
      <c r="E150" s="7446"/>
      <c r="F150" s="7447"/>
      <c r="G150" s="3405" t="s">
        <v>1086</v>
      </c>
      <c r="H150" s="3405" t="s">
        <v>1086</v>
      </c>
      <c r="I150" s="7506" t="s">
        <v>1086</v>
      </c>
      <c r="J150" s="7507"/>
      <c r="K150" s="3174"/>
      <c r="L150" s="3174"/>
      <c r="M150" s="1584"/>
      <c r="N150" s="3171"/>
      <c r="O150" s="72" t="str">
        <f t="shared" si="2"/>
        <v/>
      </c>
      <c r="P150" s="72" t="str">
        <f t="shared" si="3"/>
        <v/>
      </c>
    </row>
    <row r="151" spans="2:16" ht="15" x14ac:dyDescent="0.25">
      <c r="B151" s="3169"/>
      <c r="C151" s="839"/>
      <c r="D151" s="7445" t="s">
        <v>767</v>
      </c>
      <c r="E151" s="7446"/>
      <c r="F151" s="7447"/>
      <c r="G151" s="3405" t="s">
        <v>1087</v>
      </c>
      <c r="H151" s="3405" t="s">
        <v>1087</v>
      </c>
      <c r="I151" s="7506" t="s">
        <v>1087</v>
      </c>
      <c r="J151" s="7507"/>
      <c r="K151" s="3174"/>
      <c r="L151" s="3174"/>
      <c r="M151" s="1584"/>
      <c r="N151" s="3171"/>
      <c r="O151" s="72" t="str">
        <f t="shared" si="2"/>
        <v/>
      </c>
      <c r="P151" s="72" t="str">
        <f t="shared" si="3"/>
        <v/>
      </c>
    </row>
    <row r="152" spans="2:16" ht="15" x14ac:dyDescent="0.25">
      <c r="B152" s="3169"/>
      <c r="C152" s="839"/>
      <c r="D152" s="7445" t="s">
        <v>767</v>
      </c>
      <c r="E152" s="7446"/>
      <c r="F152" s="7447"/>
      <c r="G152" s="3405" t="s">
        <v>1088</v>
      </c>
      <c r="H152" s="3405" t="s">
        <v>1088</v>
      </c>
      <c r="I152" s="7506" t="s">
        <v>1088</v>
      </c>
      <c r="J152" s="7507"/>
      <c r="K152" s="3174"/>
      <c r="L152" s="3174"/>
      <c r="M152" s="1584"/>
      <c r="N152" s="3171"/>
      <c r="O152" s="72" t="str">
        <f t="shared" si="2"/>
        <v/>
      </c>
      <c r="P152" s="72" t="str">
        <f t="shared" si="3"/>
        <v/>
      </c>
    </row>
    <row r="153" spans="2:16" ht="15" x14ac:dyDescent="0.25">
      <c r="B153" s="3169"/>
      <c r="C153" s="839"/>
      <c r="D153" s="7445" t="s">
        <v>767</v>
      </c>
      <c r="E153" s="7446"/>
      <c r="F153" s="7447"/>
      <c r="G153" s="3405" t="s">
        <v>1089</v>
      </c>
      <c r="H153" s="3405" t="s">
        <v>1089</v>
      </c>
      <c r="I153" s="7506" t="s">
        <v>1089</v>
      </c>
      <c r="J153" s="7507"/>
      <c r="K153" s="3174"/>
      <c r="L153" s="3174"/>
      <c r="M153" s="1584"/>
      <c r="N153" s="3171"/>
      <c r="O153" s="72" t="str">
        <f t="shared" si="2"/>
        <v/>
      </c>
      <c r="P153" s="72" t="str">
        <f t="shared" si="3"/>
        <v/>
      </c>
    </row>
    <row r="154" spans="2:16" ht="15" x14ac:dyDescent="0.25">
      <c r="B154" s="3169"/>
      <c r="C154" s="839"/>
      <c r="D154" s="7445" t="s">
        <v>767</v>
      </c>
      <c r="E154" s="7446"/>
      <c r="F154" s="7447"/>
      <c r="G154" s="3405" t="s">
        <v>1090</v>
      </c>
      <c r="H154" s="3405" t="s">
        <v>1090</v>
      </c>
      <c r="I154" s="7506" t="s">
        <v>1090</v>
      </c>
      <c r="J154" s="7507"/>
      <c r="K154" s="3174"/>
      <c r="L154" s="3174"/>
      <c r="M154" s="1584"/>
      <c r="N154" s="3171"/>
      <c r="O154" s="72"/>
      <c r="P154" s="72"/>
    </row>
    <row r="155" spans="2:16" ht="15" x14ac:dyDescent="0.25">
      <c r="B155" s="3169"/>
      <c r="C155" s="839"/>
      <c r="D155" s="7445" t="s">
        <v>767</v>
      </c>
      <c r="E155" s="7446"/>
      <c r="F155" s="7447"/>
      <c r="G155" s="3405" t="s">
        <v>1091</v>
      </c>
      <c r="H155" s="3405" t="s">
        <v>1091</v>
      </c>
      <c r="I155" s="7506" t="s">
        <v>1091</v>
      </c>
      <c r="J155" s="7507"/>
      <c r="K155" s="3174"/>
      <c r="L155" s="3174"/>
      <c r="M155" s="1584"/>
      <c r="N155" s="3171"/>
      <c r="O155" s="72"/>
      <c r="P155" s="72"/>
    </row>
    <row r="156" spans="2:16" ht="15" x14ac:dyDescent="0.25">
      <c r="B156" s="3169"/>
      <c r="C156" s="839"/>
      <c r="D156" s="7445" t="s">
        <v>767</v>
      </c>
      <c r="E156" s="7446"/>
      <c r="F156" s="7447"/>
      <c r="G156" s="3405" t="s">
        <v>1092</v>
      </c>
      <c r="H156" s="3405" t="s">
        <v>1092</v>
      </c>
      <c r="I156" s="7506" t="s">
        <v>1092</v>
      </c>
      <c r="J156" s="7507"/>
      <c r="K156" s="3174"/>
      <c r="L156" s="3174"/>
      <c r="M156" s="1584"/>
      <c r="N156" s="3171"/>
      <c r="O156" s="72"/>
      <c r="P156" s="72"/>
    </row>
    <row r="157" spans="2:16" ht="15" x14ac:dyDescent="0.25">
      <c r="B157" s="3169"/>
      <c r="C157" s="839"/>
      <c r="D157" s="7445" t="s">
        <v>767</v>
      </c>
      <c r="E157" s="7446"/>
      <c r="F157" s="7447"/>
      <c r="G157" s="3405" t="s">
        <v>1093</v>
      </c>
      <c r="H157" s="3405" t="s">
        <v>1093</v>
      </c>
      <c r="I157" s="7506" t="s">
        <v>1093</v>
      </c>
      <c r="J157" s="7507"/>
      <c r="K157" s="3174"/>
      <c r="L157" s="3174"/>
      <c r="M157" s="1584"/>
      <c r="N157" s="3171"/>
      <c r="O157" s="72"/>
      <c r="P157" s="72"/>
    </row>
    <row r="158" spans="2:16" ht="15" x14ac:dyDescent="0.25">
      <c r="B158" s="3169"/>
      <c r="C158" s="839"/>
      <c r="D158" s="7448" t="s">
        <v>767</v>
      </c>
      <c r="E158" s="7449"/>
      <c r="F158" s="7450"/>
      <c r="G158" s="3415" t="s">
        <v>1094</v>
      </c>
      <c r="H158" s="3415" t="s">
        <v>1094</v>
      </c>
      <c r="I158" s="7504" t="s">
        <v>1094</v>
      </c>
      <c r="J158" s="7505"/>
      <c r="K158" s="3174"/>
      <c r="L158" s="3174"/>
      <c r="M158" s="1584"/>
      <c r="N158" s="3171"/>
      <c r="O158" s="72"/>
      <c r="P158" s="72"/>
    </row>
    <row r="159" spans="2:16" ht="15" x14ac:dyDescent="0.25">
      <c r="B159" s="3169"/>
      <c r="C159" s="839"/>
      <c r="D159" s="7448" t="s">
        <v>768</v>
      </c>
      <c r="E159" s="7449"/>
      <c r="F159" s="7450"/>
      <c r="G159" s="3415" t="s">
        <v>1095</v>
      </c>
      <c r="H159" s="3415" t="s">
        <v>1095</v>
      </c>
      <c r="I159" s="7504" t="s">
        <v>1095</v>
      </c>
      <c r="J159" s="7505"/>
      <c r="K159" s="3174"/>
      <c r="L159" s="3174"/>
      <c r="M159" s="1584"/>
      <c r="N159" s="3171"/>
      <c r="O159" s="72"/>
      <c r="P159" s="72"/>
    </row>
    <row r="160" spans="2:16" ht="15" x14ac:dyDescent="0.25">
      <c r="B160" s="3169"/>
      <c r="C160" s="839"/>
      <c r="D160" s="7451" t="s">
        <v>769</v>
      </c>
      <c r="E160" s="7449"/>
      <c r="F160" s="7450"/>
      <c r="G160" s="3415" t="s">
        <v>1096</v>
      </c>
      <c r="H160" s="3415" t="s">
        <v>1096</v>
      </c>
      <c r="I160" s="7504" t="s">
        <v>1096</v>
      </c>
      <c r="J160" s="7505"/>
      <c r="K160" s="3174"/>
      <c r="L160" s="3174"/>
      <c r="M160" s="1584"/>
      <c r="N160" s="3171"/>
      <c r="O160" s="72"/>
      <c r="P160" s="72"/>
    </row>
    <row r="161" spans="2:16" ht="15" x14ac:dyDescent="0.25">
      <c r="B161" s="3169"/>
      <c r="C161" s="839"/>
      <c r="D161" s="7445" t="s">
        <v>770</v>
      </c>
      <c r="E161" s="7446"/>
      <c r="F161" s="7447"/>
      <c r="G161" s="3405" t="s">
        <v>1097</v>
      </c>
      <c r="H161" s="3405" t="s">
        <v>1097</v>
      </c>
      <c r="I161" s="7506" t="s">
        <v>1097</v>
      </c>
      <c r="J161" s="7507"/>
      <c r="K161" s="3174"/>
      <c r="L161" s="3174"/>
      <c r="M161" s="1584"/>
      <c r="N161" s="3171"/>
      <c r="O161" s="72"/>
      <c r="P161" s="72"/>
    </row>
    <row r="162" spans="2:16" ht="15" x14ac:dyDescent="0.25">
      <c r="B162" s="3169"/>
      <c r="C162" s="839"/>
      <c r="D162" s="7445" t="s">
        <v>771</v>
      </c>
      <c r="E162" s="7446"/>
      <c r="F162" s="7452"/>
      <c r="G162" s="3405" t="s">
        <v>1099</v>
      </c>
      <c r="H162" s="3405" t="s">
        <v>1099</v>
      </c>
      <c r="I162" s="7498"/>
      <c r="J162" s="7499"/>
      <c r="K162" s="3174"/>
      <c r="L162" s="3174"/>
      <c r="M162" s="1584"/>
      <c r="N162" s="3171"/>
      <c r="O162" s="72"/>
      <c r="P162" s="72"/>
    </row>
    <row r="163" spans="2:16" ht="15" x14ac:dyDescent="0.25">
      <c r="B163" s="3169"/>
      <c r="C163" s="840"/>
      <c r="D163" s="7453" t="s">
        <v>772</v>
      </c>
      <c r="E163" s="7454"/>
      <c r="F163" s="7455"/>
      <c r="G163" s="3406" t="s">
        <v>1098</v>
      </c>
      <c r="H163" s="3406" t="s">
        <v>1098</v>
      </c>
      <c r="I163" s="7508" t="s">
        <v>1098</v>
      </c>
      <c r="J163" s="7509"/>
      <c r="K163" s="3174"/>
      <c r="L163" s="3174"/>
      <c r="M163" s="1584"/>
      <c r="N163" s="3171"/>
      <c r="O163" s="72"/>
      <c r="P163" s="72"/>
    </row>
    <row r="164" spans="2:16" ht="15" x14ac:dyDescent="0.25">
      <c r="B164" s="3169"/>
      <c r="C164" s="7457"/>
      <c r="D164" s="7458"/>
      <c r="E164" s="7459"/>
      <c r="F164" s="7459"/>
      <c r="G164" s="7460"/>
      <c r="H164" s="7460"/>
      <c r="I164" s="7460"/>
      <c r="J164" s="7461"/>
      <c r="K164" s="3174"/>
      <c r="L164" s="3174"/>
      <c r="M164" s="1584"/>
      <c r="N164" s="3171"/>
      <c r="O164" s="72"/>
      <c r="P164" s="72"/>
    </row>
    <row r="165" spans="2:16" ht="15" x14ac:dyDescent="0.25">
      <c r="B165" s="3169"/>
      <c r="C165" s="7457"/>
      <c r="D165" s="7458"/>
      <c r="E165" s="7459"/>
      <c r="F165" s="7462"/>
      <c r="G165" s="7462"/>
      <c r="H165" s="7462"/>
      <c r="I165" s="7462"/>
      <c r="J165" s="7462"/>
      <c r="K165" s="3174"/>
      <c r="L165" s="3174"/>
      <c r="M165" s="1584"/>
      <c r="N165" s="3171"/>
      <c r="O165" s="72"/>
      <c r="P165" s="72"/>
    </row>
    <row r="166" spans="2:16" ht="15.75" thickBot="1" x14ac:dyDescent="0.3">
      <c r="B166" s="3169"/>
      <c r="C166" s="7457"/>
      <c r="D166" s="7458"/>
      <c r="E166" s="7459"/>
      <c r="F166" s="7463"/>
      <c r="G166" s="7463"/>
      <c r="H166" s="7463"/>
      <c r="I166" s="7463"/>
      <c r="J166" s="7463"/>
      <c r="K166" s="7463"/>
      <c r="L166" s="7463"/>
      <c r="M166" s="7463"/>
      <c r="N166" s="3177"/>
      <c r="O166" s="72"/>
      <c r="P166" s="72"/>
    </row>
    <row r="167" spans="2:16" ht="18.75" x14ac:dyDescent="0.2">
      <c r="B167" s="3381"/>
      <c r="C167" s="3382" t="s">
        <v>1015</v>
      </c>
      <c r="D167" s="3383"/>
      <c r="E167" s="3384"/>
    </row>
    <row r="168" spans="2:16" x14ac:dyDescent="0.2">
      <c r="B168" s="3385"/>
      <c r="C168" s="3386"/>
      <c r="D168" s="3386"/>
      <c r="E168" s="3387"/>
    </row>
    <row r="169" spans="2:16" x14ac:dyDescent="0.2">
      <c r="B169" s="7527" t="s">
        <v>1016</v>
      </c>
      <c r="C169" s="7528"/>
      <c r="D169" s="7528"/>
      <c r="E169" s="3387"/>
    </row>
    <row r="170" spans="2:16" x14ac:dyDescent="0.2">
      <c r="B170" s="7527"/>
      <c r="C170" s="7528"/>
      <c r="D170" s="7528"/>
      <c r="E170" s="3387"/>
    </row>
    <row r="171" spans="2:16" ht="13.5" thickBot="1" x14ac:dyDescent="0.25">
      <c r="B171" s="3388"/>
      <c r="C171" s="3389"/>
      <c r="D171" s="3389"/>
      <c r="E171" s="3390"/>
    </row>
  </sheetData>
  <mergeCells count="142">
    <mergeCell ref="B169:D170"/>
    <mergeCell ref="H20:H22"/>
    <mergeCell ref="I21:J21"/>
    <mergeCell ref="I22:J22"/>
    <mergeCell ref="I149:J149"/>
    <mergeCell ref="I150:J150"/>
    <mergeCell ref="I151:J151"/>
    <mergeCell ref="I152:J152"/>
    <mergeCell ref="I153:J153"/>
    <mergeCell ref="I142:J142"/>
    <mergeCell ref="I143:J143"/>
    <mergeCell ref="I144:J144"/>
    <mergeCell ref="I145:J145"/>
    <mergeCell ref="I146:J146"/>
    <mergeCell ref="I147:J147"/>
    <mergeCell ref="I148:J148"/>
    <mergeCell ref="I137:J137"/>
    <mergeCell ref="I138:J138"/>
    <mergeCell ref="I139:J139"/>
    <mergeCell ref="I140:J140"/>
    <mergeCell ref="I141:J141"/>
    <mergeCell ref="I130:J130"/>
    <mergeCell ref="I131:J131"/>
    <mergeCell ref="I132:J132"/>
    <mergeCell ref="I135:J135"/>
    <mergeCell ref="I136:J136"/>
    <mergeCell ref="I133:J133"/>
    <mergeCell ref="I134:J134"/>
    <mergeCell ref="I125:J125"/>
    <mergeCell ref="I126:J126"/>
    <mergeCell ref="I127:J127"/>
    <mergeCell ref="I128:J128"/>
    <mergeCell ref="I129:J129"/>
    <mergeCell ref="I120:J120"/>
    <mergeCell ref="I121:J121"/>
    <mergeCell ref="I122:J122"/>
    <mergeCell ref="I123:J123"/>
    <mergeCell ref="I124:J124"/>
    <mergeCell ref="I115:J115"/>
    <mergeCell ref="I116:J116"/>
    <mergeCell ref="I117:J117"/>
    <mergeCell ref="I118:J118"/>
    <mergeCell ref="I119:J119"/>
    <mergeCell ref="I111:J111"/>
    <mergeCell ref="I112:J112"/>
    <mergeCell ref="I113:J113"/>
    <mergeCell ref="I114:J114"/>
    <mergeCell ref="I105:J105"/>
    <mergeCell ref="I106:J106"/>
    <mergeCell ref="I107:J107"/>
    <mergeCell ref="I108:J108"/>
    <mergeCell ref="I109:J109"/>
    <mergeCell ref="I100:J100"/>
    <mergeCell ref="I101:J101"/>
    <mergeCell ref="I102:J102"/>
    <mergeCell ref="I92:J92"/>
    <mergeCell ref="I93:J93"/>
    <mergeCell ref="I94:J94"/>
    <mergeCell ref="I95:J95"/>
    <mergeCell ref="I96:J96"/>
    <mergeCell ref="I110:J110"/>
    <mergeCell ref="I91:J91"/>
    <mergeCell ref="I83:J83"/>
    <mergeCell ref="I84:J84"/>
    <mergeCell ref="I85:J85"/>
    <mergeCell ref="I86:J86"/>
    <mergeCell ref="I87:J87"/>
    <mergeCell ref="I97:J97"/>
    <mergeCell ref="I98:J98"/>
    <mergeCell ref="I99:J99"/>
    <mergeCell ref="E45:F45"/>
    <mergeCell ref="E46:F46"/>
    <mergeCell ref="E49:F49"/>
    <mergeCell ref="E50:F50"/>
    <mergeCell ref="I80:J80"/>
    <mergeCell ref="I81:J81"/>
    <mergeCell ref="I82:J82"/>
    <mergeCell ref="I69:J69"/>
    <mergeCell ref="I70:J70"/>
    <mergeCell ref="I71:J71"/>
    <mergeCell ref="I75:J75"/>
    <mergeCell ref="I78:J78"/>
    <mergeCell ref="L9:N9"/>
    <mergeCell ref="I104:J104"/>
    <mergeCell ref="I23:J23"/>
    <mergeCell ref="I20:J20"/>
    <mergeCell ref="E48:F48"/>
    <mergeCell ref="F10:J10"/>
    <mergeCell ref="F11:J11"/>
    <mergeCell ref="F12:J12"/>
    <mergeCell ref="F13:J13"/>
    <mergeCell ref="F14:J14"/>
    <mergeCell ref="I63:J64"/>
    <mergeCell ref="E51:F51"/>
    <mergeCell ref="E52:F52"/>
    <mergeCell ref="E53:F53"/>
    <mergeCell ref="E56:F56"/>
    <mergeCell ref="E57:F57"/>
    <mergeCell ref="E58:F58"/>
    <mergeCell ref="E59:F59"/>
    <mergeCell ref="E60:F60"/>
    <mergeCell ref="I65:J65"/>
    <mergeCell ref="I66:J66"/>
    <mergeCell ref="I68:J68"/>
    <mergeCell ref="E34:F34"/>
    <mergeCell ref="E35:F35"/>
    <mergeCell ref="I159:J159"/>
    <mergeCell ref="I160:J160"/>
    <mergeCell ref="I161:J161"/>
    <mergeCell ref="I162:J162"/>
    <mergeCell ref="I163:J163"/>
    <mergeCell ref="D10:D15"/>
    <mergeCell ref="F15:J15"/>
    <mergeCell ref="I73:J73"/>
    <mergeCell ref="I154:J154"/>
    <mergeCell ref="I155:J155"/>
    <mergeCell ref="I156:J156"/>
    <mergeCell ref="I157:J157"/>
    <mergeCell ref="I158:J158"/>
    <mergeCell ref="G63:G64"/>
    <mergeCell ref="H63:H64"/>
    <mergeCell ref="E36:F36"/>
    <mergeCell ref="E37:F37"/>
    <mergeCell ref="E38:F38"/>
    <mergeCell ref="E39:F39"/>
    <mergeCell ref="E41:F41"/>
    <mergeCell ref="E55:F55"/>
    <mergeCell ref="E42:F42"/>
    <mergeCell ref="E43:F43"/>
    <mergeCell ref="E44:F44"/>
    <mergeCell ref="L10:N10"/>
    <mergeCell ref="L11:N11"/>
    <mergeCell ref="L12:N12"/>
    <mergeCell ref="L13:N13"/>
    <mergeCell ref="L14:N14"/>
    <mergeCell ref="I76:J76"/>
    <mergeCell ref="I88:J88"/>
    <mergeCell ref="I89:J89"/>
    <mergeCell ref="I90:J90"/>
    <mergeCell ref="I79:J79"/>
    <mergeCell ref="I67:J67"/>
    <mergeCell ref="I72:J72"/>
  </mergeCells>
  <conditionalFormatting sqref="C72 C146:C166 C141:C144 C65:C70 C75:C100 C104:C139">
    <cfRule type="expression" dxfId="254" priority="3">
      <formula>IF(C65="x",TRUE,FALSE)</formula>
    </cfRule>
  </conditionalFormatting>
  <conditionalFormatting sqref="C73:C74">
    <cfRule type="expression" dxfId="253" priority="2">
      <formula>IF(C73="x",TRUE,FALSE)</formula>
    </cfRule>
  </conditionalFormatting>
  <conditionalFormatting sqref="C101:C103">
    <cfRule type="expression" dxfId="252" priority="1">
      <formula>IF(C101="x",TRUE,FALSE)</formula>
    </cfRule>
  </conditionalFormatting>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7578" r:id="rId4" name="Button 10">
              <controlPr defaultSize="0" print="0" autoFill="0" autoPict="0" macro="[0]!CopiarFilasNoCeroOVacias">
                <anchor moveWithCells="1" sizeWithCells="1">
                  <from>
                    <xdr:col>4</xdr:col>
                    <xdr:colOff>180975</xdr:colOff>
                    <xdr:row>167</xdr:row>
                    <xdr:rowOff>133350</xdr:rowOff>
                  </from>
                  <to>
                    <xdr:col>4</xdr:col>
                    <xdr:colOff>1485900</xdr:colOff>
                    <xdr:row>170</xdr:row>
                    <xdr:rowOff>114300</xdr:rowOff>
                  </to>
                </anchor>
              </controlPr>
            </control>
          </mc:Choice>
        </mc:AlternateContent>
        <mc:AlternateContent xmlns:mc="http://schemas.openxmlformats.org/markup-compatibility/2006">
          <mc:Choice Requires="x14">
            <control shapeId="237575" r:id="rId5" name="Check Box 7">
              <controlPr defaultSize="0" autoFill="0" autoLine="0" autoPict="0">
                <anchor moveWithCells="1">
                  <from>
                    <xdr:col>9</xdr:col>
                    <xdr:colOff>1076325</xdr:colOff>
                    <xdr:row>20</xdr:row>
                    <xdr:rowOff>171450</xdr:rowOff>
                  </from>
                  <to>
                    <xdr:col>9</xdr:col>
                    <xdr:colOff>1285875</xdr:colOff>
                    <xdr:row>22</xdr:row>
                    <xdr:rowOff>38100</xdr:rowOff>
                  </to>
                </anchor>
              </controlPr>
            </control>
          </mc:Choice>
        </mc:AlternateContent>
        <mc:AlternateContent xmlns:mc="http://schemas.openxmlformats.org/markup-compatibility/2006">
          <mc:Choice Requires="x14">
            <control shapeId="237576" r:id="rId6" name="Check Box 8">
              <controlPr defaultSize="0" autoFill="0" autoLine="0" autoPict="0">
                <anchor moveWithCells="1">
                  <from>
                    <xdr:col>9</xdr:col>
                    <xdr:colOff>1085850</xdr:colOff>
                    <xdr:row>18</xdr:row>
                    <xdr:rowOff>142875</xdr:rowOff>
                  </from>
                  <to>
                    <xdr:col>9</xdr:col>
                    <xdr:colOff>1295400</xdr:colOff>
                    <xdr:row>20</xdr:row>
                    <xdr:rowOff>19050</xdr:rowOff>
                  </to>
                </anchor>
              </controlPr>
            </control>
          </mc:Choice>
        </mc:AlternateContent>
        <mc:AlternateContent xmlns:mc="http://schemas.openxmlformats.org/markup-compatibility/2006">
          <mc:Choice Requires="x14">
            <control shapeId="237577" r:id="rId7" name="Check Box 9">
              <controlPr defaultSize="0" autoFill="0" autoLine="0" autoPict="0">
                <anchor moveWithCells="1">
                  <from>
                    <xdr:col>9</xdr:col>
                    <xdr:colOff>1085850</xdr:colOff>
                    <xdr:row>19</xdr:row>
                    <xdr:rowOff>171450</xdr:rowOff>
                  </from>
                  <to>
                    <xdr:col>9</xdr:col>
                    <xdr:colOff>1295400</xdr:colOff>
                    <xdr:row>21</xdr:row>
                    <xdr:rowOff>28575</xdr:rowOff>
                  </to>
                </anchor>
              </controlPr>
            </control>
          </mc:Choice>
        </mc:AlternateContent>
        <mc:AlternateContent xmlns:mc="http://schemas.openxmlformats.org/markup-compatibility/2006">
          <mc:Choice Requires="x14">
            <control shapeId="237591" r:id="rId8" name="Check Box 23">
              <controlPr defaultSize="0" autoFill="0" autoLine="0" autoPict="0" altText="">
                <anchor>
                  <from>
                    <xdr:col>10</xdr:col>
                    <xdr:colOff>333375</xdr:colOff>
                    <xdr:row>9</xdr:row>
                    <xdr:rowOff>0</xdr:rowOff>
                  </from>
                  <to>
                    <xdr:col>10</xdr:col>
                    <xdr:colOff>685800</xdr:colOff>
                    <xdr:row>10</xdr:row>
                    <xdr:rowOff>28575</xdr:rowOff>
                  </to>
                </anchor>
              </controlPr>
            </control>
          </mc:Choice>
        </mc:AlternateContent>
        <mc:AlternateContent xmlns:mc="http://schemas.openxmlformats.org/markup-compatibility/2006">
          <mc:Choice Requires="x14">
            <control shapeId="237593" r:id="rId9" name="Check Box 25">
              <controlPr defaultSize="0" autoFill="0" autoLine="0" autoPict="0">
                <anchor>
                  <from>
                    <xdr:col>10</xdr:col>
                    <xdr:colOff>333375</xdr:colOff>
                    <xdr:row>9</xdr:row>
                    <xdr:rowOff>171450</xdr:rowOff>
                  </from>
                  <to>
                    <xdr:col>10</xdr:col>
                    <xdr:colOff>676275</xdr:colOff>
                    <xdr:row>11</xdr:row>
                    <xdr:rowOff>19050</xdr:rowOff>
                  </to>
                </anchor>
              </controlPr>
            </control>
          </mc:Choice>
        </mc:AlternateContent>
        <mc:AlternateContent xmlns:mc="http://schemas.openxmlformats.org/markup-compatibility/2006">
          <mc:Choice Requires="x14">
            <control shapeId="237594" r:id="rId10" name="Check Box 26">
              <controlPr defaultSize="0" autoFill="0" autoLine="0" autoPict="0">
                <anchor>
                  <from>
                    <xdr:col>10</xdr:col>
                    <xdr:colOff>333375</xdr:colOff>
                    <xdr:row>12</xdr:row>
                    <xdr:rowOff>0</xdr:rowOff>
                  </from>
                  <to>
                    <xdr:col>10</xdr:col>
                    <xdr:colOff>685800</xdr:colOff>
                    <xdr:row>13</xdr:row>
                    <xdr:rowOff>28575</xdr:rowOff>
                  </to>
                </anchor>
              </controlPr>
            </control>
          </mc:Choice>
        </mc:AlternateContent>
        <mc:AlternateContent xmlns:mc="http://schemas.openxmlformats.org/markup-compatibility/2006">
          <mc:Choice Requires="x14">
            <control shapeId="237595" r:id="rId11" name="Check Box 27">
              <controlPr defaultSize="0" autoFill="0" autoLine="0" autoPict="0">
                <anchor>
                  <from>
                    <xdr:col>10</xdr:col>
                    <xdr:colOff>333375</xdr:colOff>
                    <xdr:row>11</xdr:row>
                    <xdr:rowOff>9525</xdr:rowOff>
                  </from>
                  <to>
                    <xdr:col>10</xdr:col>
                    <xdr:colOff>685800</xdr:colOff>
                    <xdr:row>12</xdr:row>
                    <xdr:rowOff>28575</xdr:rowOff>
                  </to>
                </anchor>
              </controlPr>
            </control>
          </mc:Choice>
        </mc:AlternateContent>
        <mc:AlternateContent xmlns:mc="http://schemas.openxmlformats.org/markup-compatibility/2006">
          <mc:Choice Requires="x14">
            <control shapeId="237597" r:id="rId12" name="Check Box 29">
              <controlPr defaultSize="0" autoFill="0" autoLine="0" autoPict="0">
                <anchor>
                  <from>
                    <xdr:col>12</xdr:col>
                    <xdr:colOff>104775</xdr:colOff>
                    <xdr:row>9</xdr:row>
                    <xdr:rowOff>0</xdr:rowOff>
                  </from>
                  <to>
                    <xdr:col>13</xdr:col>
                    <xdr:colOff>228600</xdr:colOff>
                    <xdr:row>10</xdr:row>
                    <xdr:rowOff>28575</xdr:rowOff>
                  </to>
                </anchor>
              </controlPr>
            </control>
          </mc:Choice>
        </mc:AlternateContent>
        <mc:AlternateContent xmlns:mc="http://schemas.openxmlformats.org/markup-compatibility/2006">
          <mc:Choice Requires="x14">
            <control shapeId="237598" r:id="rId13" name="Check Box 30">
              <controlPr defaultSize="0" autoFill="0" autoLine="0" autoPict="0">
                <anchor>
                  <from>
                    <xdr:col>12</xdr:col>
                    <xdr:colOff>95250</xdr:colOff>
                    <xdr:row>10</xdr:row>
                    <xdr:rowOff>0</xdr:rowOff>
                  </from>
                  <to>
                    <xdr:col>13</xdr:col>
                    <xdr:colOff>228600</xdr:colOff>
                    <xdr:row>11</xdr:row>
                    <xdr:rowOff>19050</xdr:rowOff>
                  </to>
                </anchor>
              </controlPr>
            </control>
          </mc:Choice>
        </mc:AlternateContent>
        <mc:AlternateContent xmlns:mc="http://schemas.openxmlformats.org/markup-compatibility/2006">
          <mc:Choice Requires="x14">
            <control shapeId="237599" r:id="rId14" name="Check Box 31">
              <controlPr defaultSize="0" autoFill="0" autoLine="0" autoPict="0">
                <anchor>
                  <from>
                    <xdr:col>12</xdr:col>
                    <xdr:colOff>104775</xdr:colOff>
                    <xdr:row>11</xdr:row>
                    <xdr:rowOff>0</xdr:rowOff>
                  </from>
                  <to>
                    <xdr:col>13</xdr:col>
                    <xdr:colOff>228600</xdr:colOff>
                    <xdr:row>12</xdr:row>
                    <xdr:rowOff>9525</xdr:rowOff>
                  </to>
                </anchor>
              </controlPr>
            </control>
          </mc:Choice>
        </mc:AlternateContent>
        <mc:AlternateContent xmlns:mc="http://schemas.openxmlformats.org/markup-compatibility/2006">
          <mc:Choice Requires="x14">
            <control shapeId="237600" r:id="rId15" name="Check Box 32">
              <controlPr defaultSize="0" autoFill="0" autoLine="0" autoPict="0">
                <anchor>
                  <from>
                    <xdr:col>12</xdr:col>
                    <xdr:colOff>95250</xdr:colOff>
                    <xdr:row>12</xdr:row>
                    <xdr:rowOff>0</xdr:rowOff>
                  </from>
                  <to>
                    <xdr:col>13</xdr:col>
                    <xdr:colOff>228600</xdr:colOff>
                    <xdr:row>13</xdr:row>
                    <xdr:rowOff>19050</xdr:rowOff>
                  </to>
                </anchor>
              </controlPr>
            </control>
          </mc:Choice>
        </mc:AlternateContent>
        <mc:AlternateContent xmlns:mc="http://schemas.openxmlformats.org/markup-compatibility/2006">
          <mc:Choice Requires="x14">
            <control shapeId="237596" r:id="rId16" name="Check Box 28">
              <controlPr defaultSize="0" autoFill="0" autoLine="0" autoPict="0">
                <anchor>
                  <from>
                    <xdr:col>10</xdr:col>
                    <xdr:colOff>323850</xdr:colOff>
                    <xdr:row>13</xdr:row>
                    <xdr:rowOff>0</xdr:rowOff>
                  </from>
                  <to>
                    <xdr:col>10</xdr:col>
                    <xdr:colOff>676275</xdr:colOff>
                    <xdr:row>14</xdr:row>
                    <xdr:rowOff>28575</xdr:rowOff>
                  </to>
                </anchor>
              </controlPr>
            </control>
          </mc:Choice>
        </mc:AlternateContent>
        <mc:AlternateContent xmlns:mc="http://schemas.openxmlformats.org/markup-compatibility/2006">
          <mc:Choice Requires="x14">
            <control shapeId="237601" r:id="rId17" name="Check Box 33">
              <controlPr defaultSize="0" autoFill="0" autoLine="0" autoPict="0">
                <anchor>
                  <from>
                    <xdr:col>12</xdr:col>
                    <xdr:colOff>95250</xdr:colOff>
                    <xdr:row>13</xdr:row>
                    <xdr:rowOff>0</xdr:rowOff>
                  </from>
                  <to>
                    <xdr:col>13</xdr:col>
                    <xdr:colOff>228600</xdr:colOff>
                    <xdr:row>14</xdr:row>
                    <xdr:rowOff>28575</xdr:rowOff>
                  </to>
                </anchor>
              </controlPr>
            </control>
          </mc:Choice>
        </mc:AlternateContent>
        <mc:AlternateContent xmlns:mc="http://schemas.openxmlformats.org/markup-compatibility/2006">
          <mc:Choice Requires="x14">
            <control shapeId="237610" r:id="rId18" name="Check Box 42">
              <controlPr defaultSize="0" autoFill="0" autoLine="0" autoPict="0">
                <anchor moveWithCells="1">
                  <from>
                    <xdr:col>10</xdr:col>
                    <xdr:colOff>314325</xdr:colOff>
                    <xdr:row>13</xdr:row>
                    <xdr:rowOff>190500</xdr:rowOff>
                  </from>
                  <to>
                    <xdr:col>10</xdr:col>
                    <xdr:colOff>657225</xdr:colOff>
                    <xdr:row>15</xdr:row>
                    <xdr:rowOff>38100</xdr:rowOff>
                  </to>
                </anchor>
              </controlPr>
            </control>
          </mc:Choice>
        </mc:AlternateContent>
        <mc:AlternateContent xmlns:mc="http://schemas.openxmlformats.org/markup-compatibility/2006">
          <mc:Choice Requires="x14">
            <control shapeId="237611" r:id="rId19" name="Check Box 43">
              <controlPr defaultSize="0" autoFill="0" autoLine="0" autoPict="0">
                <anchor moveWithCells="1">
                  <from>
                    <xdr:col>12</xdr:col>
                    <xdr:colOff>95250</xdr:colOff>
                    <xdr:row>13</xdr:row>
                    <xdr:rowOff>133350</xdr:rowOff>
                  </from>
                  <to>
                    <xdr:col>13</xdr:col>
                    <xdr:colOff>247650</xdr:colOff>
                    <xdr:row>15</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theme="4" tint="-0.249977111117893"/>
  </sheetPr>
  <dimension ref="A1:V415"/>
  <sheetViews>
    <sheetView zoomScale="85" zoomScaleNormal="85" workbookViewId="0">
      <selection activeCell="H35" sqref="H35"/>
    </sheetView>
  </sheetViews>
  <sheetFormatPr baseColWidth="10" defaultRowHeight="12.75" x14ac:dyDescent="0.2"/>
  <cols>
    <col min="1" max="1" width="2.5703125" customWidth="1"/>
    <col min="2" max="2" width="17.5703125" customWidth="1"/>
    <col min="8" max="8" width="18.28515625" customWidth="1"/>
    <col min="9" max="9" width="16.85546875" customWidth="1"/>
    <col min="13" max="16" width="0" hidden="1" customWidth="1"/>
  </cols>
  <sheetData>
    <row r="1" spans="1:22" ht="13.5" thickBot="1" x14ac:dyDescent="0.25">
      <c r="A1" s="37"/>
      <c r="B1" s="37"/>
      <c r="C1" s="37"/>
      <c r="D1" s="37"/>
      <c r="E1" s="37"/>
      <c r="F1" s="37"/>
      <c r="G1" s="37"/>
      <c r="H1" s="3183"/>
      <c r="I1" s="37"/>
      <c r="J1" s="37"/>
      <c r="K1" s="37"/>
      <c r="L1" s="37"/>
      <c r="M1" s="37"/>
      <c r="N1" s="37"/>
      <c r="O1" s="37"/>
      <c r="P1" s="37"/>
      <c r="Q1" s="37"/>
      <c r="R1" s="37"/>
      <c r="S1" s="37"/>
      <c r="T1" s="37"/>
      <c r="U1" s="37"/>
      <c r="V1" s="37"/>
    </row>
    <row r="2" spans="1:22" ht="51.75" thickBot="1" x14ac:dyDescent="0.25">
      <c r="A2" s="37"/>
      <c r="B2" s="3184" t="s">
        <v>561</v>
      </c>
      <c r="C2" s="3185"/>
      <c r="D2" s="3186" t="s">
        <v>40</v>
      </c>
      <c r="E2" s="3186" t="s">
        <v>45</v>
      </c>
      <c r="F2" s="3186" t="s">
        <v>410</v>
      </c>
      <c r="G2" s="3186" t="s">
        <v>366</v>
      </c>
      <c r="H2" s="3187" t="s">
        <v>562</v>
      </c>
      <c r="I2" s="3187" t="s">
        <v>1151</v>
      </c>
      <c r="J2" s="37"/>
      <c r="K2" s="37"/>
      <c r="L2" s="37"/>
      <c r="M2" s="37"/>
      <c r="N2" s="37"/>
      <c r="O2" s="37"/>
      <c r="P2" s="37"/>
      <c r="Q2" s="37"/>
      <c r="R2" s="37"/>
      <c r="S2" s="37"/>
      <c r="T2" s="37"/>
      <c r="U2" s="37"/>
      <c r="V2" s="37"/>
    </row>
    <row r="3" spans="1:22" x14ac:dyDescent="0.2">
      <c r="A3" s="37"/>
      <c r="B3" s="254" t="s">
        <v>78</v>
      </c>
      <c r="C3" s="635"/>
      <c r="D3" s="255">
        <v>850</v>
      </c>
      <c r="E3" s="255" t="s">
        <v>493</v>
      </c>
      <c r="F3" s="256" t="s">
        <v>405</v>
      </c>
      <c r="G3" s="257" t="s">
        <v>439</v>
      </c>
      <c r="H3" s="3188">
        <f>I3-$M$5</f>
        <v>-9.0308998699194358</v>
      </c>
      <c r="I3" s="5891"/>
      <c r="J3" s="37"/>
      <c r="K3" s="37"/>
      <c r="L3" s="37"/>
      <c r="M3" s="7536" t="s">
        <v>1152</v>
      </c>
      <c r="N3" s="7536"/>
      <c r="O3" s="7536"/>
      <c r="P3" s="7536"/>
      <c r="Q3" s="37"/>
      <c r="R3" s="37"/>
      <c r="S3" s="37"/>
      <c r="T3" s="37"/>
      <c r="U3" s="37"/>
      <c r="V3" s="37"/>
    </row>
    <row r="4" spans="1:22" ht="12" customHeight="1" x14ac:dyDescent="0.2">
      <c r="A4" s="37"/>
      <c r="B4" s="248" t="s">
        <v>440</v>
      </c>
      <c r="C4" s="636"/>
      <c r="D4" s="240">
        <v>850</v>
      </c>
      <c r="E4" s="240" t="s">
        <v>493</v>
      </c>
      <c r="F4" s="241" t="s">
        <v>405</v>
      </c>
      <c r="G4" s="252" t="s">
        <v>439</v>
      </c>
      <c r="H4" s="3188">
        <f>$I$3-$M$5</f>
        <v>-9.0308998699194358</v>
      </c>
      <c r="I4" s="5892"/>
      <c r="J4" s="37"/>
      <c r="K4" s="37"/>
      <c r="L4" s="37"/>
      <c r="M4" s="5889" t="s">
        <v>36</v>
      </c>
      <c r="N4" s="5889" t="s">
        <v>37</v>
      </c>
      <c r="O4" s="5889" t="s">
        <v>38</v>
      </c>
      <c r="P4" s="5889" t="s">
        <v>39</v>
      </c>
      <c r="Q4" s="37"/>
      <c r="R4" s="37"/>
      <c r="S4" s="37"/>
      <c r="T4" s="37"/>
      <c r="U4" s="37"/>
      <c r="V4" s="37"/>
    </row>
    <row r="5" spans="1:22" x14ac:dyDescent="0.2">
      <c r="A5" s="37"/>
      <c r="B5" s="248" t="s">
        <v>441</v>
      </c>
      <c r="C5" s="636"/>
      <c r="D5" s="240">
        <v>850</v>
      </c>
      <c r="E5" s="240" t="s">
        <v>493</v>
      </c>
      <c r="F5" s="241" t="s">
        <v>405</v>
      </c>
      <c r="G5" s="252" t="s">
        <v>439</v>
      </c>
      <c r="H5" s="3188">
        <f>$I$3-$N$5</f>
        <v>-6.0205999132796242</v>
      </c>
      <c r="I5" s="5892"/>
      <c r="J5" s="37"/>
      <c r="K5" s="37"/>
      <c r="L5" s="37"/>
      <c r="M5" s="5890">
        <v>9.0308998699194358</v>
      </c>
      <c r="N5" s="5890">
        <v>6.0205999132796242</v>
      </c>
      <c r="O5" s="5890">
        <v>4.2596873227228107</v>
      </c>
      <c r="P5" s="5890">
        <v>3.0102999566398121</v>
      </c>
      <c r="Q5" s="37"/>
      <c r="R5" s="37"/>
      <c r="S5" s="37"/>
      <c r="T5" s="37"/>
      <c r="U5" s="37"/>
      <c r="V5" s="37"/>
    </row>
    <row r="6" spans="1:22" x14ac:dyDescent="0.2">
      <c r="A6" s="37"/>
      <c r="B6" s="248" t="s">
        <v>442</v>
      </c>
      <c r="C6" s="636"/>
      <c r="D6" s="240">
        <v>850</v>
      </c>
      <c r="E6" s="240" t="s">
        <v>493</v>
      </c>
      <c r="F6" s="241" t="s">
        <v>405</v>
      </c>
      <c r="G6" s="252" t="s">
        <v>439</v>
      </c>
      <c r="H6" s="3188">
        <f>$I$3-$O$5</f>
        <v>-4.2596873227228107</v>
      </c>
      <c r="I6" s="5892"/>
      <c r="J6" s="37"/>
      <c r="K6" s="37"/>
      <c r="L6" s="37"/>
      <c r="M6" s="37"/>
      <c r="N6" s="37"/>
      <c r="O6" s="37"/>
      <c r="P6" s="37"/>
      <c r="Q6" s="37"/>
      <c r="R6" s="37"/>
      <c r="S6" s="37"/>
      <c r="T6" s="37"/>
      <c r="U6" s="37"/>
      <c r="V6" s="37"/>
    </row>
    <row r="7" spans="1:22" ht="11.25" customHeight="1" x14ac:dyDescent="0.2">
      <c r="A7" s="37"/>
      <c r="B7" s="248" t="s">
        <v>424</v>
      </c>
      <c r="C7" s="636"/>
      <c r="D7" s="240">
        <v>850</v>
      </c>
      <c r="E7" s="240" t="s">
        <v>493</v>
      </c>
      <c r="F7" s="241" t="s">
        <v>405</v>
      </c>
      <c r="G7" s="252" t="s">
        <v>439</v>
      </c>
      <c r="H7" s="3188">
        <f>$I$3-$P$5</f>
        <v>-3.0102999566398121</v>
      </c>
      <c r="I7" s="5892"/>
      <c r="J7" s="37"/>
      <c r="K7" s="37"/>
      <c r="L7" s="37"/>
      <c r="M7" s="37"/>
      <c r="N7" s="37"/>
      <c r="O7" s="37"/>
      <c r="P7" s="37"/>
      <c r="Q7" s="37"/>
      <c r="R7" s="37"/>
      <c r="S7" s="37"/>
      <c r="T7" s="37"/>
      <c r="U7" s="37"/>
      <c r="V7" s="37"/>
    </row>
    <row r="8" spans="1:22" x14ac:dyDescent="0.2">
      <c r="A8" s="37"/>
      <c r="B8" s="248" t="s">
        <v>443</v>
      </c>
      <c r="C8" s="636"/>
      <c r="D8" s="240">
        <v>850</v>
      </c>
      <c r="E8" s="240" t="s">
        <v>493</v>
      </c>
      <c r="F8" s="241" t="s">
        <v>405</v>
      </c>
      <c r="G8" s="252" t="s">
        <v>439</v>
      </c>
      <c r="H8" s="3188"/>
      <c r="I8" s="5892"/>
      <c r="J8" s="37"/>
      <c r="K8" s="37"/>
      <c r="L8" s="37"/>
      <c r="M8" s="37"/>
      <c r="N8" s="37"/>
      <c r="O8" s="37"/>
      <c r="P8" s="37"/>
      <c r="Q8" s="37"/>
      <c r="R8" s="37"/>
      <c r="S8" s="37"/>
      <c r="T8" s="37"/>
      <c r="U8" s="37"/>
      <c r="V8" s="37"/>
    </row>
    <row r="9" spans="1:22" x14ac:dyDescent="0.2">
      <c r="A9" s="37"/>
      <c r="B9" s="248" t="s">
        <v>444</v>
      </c>
      <c r="C9" s="636"/>
      <c r="D9" s="240">
        <v>850</v>
      </c>
      <c r="E9" s="240" t="s">
        <v>493</v>
      </c>
      <c r="F9" s="241" t="s">
        <v>405</v>
      </c>
      <c r="G9" s="252" t="s">
        <v>439</v>
      </c>
      <c r="H9" s="3188"/>
      <c r="I9" s="5892"/>
      <c r="J9" s="37"/>
      <c r="K9" s="37"/>
      <c r="L9" s="37"/>
      <c r="M9" s="37"/>
      <c r="N9" s="37"/>
      <c r="O9" s="37"/>
      <c r="P9" s="37"/>
      <c r="Q9" s="37"/>
      <c r="R9" s="37"/>
      <c r="S9" s="37"/>
      <c r="T9" s="37"/>
      <c r="U9" s="37"/>
      <c r="V9" s="37"/>
    </row>
    <row r="10" spans="1:22" x14ac:dyDescent="0.2">
      <c r="A10" s="37"/>
      <c r="B10" s="248" t="s">
        <v>445</v>
      </c>
      <c r="C10" s="636"/>
      <c r="D10" s="240">
        <v>850</v>
      </c>
      <c r="E10" s="240" t="s">
        <v>493</v>
      </c>
      <c r="F10" s="241" t="s">
        <v>405</v>
      </c>
      <c r="G10" s="252" t="s">
        <v>439</v>
      </c>
      <c r="H10" s="3188"/>
      <c r="I10" s="5892"/>
      <c r="J10" s="37"/>
      <c r="K10" s="37"/>
      <c r="L10" s="37"/>
      <c r="M10" s="37"/>
      <c r="N10" s="37"/>
      <c r="O10" s="37"/>
      <c r="P10" s="37"/>
      <c r="Q10" s="37"/>
      <c r="R10" s="37"/>
      <c r="S10" s="37"/>
      <c r="T10" s="37"/>
      <c r="U10" s="37"/>
      <c r="V10" s="37"/>
    </row>
    <row r="11" spans="1:22" x14ac:dyDescent="0.2">
      <c r="A11" s="37"/>
      <c r="B11" s="258" t="s">
        <v>446</v>
      </c>
      <c r="C11" s="637"/>
      <c r="D11" s="259">
        <v>850</v>
      </c>
      <c r="E11" s="259" t="s">
        <v>493</v>
      </c>
      <c r="F11" s="260" t="s">
        <v>405</v>
      </c>
      <c r="G11" s="247" t="s">
        <v>439</v>
      </c>
      <c r="H11" s="3189"/>
      <c r="I11" s="5893"/>
      <c r="J11" s="37"/>
      <c r="K11" s="37"/>
      <c r="L11" s="37"/>
      <c r="M11" s="37"/>
      <c r="N11" s="37"/>
      <c r="O11" s="37"/>
      <c r="P11" s="37"/>
      <c r="Q11" s="37"/>
      <c r="R11" s="37"/>
      <c r="S11" s="37"/>
      <c r="T11" s="37"/>
      <c r="U11" s="37"/>
      <c r="V11" s="37"/>
    </row>
    <row r="12" spans="1:22" x14ac:dyDescent="0.2">
      <c r="A12" s="37"/>
      <c r="B12" s="270" t="s">
        <v>78</v>
      </c>
      <c r="C12" s="638"/>
      <c r="D12" s="271">
        <v>900</v>
      </c>
      <c r="E12" s="271" t="s">
        <v>494</v>
      </c>
      <c r="F12" s="272" t="s">
        <v>405</v>
      </c>
      <c r="G12" s="261" t="s">
        <v>20</v>
      </c>
      <c r="H12" s="3190">
        <f>I12-$M$5</f>
        <v>-9.0308998699194358</v>
      </c>
      <c r="I12" s="3188"/>
      <c r="J12" s="37"/>
      <c r="K12" s="37"/>
      <c r="L12" s="37"/>
      <c r="M12" s="37"/>
      <c r="N12" s="37"/>
      <c r="O12" s="37"/>
      <c r="P12" s="37"/>
      <c r="Q12" s="37"/>
      <c r="R12" s="37"/>
      <c r="S12" s="37"/>
      <c r="T12" s="37"/>
      <c r="U12" s="37"/>
      <c r="V12" s="37"/>
    </row>
    <row r="13" spans="1:22" x14ac:dyDescent="0.2">
      <c r="A13" s="37"/>
      <c r="B13" s="273" t="s">
        <v>440</v>
      </c>
      <c r="C13" s="639"/>
      <c r="D13" s="274">
        <v>900</v>
      </c>
      <c r="E13" s="274" t="s">
        <v>494</v>
      </c>
      <c r="F13" s="275" t="s">
        <v>405</v>
      </c>
      <c r="G13" s="252" t="s">
        <v>20</v>
      </c>
      <c r="H13" s="3188">
        <f>I12-$M$5</f>
        <v>-9.0308998699194358</v>
      </c>
      <c r="I13" s="5892"/>
      <c r="J13" s="37"/>
      <c r="K13" s="37"/>
      <c r="L13" s="37"/>
      <c r="M13" s="37"/>
      <c r="N13" s="37"/>
      <c r="O13" s="37"/>
      <c r="P13" s="37"/>
      <c r="Q13" s="37"/>
      <c r="R13" s="37"/>
      <c r="S13" s="37"/>
      <c r="T13" s="37"/>
      <c r="U13" s="37"/>
      <c r="V13" s="37"/>
    </row>
    <row r="14" spans="1:22" x14ac:dyDescent="0.2">
      <c r="A14" s="37"/>
      <c r="B14" s="273" t="s">
        <v>441</v>
      </c>
      <c r="C14" s="639"/>
      <c r="D14" s="274">
        <v>900</v>
      </c>
      <c r="E14" s="274" t="s">
        <v>494</v>
      </c>
      <c r="F14" s="275" t="s">
        <v>405</v>
      </c>
      <c r="G14" s="252" t="s">
        <v>20</v>
      </c>
      <c r="H14" s="3188">
        <f>I12-$N$5</f>
        <v>-6.0205999132796242</v>
      </c>
      <c r="I14" s="5892"/>
      <c r="J14" s="37"/>
      <c r="K14" s="37"/>
      <c r="L14" s="37"/>
      <c r="M14" s="37"/>
      <c r="N14" s="37"/>
      <c r="O14" s="37"/>
      <c r="P14" s="37"/>
      <c r="Q14" s="37"/>
      <c r="R14" s="37"/>
      <c r="S14" s="37"/>
      <c r="T14" s="37"/>
      <c r="U14" s="37"/>
      <c r="V14" s="37"/>
    </row>
    <row r="15" spans="1:22" x14ac:dyDescent="0.2">
      <c r="A15" s="37"/>
      <c r="B15" s="273" t="s">
        <v>442</v>
      </c>
      <c r="C15" s="639"/>
      <c r="D15" s="274">
        <v>900</v>
      </c>
      <c r="E15" s="274" t="s">
        <v>494</v>
      </c>
      <c r="F15" s="275" t="s">
        <v>405</v>
      </c>
      <c r="G15" s="252" t="s">
        <v>20</v>
      </c>
      <c r="H15" s="3188">
        <f>I12-$O$5</f>
        <v>-4.2596873227228107</v>
      </c>
      <c r="I15" s="5892"/>
      <c r="J15" s="37"/>
      <c r="K15" s="37"/>
      <c r="L15" s="37"/>
      <c r="M15" s="37"/>
      <c r="N15" s="37"/>
      <c r="O15" s="37"/>
      <c r="P15" s="37"/>
      <c r="Q15" s="37"/>
      <c r="R15" s="37"/>
      <c r="S15" s="37"/>
      <c r="T15" s="37"/>
      <c r="U15" s="37"/>
      <c r="V15" s="37"/>
    </row>
    <row r="16" spans="1:22" x14ac:dyDescent="0.2">
      <c r="A16" s="37"/>
      <c r="B16" s="273" t="s">
        <v>424</v>
      </c>
      <c r="C16" s="639"/>
      <c r="D16" s="274">
        <v>900</v>
      </c>
      <c r="E16" s="274" t="s">
        <v>494</v>
      </c>
      <c r="F16" s="275" t="s">
        <v>405</v>
      </c>
      <c r="G16" s="252" t="s">
        <v>20</v>
      </c>
      <c r="H16" s="3188">
        <f>I12-$P$5</f>
        <v>-3.0102999566398121</v>
      </c>
      <c r="I16" s="5892"/>
      <c r="J16" s="37"/>
      <c r="K16" s="37"/>
      <c r="L16" s="37"/>
      <c r="M16" s="37"/>
      <c r="N16" s="37"/>
      <c r="O16" s="37"/>
      <c r="P16" s="37"/>
      <c r="Q16" s="37"/>
      <c r="R16" s="37"/>
      <c r="S16" s="37"/>
      <c r="T16" s="37"/>
      <c r="U16" s="37"/>
      <c r="V16" s="37"/>
    </row>
    <row r="17" spans="1:22" x14ac:dyDescent="0.2">
      <c r="A17" s="37"/>
      <c r="B17" s="273" t="s">
        <v>443</v>
      </c>
      <c r="C17" s="639"/>
      <c r="D17" s="274">
        <v>900</v>
      </c>
      <c r="E17" s="274" t="s">
        <v>494</v>
      </c>
      <c r="F17" s="275" t="s">
        <v>405</v>
      </c>
      <c r="G17" s="252" t="s">
        <v>20</v>
      </c>
      <c r="H17" s="3188"/>
      <c r="I17" s="5892"/>
      <c r="J17" s="37"/>
      <c r="K17" s="37"/>
      <c r="L17" s="37"/>
      <c r="M17" s="37"/>
      <c r="N17" s="37"/>
      <c r="O17" s="37"/>
      <c r="P17" s="37"/>
      <c r="Q17" s="37"/>
      <c r="R17" s="37"/>
      <c r="S17" s="37"/>
      <c r="T17" s="37"/>
      <c r="U17" s="37"/>
      <c r="V17" s="37"/>
    </row>
    <row r="18" spans="1:22" x14ac:dyDescent="0.2">
      <c r="A18" s="37"/>
      <c r="B18" s="273" t="s">
        <v>444</v>
      </c>
      <c r="C18" s="639"/>
      <c r="D18" s="274">
        <v>900</v>
      </c>
      <c r="E18" s="274" t="s">
        <v>494</v>
      </c>
      <c r="F18" s="275" t="s">
        <v>405</v>
      </c>
      <c r="G18" s="252" t="s">
        <v>20</v>
      </c>
      <c r="H18" s="3188"/>
      <c r="I18" s="5892"/>
      <c r="J18" s="37"/>
      <c r="K18" s="37"/>
      <c r="L18" s="37"/>
      <c r="M18" s="37"/>
      <c r="N18" s="37"/>
      <c r="O18" s="37"/>
      <c r="P18" s="37"/>
      <c r="Q18" s="37"/>
      <c r="R18" s="37"/>
      <c r="S18" s="37"/>
      <c r="T18" s="37"/>
      <c r="U18" s="37"/>
      <c r="V18" s="37"/>
    </row>
    <row r="19" spans="1:22" x14ac:dyDescent="0.2">
      <c r="A19" s="37"/>
      <c r="B19" s="273" t="s">
        <v>445</v>
      </c>
      <c r="C19" s="639"/>
      <c r="D19" s="274">
        <v>900</v>
      </c>
      <c r="E19" s="274" t="s">
        <v>494</v>
      </c>
      <c r="F19" s="275" t="s">
        <v>405</v>
      </c>
      <c r="G19" s="252" t="s">
        <v>20</v>
      </c>
      <c r="H19" s="3188"/>
      <c r="I19" s="5892"/>
      <c r="J19" s="37"/>
      <c r="K19" s="37"/>
      <c r="L19" s="37"/>
      <c r="M19" s="37"/>
      <c r="N19" s="37"/>
      <c r="O19" s="37"/>
      <c r="P19" s="37"/>
      <c r="Q19" s="37"/>
      <c r="R19" s="37"/>
      <c r="S19" s="37"/>
      <c r="T19" s="37"/>
      <c r="U19" s="37"/>
      <c r="V19" s="37"/>
    </row>
    <row r="20" spans="1:22" x14ac:dyDescent="0.2">
      <c r="A20" s="37"/>
      <c r="B20" s="276" t="s">
        <v>446</v>
      </c>
      <c r="C20" s="640"/>
      <c r="D20" s="277">
        <v>900</v>
      </c>
      <c r="E20" s="277" t="s">
        <v>494</v>
      </c>
      <c r="F20" s="278" t="s">
        <v>405</v>
      </c>
      <c r="G20" s="247" t="s">
        <v>20</v>
      </c>
      <c r="H20" s="3189"/>
      <c r="I20" s="5893"/>
      <c r="J20" s="37"/>
      <c r="K20" s="37"/>
      <c r="L20" s="37"/>
      <c r="M20" s="37"/>
      <c r="N20" s="37"/>
      <c r="O20" s="37"/>
      <c r="P20" s="37"/>
      <c r="Q20" s="37"/>
      <c r="R20" s="37"/>
      <c r="S20" s="37"/>
      <c r="T20" s="37"/>
      <c r="U20" s="37"/>
      <c r="V20" s="37"/>
    </row>
    <row r="21" spans="1:22" x14ac:dyDescent="0.2">
      <c r="A21" s="37"/>
      <c r="B21" s="262" t="s">
        <v>78</v>
      </c>
      <c r="C21" s="641"/>
      <c r="D21" s="263">
        <v>1800</v>
      </c>
      <c r="E21" s="263" t="s">
        <v>495</v>
      </c>
      <c r="F21" s="283" t="s">
        <v>405</v>
      </c>
      <c r="G21" s="261" t="s">
        <v>20</v>
      </c>
      <c r="H21" s="3190">
        <f>I21-$M$5</f>
        <v>-9.0308998699194358</v>
      </c>
      <c r="I21" s="3188"/>
      <c r="J21" s="37"/>
      <c r="K21" s="37"/>
      <c r="L21" s="37"/>
      <c r="M21" s="37"/>
      <c r="N21" s="37"/>
      <c r="O21" s="37"/>
      <c r="P21" s="37"/>
      <c r="Q21" s="37"/>
      <c r="R21" s="37"/>
      <c r="S21" s="37"/>
      <c r="T21" s="37"/>
      <c r="U21" s="37"/>
      <c r="V21" s="37"/>
    </row>
    <row r="22" spans="1:22" x14ac:dyDescent="0.2">
      <c r="A22" s="37"/>
      <c r="B22" s="264" t="s">
        <v>440</v>
      </c>
      <c r="C22" s="642"/>
      <c r="D22" s="265">
        <v>1800</v>
      </c>
      <c r="E22" s="265" t="s">
        <v>495</v>
      </c>
      <c r="F22" s="279" t="s">
        <v>405</v>
      </c>
      <c r="G22" s="252" t="s">
        <v>20</v>
      </c>
      <c r="H22" s="3188">
        <f>I21-$M$5</f>
        <v>-9.0308998699194358</v>
      </c>
      <c r="I22" s="5892"/>
      <c r="J22" s="37"/>
      <c r="K22" s="37"/>
      <c r="L22" s="37"/>
      <c r="M22" s="37"/>
      <c r="N22" s="37"/>
      <c r="O22" s="37"/>
      <c r="P22" s="37"/>
      <c r="Q22" s="37"/>
      <c r="R22" s="37"/>
      <c r="S22" s="37"/>
      <c r="T22" s="37"/>
      <c r="U22" s="37"/>
      <c r="V22" s="37"/>
    </row>
    <row r="23" spans="1:22" x14ac:dyDescent="0.2">
      <c r="A23" s="37"/>
      <c r="B23" s="264" t="s">
        <v>441</v>
      </c>
      <c r="C23" s="642"/>
      <c r="D23" s="265">
        <v>1800</v>
      </c>
      <c r="E23" s="265" t="s">
        <v>495</v>
      </c>
      <c r="F23" s="279" t="s">
        <v>405</v>
      </c>
      <c r="G23" s="252" t="s">
        <v>20</v>
      </c>
      <c r="H23" s="3188">
        <f>I21-$N$5</f>
        <v>-6.0205999132796242</v>
      </c>
      <c r="I23" s="5892"/>
      <c r="J23" s="37"/>
      <c r="K23" s="37"/>
      <c r="L23" s="37"/>
      <c r="M23" s="37"/>
      <c r="N23" s="37"/>
      <c r="O23" s="37"/>
      <c r="P23" s="37"/>
      <c r="Q23" s="37"/>
      <c r="R23" s="37"/>
      <c r="S23" s="37"/>
      <c r="T23" s="37"/>
      <c r="U23" s="37"/>
      <c r="V23" s="37"/>
    </row>
    <row r="24" spans="1:22" x14ac:dyDescent="0.2">
      <c r="A24" s="37"/>
      <c r="B24" s="264" t="s">
        <v>442</v>
      </c>
      <c r="C24" s="642"/>
      <c r="D24" s="265">
        <v>1800</v>
      </c>
      <c r="E24" s="265" t="s">
        <v>495</v>
      </c>
      <c r="F24" s="279" t="s">
        <v>405</v>
      </c>
      <c r="G24" s="252" t="s">
        <v>20</v>
      </c>
      <c r="H24" s="3188">
        <f>I21-$O$5</f>
        <v>-4.2596873227228107</v>
      </c>
      <c r="I24" s="5892"/>
      <c r="J24" s="37"/>
      <c r="K24" s="37"/>
      <c r="L24" s="37"/>
      <c r="M24" s="37"/>
      <c r="N24" s="37"/>
      <c r="O24" s="37"/>
      <c r="P24" s="37"/>
      <c r="Q24" s="37"/>
      <c r="R24" s="37"/>
      <c r="S24" s="37"/>
      <c r="T24" s="37"/>
      <c r="U24" s="37"/>
      <c r="V24" s="37"/>
    </row>
    <row r="25" spans="1:22" x14ac:dyDescent="0.2">
      <c r="A25" s="37"/>
      <c r="B25" s="264" t="s">
        <v>424</v>
      </c>
      <c r="C25" s="642"/>
      <c r="D25" s="265">
        <v>1800</v>
      </c>
      <c r="E25" s="265" t="s">
        <v>495</v>
      </c>
      <c r="F25" s="279" t="s">
        <v>405</v>
      </c>
      <c r="G25" s="252" t="s">
        <v>20</v>
      </c>
      <c r="H25" s="3188">
        <f>I21-$P$5</f>
        <v>-3.0102999566398121</v>
      </c>
      <c r="I25" s="5892"/>
      <c r="J25" s="37"/>
      <c r="K25" s="37"/>
      <c r="L25" s="37"/>
      <c r="M25" s="37"/>
      <c r="N25" s="37"/>
      <c r="O25" s="37"/>
      <c r="P25" s="37"/>
      <c r="Q25" s="37"/>
      <c r="R25" s="37"/>
      <c r="S25" s="37"/>
      <c r="T25" s="37"/>
      <c r="U25" s="37"/>
      <c r="V25" s="37"/>
    </row>
    <row r="26" spans="1:22" x14ac:dyDescent="0.2">
      <c r="A26" s="37"/>
      <c r="B26" s="264" t="s">
        <v>443</v>
      </c>
      <c r="C26" s="642"/>
      <c r="D26" s="265">
        <v>1800</v>
      </c>
      <c r="E26" s="265" t="s">
        <v>495</v>
      </c>
      <c r="F26" s="279" t="s">
        <v>405</v>
      </c>
      <c r="G26" s="252" t="s">
        <v>20</v>
      </c>
      <c r="H26" s="3188"/>
      <c r="I26" s="5892"/>
      <c r="J26" s="37"/>
      <c r="K26" s="37"/>
      <c r="L26" s="37"/>
      <c r="M26" s="37"/>
      <c r="N26" s="37"/>
      <c r="O26" s="37"/>
      <c r="P26" s="37"/>
      <c r="Q26" s="37"/>
      <c r="R26" s="37"/>
      <c r="S26" s="37"/>
      <c r="T26" s="37"/>
      <c r="U26" s="37"/>
      <c r="V26" s="37"/>
    </row>
    <row r="27" spans="1:22" x14ac:dyDescent="0.2">
      <c r="A27" s="37"/>
      <c r="B27" s="264" t="s">
        <v>444</v>
      </c>
      <c r="C27" s="642"/>
      <c r="D27" s="265">
        <v>1800</v>
      </c>
      <c r="E27" s="265" t="s">
        <v>495</v>
      </c>
      <c r="F27" s="279" t="s">
        <v>405</v>
      </c>
      <c r="G27" s="252" t="s">
        <v>20</v>
      </c>
      <c r="H27" s="3188"/>
      <c r="I27" s="5892"/>
      <c r="J27" s="37"/>
      <c r="K27" s="37"/>
      <c r="L27" s="37"/>
      <c r="M27" s="37"/>
      <c r="N27" s="37"/>
      <c r="O27" s="37"/>
      <c r="P27" s="37"/>
      <c r="Q27" s="37"/>
      <c r="R27" s="37"/>
      <c r="S27" s="37"/>
      <c r="T27" s="37"/>
      <c r="U27" s="37"/>
      <c r="V27" s="37"/>
    </row>
    <row r="28" spans="1:22" x14ac:dyDescent="0.2">
      <c r="A28" s="37"/>
      <c r="B28" s="264" t="s">
        <v>445</v>
      </c>
      <c r="C28" s="642"/>
      <c r="D28" s="265">
        <v>1800</v>
      </c>
      <c r="E28" s="265" t="s">
        <v>495</v>
      </c>
      <c r="F28" s="279" t="s">
        <v>405</v>
      </c>
      <c r="G28" s="252" t="s">
        <v>20</v>
      </c>
      <c r="H28" s="3188"/>
      <c r="I28" s="5892"/>
      <c r="J28" s="37"/>
      <c r="K28" s="37"/>
      <c r="L28" s="37"/>
      <c r="M28" s="37"/>
      <c r="N28" s="37"/>
      <c r="O28" s="37"/>
      <c r="P28" s="37"/>
      <c r="Q28" s="37"/>
      <c r="R28" s="37"/>
      <c r="S28" s="37"/>
      <c r="T28" s="37"/>
      <c r="U28" s="37"/>
      <c r="V28" s="37"/>
    </row>
    <row r="29" spans="1:22" x14ac:dyDescent="0.2">
      <c r="A29" s="37"/>
      <c r="B29" s="266" t="s">
        <v>446</v>
      </c>
      <c r="C29" s="643"/>
      <c r="D29" s="267">
        <v>1800</v>
      </c>
      <c r="E29" s="267" t="s">
        <v>495</v>
      </c>
      <c r="F29" s="284" t="s">
        <v>405</v>
      </c>
      <c r="G29" s="247" t="s">
        <v>20</v>
      </c>
      <c r="H29" s="3189"/>
      <c r="I29" s="5893"/>
      <c r="J29" s="37"/>
      <c r="K29" s="37"/>
      <c r="L29" s="37"/>
      <c r="M29" s="37"/>
      <c r="N29" s="37"/>
      <c r="O29" s="37"/>
      <c r="P29" s="37"/>
      <c r="Q29" s="37"/>
      <c r="R29" s="37"/>
      <c r="S29" s="37"/>
      <c r="T29" s="37"/>
      <c r="U29" s="37"/>
      <c r="V29" s="37"/>
    </row>
    <row r="30" spans="1:22" x14ac:dyDescent="0.2">
      <c r="A30" s="37"/>
      <c r="B30" s="290" t="s">
        <v>78</v>
      </c>
      <c r="C30" s="644"/>
      <c r="D30" s="291">
        <v>1900</v>
      </c>
      <c r="E30" s="291" t="s">
        <v>496</v>
      </c>
      <c r="F30" s="292" t="s">
        <v>405</v>
      </c>
      <c r="G30" s="257" t="s">
        <v>439</v>
      </c>
      <c r="H30" s="3188">
        <f>I30-$M$5</f>
        <v>-9.0308998699194358</v>
      </c>
      <c r="I30" s="3188"/>
      <c r="J30" s="37"/>
      <c r="K30" s="37"/>
      <c r="L30" s="37"/>
      <c r="M30" s="37"/>
      <c r="N30" s="37"/>
      <c r="O30" s="37"/>
      <c r="P30" s="37"/>
      <c r="Q30" s="37"/>
      <c r="R30" s="37"/>
      <c r="S30" s="37"/>
      <c r="T30" s="37"/>
      <c r="U30" s="37"/>
      <c r="V30" s="37"/>
    </row>
    <row r="31" spans="1:22" x14ac:dyDescent="0.2">
      <c r="A31" s="37"/>
      <c r="B31" s="293" t="s">
        <v>440</v>
      </c>
      <c r="C31" s="645"/>
      <c r="D31" s="294">
        <v>1900</v>
      </c>
      <c r="E31" s="294" t="s">
        <v>496</v>
      </c>
      <c r="F31" s="295" t="s">
        <v>405</v>
      </c>
      <c r="G31" s="252" t="s">
        <v>439</v>
      </c>
      <c r="H31" s="3188">
        <f>I30-$M$5</f>
        <v>-9.0308998699194358</v>
      </c>
      <c r="I31" s="5892"/>
      <c r="J31" s="37"/>
      <c r="K31" s="37"/>
      <c r="L31" s="37"/>
      <c r="M31" s="37"/>
      <c r="N31" s="37"/>
      <c r="O31" s="37"/>
      <c r="P31" s="37"/>
      <c r="Q31" s="37"/>
      <c r="R31" s="37"/>
      <c r="S31" s="37"/>
      <c r="T31" s="37"/>
      <c r="U31" s="37"/>
      <c r="V31" s="37"/>
    </row>
    <row r="32" spans="1:22" x14ac:dyDescent="0.2">
      <c r="A32" s="37"/>
      <c r="B32" s="293" t="s">
        <v>441</v>
      </c>
      <c r="C32" s="645"/>
      <c r="D32" s="294">
        <v>1900</v>
      </c>
      <c r="E32" s="294" t="s">
        <v>496</v>
      </c>
      <c r="F32" s="295" t="s">
        <v>405</v>
      </c>
      <c r="G32" s="252" t="s">
        <v>439</v>
      </c>
      <c r="H32" s="3188">
        <f>I30-$N$5</f>
        <v>-6.0205999132796242</v>
      </c>
      <c r="I32" s="5892"/>
      <c r="J32" s="37"/>
      <c r="K32" s="37"/>
      <c r="L32" s="37"/>
      <c r="M32" s="37"/>
      <c r="N32" s="37"/>
      <c r="O32" s="37"/>
      <c r="P32" s="37"/>
      <c r="Q32" s="37"/>
      <c r="R32" s="37"/>
      <c r="S32" s="37"/>
      <c r="T32" s="37"/>
      <c r="U32" s="37"/>
      <c r="V32" s="37"/>
    </row>
    <row r="33" spans="1:22" x14ac:dyDescent="0.2">
      <c r="A33" s="37"/>
      <c r="B33" s="293" t="s">
        <v>442</v>
      </c>
      <c r="C33" s="645"/>
      <c r="D33" s="294">
        <v>1900</v>
      </c>
      <c r="E33" s="294" t="s">
        <v>496</v>
      </c>
      <c r="F33" s="295" t="s">
        <v>405</v>
      </c>
      <c r="G33" s="252" t="s">
        <v>439</v>
      </c>
      <c r="H33" s="3188">
        <f>I30-$O$5</f>
        <v>-4.2596873227228107</v>
      </c>
      <c r="I33" s="5892"/>
      <c r="J33" s="37"/>
      <c r="K33" s="37"/>
      <c r="L33" s="37"/>
      <c r="M33" s="37"/>
      <c r="N33" s="37"/>
      <c r="O33" s="37"/>
      <c r="P33" s="37"/>
      <c r="Q33" s="37"/>
      <c r="R33" s="37"/>
      <c r="S33" s="37"/>
      <c r="T33" s="37"/>
      <c r="U33" s="37"/>
      <c r="V33" s="37"/>
    </row>
    <row r="34" spans="1:22" x14ac:dyDescent="0.2">
      <c r="A34" s="37"/>
      <c r="B34" s="293" t="s">
        <v>424</v>
      </c>
      <c r="C34" s="645"/>
      <c r="D34" s="294">
        <v>1900</v>
      </c>
      <c r="E34" s="294" t="s">
        <v>496</v>
      </c>
      <c r="F34" s="295" t="s">
        <v>405</v>
      </c>
      <c r="G34" s="252" t="s">
        <v>439</v>
      </c>
      <c r="H34" s="3188">
        <f>I30-$P$5</f>
        <v>-3.0102999566398121</v>
      </c>
      <c r="I34" s="5892"/>
      <c r="J34" s="37"/>
      <c r="K34" s="37"/>
      <c r="L34" s="37"/>
      <c r="M34" s="37"/>
      <c r="N34" s="37"/>
      <c r="O34" s="37"/>
      <c r="P34" s="37"/>
      <c r="Q34" s="37"/>
      <c r="R34" s="37"/>
      <c r="S34" s="37"/>
      <c r="T34" s="37"/>
      <c r="U34" s="37"/>
      <c r="V34" s="37"/>
    </row>
    <row r="35" spans="1:22" x14ac:dyDescent="0.2">
      <c r="A35" s="37"/>
      <c r="B35" s="293" t="s">
        <v>443</v>
      </c>
      <c r="C35" s="645"/>
      <c r="D35" s="294">
        <v>1900</v>
      </c>
      <c r="E35" s="294" t="s">
        <v>496</v>
      </c>
      <c r="F35" s="295" t="s">
        <v>405</v>
      </c>
      <c r="G35" s="252" t="s">
        <v>439</v>
      </c>
      <c r="H35" s="3188"/>
      <c r="I35" s="5892"/>
      <c r="J35" s="37"/>
      <c r="K35" s="37"/>
      <c r="L35" s="37"/>
      <c r="M35" s="37"/>
      <c r="N35" s="37"/>
      <c r="O35" s="37"/>
      <c r="P35" s="37"/>
      <c r="Q35" s="37"/>
      <c r="R35" s="37"/>
      <c r="S35" s="37"/>
      <c r="T35" s="37"/>
      <c r="U35" s="37"/>
      <c r="V35" s="37"/>
    </row>
    <row r="36" spans="1:22" x14ac:dyDescent="0.2">
      <c r="A36" s="37"/>
      <c r="B36" s="293" t="s">
        <v>444</v>
      </c>
      <c r="C36" s="645"/>
      <c r="D36" s="294">
        <v>1900</v>
      </c>
      <c r="E36" s="294" t="s">
        <v>496</v>
      </c>
      <c r="F36" s="295" t="s">
        <v>405</v>
      </c>
      <c r="G36" s="252" t="s">
        <v>439</v>
      </c>
      <c r="H36" s="3188"/>
      <c r="I36" s="5892"/>
      <c r="J36" s="37"/>
      <c r="K36" s="37"/>
      <c r="L36" s="37"/>
      <c r="M36" s="37"/>
      <c r="N36" s="37"/>
      <c r="O36" s="37"/>
      <c r="P36" s="37"/>
      <c r="Q36" s="37"/>
      <c r="R36" s="37"/>
      <c r="S36" s="37"/>
      <c r="T36" s="37"/>
      <c r="U36" s="37"/>
      <c r="V36" s="37"/>
    </row>
    <row r="37" spans="1:22" x14ac:dyDescent="0.2">
      <c r="A37" s="37"/>
      <c r="B37" s="293" t="s">
        <v>445</v>
      </c>
      <c r="C37" s="645"/>
      <c r="D37" s="294">
        <v>1900</v>
      </c>
      <c r="E37" s="294" t="s">
        <v>496</v>
      </c>
      <c r="F37" s="295" t="s">
        <v>405</v>
      </c>
      <c r="G37" s="252" t="s">
        <v>439</v>
      </c>
      <c r="H37" s="3188"/>
      <c r="I37" s="5892"/>
      <c r="J37" s="37"/>
      <c r="K37" s="37"/>
      <c r="L37" s="37"/>
      <c r="M37" s="37"/>
      <c r="N37" s="37"/>
      <c r="O37" s="37"/>
      <c r="P37" s="37"/>
      <c r="Q37" s="37"/>
      <c r="R37" s="37"/>
      <c r="S37" s="37"/>
      <c r="T37" s="37"/>
      <c r="U37" s="37"/>
      <c r="V37" s="37"/>
    </row>
    <row r="38" spans="1:22" ht="13.5" thickBot="1" x14ac:dyDescent="0.25">
      <c r="A38" s="37"/>
      <c r="B38" s="296" t="s">
        <v>446</v>
      </c>
      <c r="C38" s="646"/>
      <c r="D38" s="297">
        <v>1900</v>
      </c>
      <c r="E38" s="297" t="s">
        <v>496</v>
      </c>
      <c r="F38" s="298" t="s">
        <v>405</v>
      </c>
      <c r="G38" s="246" t="s">
        <v>439</v>
      </c>
      <c r="H38" s="3189"/>
      <c r="I38" s="5894"/>
      <c r="J38" s="37"/>
      <c r="K38" s="37"/>
      <c r="L38" s="37"/>
      <c r="M38" s="37"/>
      <c r="N38" s="37"/>
      <c r="O38" s="37"/>
      <c r="P38" s="37"/>
      <c r="Q38" s="37"/>
      <c r="R38" s="37"/>
      <c r="S38" s="37"/>
      <c r="T38" s="37"/>
      <c r="U38" s="37"/>
      <c r="V38" s="37"/>
    </row>
    <row r="39" spans="1:22" x14ac:dyDescent="0.2">
      <c r="A39" s="37"/>
      <c r="B39" s="250" t="s">
        <v>560</v>
      </c>
      <c r="C39" s="647"/>
      <c r="D39" s="244" t="s">
        <v>67</v>
      </c>
      <c r="E39" s="244" t="s">
        <v>497</v>
      </c>
      <c r="F39" s="245" t="s">
        <v>405</v>
      </c>
      <c r="G39" s="253" t="s">
        <v>20</v>
      </c>
      <c r="H39" s="3188"/>
      <c r="I39" s="37"/>
      <c r="J39" s="37"/>
      <c r="K39" s="37"/>
      <c r="L39" s="37"/>
      <c r="M39" s="37"/>
      <c r="N39" s="37"/>
      <c r="O39" s="37"/>
      <c r="P39" s="37"/>
      <c r="Q39" s="37"/>
      <c r="R39" s="37"/>
      <c r="S39" s="37"/>
      <c r="T39" s="37"/>
      <c r="U39" s="37"/>
      <c r="V39" s="37"/>
    </row>
    <row r="40" spans="1:22" x14ac:dyDescent="0.2">
      <c r="A40" s="37"/>
      <c r="B40" s="248" t="s">
        <v>560</v>
      </c>
      <c r="C40" s="636"/>
      <c r="D40" s="240" t="s">
        <v>447</v>
      </c>
      <c r="E40" s="240" t="s">
        <v>496</v>
      </c>
      <c r="F40" s="241" t="s">
        <v>405</v>
      </c>
      <c r="G40" s="252" t="s">
        <v>439</v>
      </c>
      <c r="H40" s="3188"/>
      <c r="I40" s="37"/>
      <c r="J40" s="37"/>
      <c r="K40" s="37"/>
      <c r="L40" s="37"/>
      <c r="M40" s="37"/>
      <c r="N40" s="37"/>
      <c r="O40" s="37"/>
      <c r="P40" s="37"/>
      <c r="Q40" s="37"/>
      <c r="R40" s="37"/>
      <c r="S40" s="37"/>
      <c r="T40" s="37"/>
      <c r="U40" s="37"/>
      <c r="V40" s="37"/>
    </row>
    <row r="41" spans="1:22" x14ac:dyDescent="0.2">
      <c r="A41" s="37"/>
      <c r="B41" s="248" t="s">
        <v>560</v>
      </c>
      <c r="C41" s="636"/>
      <c r="D41" s="240" t="s">
        <v>74</v>
      </c>
      <c r="E41" s="240" t="s">
        <v>495</v>
      </c>
      <c r="F41" s="241" t="s">
        <v>405</v>
      </c>
      <c r="G41" s="252" t="s">
        <v>20</v>
      </c>
      <c r="H41" s="3188"/>
      <c r="I41" s="37"/>
      <c r="J41" s="37"/>
      <c r="K41" s="37"/>
      <c r="L41" s="37"/>
      <c r="M41" s="37"/>
      <c r="N41" s="37"/>
      <c r="O41" s="37"/>
      <c r="P41" s="37"/>
      <c r="Q41" s="37"/>
      <c r="R41" s="37"/>
      <c r="S41" s="37"/>
      <c r="T41" s="37"/>
      <c r="U41" s="37"/>
      <c r="V41" s="37"/>
    </row>
    <row r="42" spans="1:22" x14ac:dyDescent="0.2">
      <c r="A42" s="37"/>
      <c r="B42" s="248" t="s">
        <v>560</v>
      </c>
      <c r="C42" s="636"/>
      <c r="D42" s="240" t="s">
        <v>448</v>
      </c>
      <c r="E42" s="240" t="s">
        <v>498</v>
      </c>
      <c r="F42" s="241" t="s">
        <v>405</v>
      </c>
      <c r="G42" s="252" t="s">
        <v>439</v>
      </c>
      <c r="H42" s="3188"/>
      <c r="I42" s="37"/>
      <c r="J42" s="37"/>
      <c r="K42" s="37"/>
      <c r="L42" s="37"/>
      <c r="M42" s="37"/>
      <c r="N42" s="37"/>
      <c r="O42" s="37"/>
      <c r="P42" s="37"/>
      <c r="Q42" s="37"/>
      <c r="R42" s="37"/>
      <c r="S42" s="37"/>
      <c r="T42" s="37"/>
      <c r="U42" s="37"/>
      <c r="V42" s="37"/>
    </row>
    <row r="43" spans="1:22" x14ac:dyDescent="0.2">
      <c r="A43" s="37"/>
      <c r="B43" s="248" t="s">
        <v>560</v>
      </c>
      <c r="C43" s="636"/>
      <c r="D43" s="240" t="s">
        <v>75</v>
      </c>
      <c r="E43" s="240" t="s">
        <v>493</v>
      </c>
      <c r="F43" s="243" t="s">
        <v>405</v>
      </c>
      <c r="G43" s="252" t="s">
        <v>449</v>
      </c>
      <c r="H43" s="3188"/>
      <c r="I43" s="37"/>
      <c r="J43" s="37"/>
      <c r="K43" s="37"/>
      <c r="L43" s="37"/>
      <c r="M43" s="37"/>
      <c r="N43" s="37"/>
      <c r="O43" s="37"/>
      <c r="P43" s="37"/>
      <c r="Q43" s="37"/>
      <c r="R43" s="37"/>
      <c r="S43" s="37"/>
      <c r="T43" s="37"/>
      <c r="U43" s="37"/>
      <c r="V43" s="37"/>
    </row>
    <row r="44" spans="1:22" x14ac:dyDescent="0.2">
      <c r="A44" s="37"/>
      <c r="B44" s="248" t="s">
        <v>560</v>
      </c>
      <c r="C44" s="636"/>
      <c r="D44" s="240" t="s">
        <v>450</v>
      </c>
      <c r="E44" s="240" t="s">
        <v>499</v>
      </c>
      <c r="F44" s="241" t="s">
        <v>405</v>
      </c>
      <c r="G44" s="252"/>
      <c r="H44" s="3188"/>
      <c r="I44" s="37"/>
      <c r="J44" s="37"/>
      <c r="K44" s="37"/>
      <c r="L44" s="37"/>
      <c r="M44" s="37"/>
      <c r="N44" s="37"/>
      <c r="O44" s="37"/>
      <c r="P44" s="37"/>
      <c r="Q44" s="37"/>
      <c r="R44" s="37"/>
      <c r="S44" s="37"/>
      <c r="T44" s="37"/>
      <c r="U44" s="37"/>
      <c r="V44" s="37"/>
    </row>
    <row r="45" spans="1:22" x14ac:dyDescent="0.2">
      <c r="A45" s="37"/>
      <c r="B45" s="248" t="s">
        <v>560</v>
      </c>
      <c r="C45" s="636"/>
      <c r="D45" s="240" t="s">
        <v>76</v>
      </c>
      <c r="E45" s="240" t="s">
        <v>500</v>
      </c>
      <c r="F45" s="241" t="s">
        <v>405</v>
      </c>
      <c r="G45" s="252"/>
      <c r="H45" s="3188"/>
      <c r="I45" s="37"/>
      <c r="J45" s="37"/>
      <c r="K45" s="37"/>
      <c r="L45" s="37"/>
      <c r="M45" s="37"/>
      <c r="N45" s="37"/>
      <c r="O45" s="37"/>
      <c r="P45" s="37"/>
      <c r="Q45" s="37"/>
      <c r="R45" s="37"/>
      <c r="S45" s="37"/>
      <c r="T45" s="37"/>
      <c r="U45" s="37"/>
      <c r="V45" s="37"/>
    </row>
    <row r="46" spans="1:22" x14ac:dyDescent="0.2">
      <c r="A46" s="37"/>
      <c r="B46" s="248" t="s">
        <v>560</v>
      </c>
      <c r="C46" s="636"/>
      <c r="D46" s="240" t="s">
        <v>68</v>
      </c>
      <c r="E46" s="240" t="s">
        <v>501</v>
      </c>
      <c r="F46" s="241" t="s">
        <v>405</v>
      </c>
      <c r="G46" s="252" t="s">
        <v>20</v>
      </c>
      <c r="H46" s="3188"/>
      <c r="I46" s="37"/>
      <c r="J46" s="37"/>
      <c r="K46" s="37"/>
      <c r="L46" s="37"/>
      <c r="M46" s="37"/>
      <c r="N46" s="37"/>
      <c r="O46" s="37"/>
      <c r="P46" s="37"/>
      <c r="Q46" s="37"/>
      <c r="R46" s="37"/>
      <c r="S46" s="37"/>
      <c r="T46" s="37"/>
      <c r="U46" s="37"/>
      <c r="V46" s="37"/>
    </row>
    <row r="47" spans="1:22" x14ac:dyDescent="0.2">
      <c r="A47" s="37"/>
      <c r="B47" s="248" t="s">
        <v>560</v>
      </c>
      <c r="C47" s="636"/>
      <c r="D47" s="240" t="s">
        <v>451</v>
      </c>
      <c r="E47" s="240" t="s">
        <v>502</v>
      </c>
      <c r="F47" s="241" t="s">
        <v>405</v>
      </c>
      <c r="G47" s="252"/>
      <c r="H47" s="3188"/>
      <c r="I47" s="37"/>
      <c r="J47" s="37"/>
      <c r="K47" s="37"/>
      <c r="L47" s="37"/>
      <c r="M47" s="37"/>
      <c r="N47" s="37"/>
      <c r="O47" s="37"/>
      <c r="P47" s="37"/>
      <c r="Q47" s="37"/>
      <c r="R47" s="37"/>
      <c r="S47" s="37"/>
      <c r="T47" s="37"/>
      <c r="U47" s="37"/>
      <c r="V47" s="37"/>
    </row>
    <row r="48" spans="1:22" x14ac:dyDescent="0.2">
      <c r="A48" s="37"/>
      <c r="B48" s="249" t="s">
        <v>560</v>
      </c>
      <c r="C48" s="648"/>
      <c r="D48" s="242" t="s">
        <v>452</v>
      </c>
      <c r="E48" s="242" t="s">
        <v>503</v>
      </c>
      <c r="F48" s="243" t="s">
        <v>405</v>
      </c>
      <c r="G48" s="246"/>
      <c r="H48" s="3188"/>
      <c r="I48" s="37"/>
      <c r="J48" s="37"/>
      <c r="K48" s="37"/>
      <c r="L48" s="37"/>
      <c r="M48" s="37"/>
      <c r="N48" s="37"/>
      <c r="O48" s="37"/>
      <c r="P48" s="37"/>
      <c r="Q48" s="37"/>
      <c r="R48" s="37"/>
      <c r="S48" s="37"/>
      <c r="T48" s="37"/>
      <c r="U48" s="37"/>
      <c r="V48" s="37"/>
    </row>
    <row r="49" spans="1:22" x14ac:dyDescent="0.2">
      <c r="A49" s="37"/>
      <c r="B49" s="299" t="s">
        <v>256</v>
      </c>
      <c r="C49" s="649"/>
      <c r="D49" s="300">
        <v>1</v>
      </c>
      <c r="E49" s="301" t="s">
        <v>497</v>
      </c>
      <c r="F49" s="302" t="s">
        <v>405</v>
      </c>
      <c r="G49" s="253" t="s">
        <v>453</v>
      </c>
      <c r="H49" s="3188"/>
      <c r="I49" s="37"/>
      <c r="J49" s="37"/>
      <c r="K49" s="37"/>
      <c r="L49" s="37"/>
      <c r="M49" s="37"/>
      <c r="N49" s="37"/>
      <c r="O49" s="37"/>
      <c r="P49" s="37"/>
      <c r="Q49" s="37"/>
      <c r="R49" s="37"/>
      <c r="S49" s="37"/>
      <c r="T49" s="37"/>
      <c r="U49" s="37"/>
      <c r="V49" s="37"/>
    </row>
    <row r="50" spans="1:22" x14ac:dyDescent="0.2">
      <c r="A50" s="37"/>
      <c r="B50" s="303" t="s">
        <v>256</v>
      </c>
      <c r="C50" s="650"/>
      <c r="D50" s="269">
        <v>2</v>
      </c>
      <c r="E50" s="304" t="s">
        <v>496</v>
      </c>
      <c r="F50" s="305" t="s">
        <v>405</v>
      </c>
      <c r="G50" s="246" t="s">
        <v>439</v>
      </c>
      <c r="H50" s="3188"/>
      <c r="I50" s="37"/>
      <c r="J50" s="37"/>
      <c r="K50" s="37"/>
      <c r="L50" s="37"/>
      <c r="M50" s="37"/>
      <c r="N50" s="37"/>
      <c r="O50" s="37"/>
      <c r="P50" s="37"/>
      <c r="Q50" s="37"/>
      <c r="R50" s="37"/>
      <c r="S50" s="37"/>
      <c r="T50" s="37"/>
      <c r="U50" s="37"/>
      <c r="V50" s="37"/>
    </row>
    <row r="51" spans="1:22" x14ac:dyDescent="0.2">
      <c r="A51" s="37"/>
      <c r="B51" s="303" t="s">
        <v>256</v>
      </c>
      <c r="C51" s="650"/>
      <c r="D51" s="269">
        <v>3</v>
      </c>
      <c r="E51" s="304" t="s">
        <v>495</v>
      </c>
      <c r="F51" s="305" t="s">
        <v>405</v>
      </c>
      <c r="G51" s="246" t="s">
        <v>453</v>
      </c>
      <c r="H51" s="3188"/>
      <c r="I51" s="37"/>
      <c r="J51" s="37"/>
      <c r="K51" s="37"/>
      <c r="L51" s="37"/>
      <c r="M51" s="37"/>
      <c r="N51" s="37"/>
      <c r="O51" s="37"/>
      <c r="P51" s="37"/>
      <c r="Q51" s="37"/>
      <c r="R51" s="37"/>
      <c r="S51" s="37"/>
      <c r="T51" s="37"/>
      <c r="U51" s="37"/>
      <c r="V51" s="37"/>
    </row>
    <row r="52" spans="1:22" x14ac:dyDescent="0.2">
      <c r="A52" s="37"/>
      <c r="B52" s="303" t="s">
        <v>256</v>
      </c>
      <c r="C52" s="650"/>
      <c r="D52" s="269">
        <v>4</v>
      </c>
      <c r="E52" s="304" t="s">
        <v>498</v>
      </c>
      <c r="F52" s="305" t="s">
        <v>405</v>
      </c>
      <c r="G52" s="246" t="s">
        <v>439</v>
      </c>
      <c r="H52" s="3188"/>
      <c r="I52" s="37"/>
      <c r="J52" s="37"/>
      <c r="K52" s="37"/>
      <c r="L52" s="37"/>
      <c r="M52" s="37"/>
      <c r="N52" s="37"/>
      <c r="O52" s="37"/>
      <c r="P52" s="37"/>
      <c r="Q52" s="37"/>
      <c r="R52" s="37"/>
      <c r="S52" s="37"/>
      <c r="T52" s="37"/>
      <c r="U52" s="37"/>
      <c r="V52" s="37"/>
    </row>
    <row r="53" spans="1:22" x14ac:dyDescent="0.2">
      <c r="A53" s="37"/>
      <c r="B53" s="303" t="s">
        <v>256</v>
      </c>
      <c r="C53" s="650"/>
      <c r="D53" s="269">
        <v>5</v>
      </c>
      <c r="E53" s="304" t="s">
        <v>493</v>
      </c>
      <c r="F53" s="305" t="s">
        <v>405</v>
      </c>
      <c r="G53" s="246" t="s">
        <v>449</v>
      </c>
      <c r="H53" s="3188"/>
      <c r="I53" s="37"/>
      <c r="J53" s="37"/>
      <c r="K53" s="37"/>
      <c r="L53" s="37"/>
      <c r="M53" s="37"/>
      <c r="N53" s="37"/>
      <c r="O53" s="37"/>
      <c r="P53" s="37"/>
      <c r="Q53" s="37"/>
      <c r="R53" s="37"/>
      <c r="S53" s="37"/>
      <c r="T53" s="37"/>
      <c r="U53" s="37"/>
      <c r="V53" s="37"/>
    </row>
    <row r="54" spans="1:22" x14ac:dyDescent="0.2">
      <c r="A54" s="37"/>
      <c r="B54" s="303" t="s">
        <v>256</v>
      </c>
      <c r="C54" s="650"/>
      <c r="D54" s="269">
        <v>6</v>
      </c>
      <c r="E54" s="304" t="s">
        <v>499</v>
      </c>
      <c r="F54" s="305" t="s">
        <v>405</v>
      </c>
      <c r="G54" s="246"/>
      <c r="H54" s="3188"/>
      <c r="I54" s="37"/>
      <c r="J54" s="37"/>
      <c r="K54" s="37"/>
      <c r="L54" s="37"/>
      <c r="M54" s="37"/>
      <c r="N54" s="37"/>
      <c r="O54" s="37"/>
      <c r="P54" s="37"/>
      <c r="Q54" s="37"/>
      <c r="R54" s="37"/>
      <c r="S54" s="37"/>
      <c r="T54" s="37"/>
      <c r="U54" s="37"/>
      <c r="V54" s="37"/>
    </row>
    <row r="55" spans="1:22" x14ac:dyDescent="0.2">
      <c r="A55" s="37"/>
      <c r="B55" s="303" t="s">
        <v>256</v>
      </c>
      <c r="C55" s="650"/>
      <c r="D55" s="269">
        <v>7</v>
      </c>
      <c r="E55" s="304" t="s">
        <v>500</v>
      </c>
      <c r="F55" s="305" t="s">
        <v>405</v>
      </c>
      <c r="G55" s="246" t="s">
        <v>454</v>
      </c>
      <c r="H55" s="3188"/>
      <c r="I55" s="37"/>
      <c r="J55" s="37"/>
      <c r="K55" s="37"/>
      <c r="L55" s="37"/>
      <c r="M55" s="37"/>
      <c r="N55" s="37"/>
      <c r="O55" s="37"/>
      <c r="P55" s="37"/>
      <c r="Q55" s="37"/>
      <c r="R55" s="37"/>
      <c r="S55" s="37"/>
      <c r="T55" s="37"/>
      <c r="U55" s="37"/>
      <c r="V55" s="37"/>
    </row>
    <row r="56" spans="1:22" x14ac:dyDescent="0.2">
      <c r="A56" s="37"/>
      <c r="B56" s="303" t="s">
        <v>256</v>
      </c>
      <c r="C56" s="650"/>
      <c r="D56" s="269">
        <v>8</v>
      </c>
      <c r="E56" s="304" t="s">
        <v>501</v>
      </c>
      <c r="F56" s="305" t="s">
        <v>405</v>
      </c>
      <c r="G56" s="246" t="s">
        <v>453</v>
      </c>
      <c r="H56" s="3188"/>
      <c r="I56" s="37"/>
      <c r="J56" s="37"/>
      <c r="K56" s="37"/>
      <c r="L56" s="37"/>
      <c r="M56" s="37"/>
      <c r="N56" s="37"/>
      <c r="O56" s="37"/>
      <c r="P56" s="37"/>
      <c r="Q56" s="37"/>
      <c r="R56" s="37"/>
      <c r="S56" s="37"/>
      <c r="T56" s="37"/>
      <c r="U56" s="37"/>
      <c r="V56" s="37"/>
    </row>
    <row r="57" spans="1:22" x14ac:dyDescent="0.2">
      <c r="A57" s="37"/>
      <c r="B57" s="303" t="s">
        <v>256</v>
      </c>
      <c r="C57" s="650"/>
      <c r="D57" s="269">
        <v>9</v>
      </c>
      <c r="E57" s="304" t="s">
        <v>502</v>
      </c>
      <c r="F57" s="305" t="s">
        <v>405</v>
      </c>
      <c r="G57" s="246"/>
      <c r="H57" s="3188"/>
      <c r="I57" s="37"/>
      <c r="J57" s="37"/>
      <c r="K57" s="37"/>
      <c r="L57" s="37"/>
      <c r="M57" s="37"/>
      <c r="N57" s="37"/>
      <c r="O57" s="37"/>
      <c r="P57" s="37"/>
      <c r="Q57" s="37"/>
      <c r="R57" s="37"/>
      <c r="S57" s="37"/>
      <c r="T57" s="37"/>
      <c r="U57" s="37"/>
      <c r="V57" s="37"/>
    </row>
    <row r="58" spans="1:22" x14ac:dyDescent="0.2">
      <c r="A58" s="37"/>
      <c r="B58" s="303" t="s">
        <v>256</v>
      </c>
      <c r="C58" s="650"/>
      <c r="D58" s="269">
        <v>10</v>
      </c>
      <c r="E58" s="304" t="s">
        <v>504</v>
      </c>
      <c r="F58" s="305" t="s">
        <v>405</v>
      </c>
      <c r="G58" s="246" t="s">
        <v>439</v>
      </c>
      <c r="H58" s="3188"/>
      <c r="I58" s="37"/>
      <c r="J58" s="37"/>
      <c r="K58" s="37"/>
      <c r="L58" s="37"/>
      <c r="M58" s="37"/>
      <c r="N58" s="37"/>
      <c r="O58" s="37"/>
      <c r="P58" s="37"/>
      <c r="Q58" s="37"/>
      <c r="R58" s="37"/>
      <c r="S58" s="37"/>
      <c r="T58" s="37"/>
      <c r="U58" s="37"/>
      <c r="V58" s="37"/>
    </row>
    <row r="59" spans="1:22" x14ac:dyDescent="0.2">
      <c r="A59" s="37"/>
      <c r="B59" s="303" t="s">
        <v>256</v>
      </c>
      <c r="C59" s="650"/>
      <c r="D59" s="269">
        <v>11</v>
      </c>
      <c r="E59" s="304" t="s">
        <v>505</v>
      </c>
      <c r="F59" s="305" t="s">
        <v>405</v>
      </c>
      <c r="G59" s="246"/>
      <c r="H59" s="3188"/>
      <c r="I59" s="37"/>
      <c r="J59" s="37"/>
      <c r="K59" s="37"/>
      <c r="L59" s="37"/>
      <c r="M59" s="37"/>
      <c r="N59" s="37"/>
      <c r="O59" s="37"/>
      <c r="P59" s="37"/>
      <c r="Q59" s="37"/>
      <c r="R59" s="37"/>
      <c r="S59" s="37"/>
      <c r="T59" s="37"/>
      <c r="U59" s="37"/>
      <c r="V59" s="37"/>
    </row>
    <row r="60" spans="1:22" x14ac:dyDescent="0.2">
      <c r="A60" s="37"/>
      <c r="B60" s="303" t="s">
        <v>256</v>
      </c>
      <c r="C60" s="650"/>
      <c r="D60" s="269">
        <v>12</v>
      </c>
      <c r="E60" s="304" t="s">
        <v>506</v>
      </c>
      <c r="F60" s="305" t="s">
        <v>405</v>
      </c>
      <c r="G60" s="246" t="s">
        <v>439</v>
      </c>
      <c r="H60" s="3188"/>
      <c r="I60" s="37"/>
      <c r="J60" s="37"/>
      <c r="K60" s="37"/>
      <c r="L60" s="37"/>
      <c r="M60" s="37"/>
      <c r="N60" s="37"/>
      <c r="O60" s="37"/>
      <c r="P60" s="37"/>
      <c r="Q60" s="37"/>
      <c r="R60" s="37"/>
      <c r="S60" s="37"/>
      <c r="T60" s="37"/>
      <c r="U60" s="37"/>
      <c r="V60" s="37"/>
    </row>
    <row r="61" spans="1:22" x14ac:dyDescent="0.2">
      <c r="A61" s="37"/>
      <c r="B61" s="303" t="s">
        <v>256</v>
      </c>
      <c r="C61" s="650"/>
      <c r="D61" s="269">
        <v>13</v>
      </c>
      <c r="E61" s="304" t="s">
        <v>507</v>
      </c>
      <c r="F61" s="305" t="s">
        <v>405</v>
      </c>
      <c r="G61" s="246" t="s">
        <v>439</v>
      </c>
      <c r="H61" s="3188"/>
      <c r="I61" s="37"/>
      <c r="J61" s="37"/>
      <c r="K61" s="37"/>
      <c r="L61" s="37"/>
      <c r="M61" s="37"/>
      <c r="N61" s="37"/>
      <c r="O61" s="37"/>
      <c r="P61" s="37"/>
      <c r="Q61" s="37"/>
      <c r="R61" s="37"/>
      <c r="S61" s="37"/>
      <c r="T61" s="37"/>
      <c r="U61" s="37"/>
      <c r="V61" s="37"/>
    </row>
    <row r="62" spans="1:22" x14ac:dyDescent="0.2">
      <c r="A62" s="37"/>
      <c r="B62" s="303" t="s">
        <v>256</v>
      </c>
      <c r="C62" s="650"/>
      <c r="D62" s="269">
        <v>14</v>
      </c>
      <c r="E62" s="304" t="s">
        <v>508</v>
      </c>
      <c r="F62" s="305" t="s">
        <v>405</v>
      </c>
      <c r="G62" s="246" t="s">
        <v>439</v>
      </c>
      <c r="H62" s="3188"/>
      <c r="I62" s="37"/>
      <c r="J62" s="37"/>
      <c r="K62" s="37"/>
      <c r="L62" s="37"/>
      <c r="M62" s="37"/>
      <c r="N62" s="37"/>
      <c r="O62" s="37"/>
      <c r="P62" s="37"/>
      <c r="Q62" s="37"/>
      <c r="R62" s="37"/>
      <c r="S62" s="37"/>
      <c r="T62" s="37"/>
      <c r="U62" s="37"/>
      <c r="V62" s="37"/>
    </row>
    <row r="63" spans="1:22" x14ac:dyDescent="0.2">
      <c r="A63" s="37"/>
      <c r="B63" s="303" t="s">
        <v>256</v>
      </c>
      <c r="C63" s="650"/>
      <c r="D63" s="269">
        <v>17</v>
      </c>
      <c r="E63" s="304" t="s">
        <v>509</v>
      </c>
      <c r="F63" s="305" t="s">
        <v>405</v>
      </c>
      <c r="G63" s="246" t="s">
        <v>439</v>
      </c>
      <c r="H63" s="3188"/>
      <c r="I63" s="37"/>
      <c r="J63" s="37"/>
      <c r="K63" s="37"/>
      <c r="L63" s="37"/>
      <c r="M63" s="37"/>
      <c r="N63" s="37"/>
      <c r="O63" s="37"/>
      <c r="P63" s="37"/>
      <c r="Q63" s="37"/>
      <c r="R63" s="37"/>
      <c r="S63" s="37"/>
      <c r="T63" s="37"/>
      <c r="U63" s="37"/>
      <c r="V63" s="37"/>
    </row>
    <row r="64" spans="1:22" x14ac:dyDescent="0.2">
      <c r="A64" s="37"/>
      <c r="B64" s="303" t="s">
        <v>256</v>
      </c>
      <c r="C64" s="650"/>
      <c r="D64" s="269">
        <v>18</v>
      </c>
      <c r="E64" s="304" t="s">
        <v>510</v>
      </c>
      <c r="F64" s="305" t="s">
        <v>405</v>
      </c>
      <c r="G64" s="246"/>
      <c r="H64" s="3188"/>
      <c r="I64" s="37"/>
      <c r="J64" s="37"/>
      <c r="K64" s="37"/>
      <c r="L64" s="37"/>
      <c r="M64" s="37"/>
      <c r="N64" s="37"/>
      <c r="O64" s="37"/>
      <c r="P64" s="37"/>
      <c r="Q64" s="37"/>
      <c r="R64" s="37"/>
      <c r="S64" s="37"/>
      <c r="T64" s="37"/>
      <c r="U64" s="37"/>
      <c r="V64" s="37"/>
    </row>
    <row r="65" spans="1:22" x14ac:dyDescent="0.2">
      <c r="A65" s="37"/>
      <c r="B65" s="303" t="s">
        <v>256</v>
      </c>
      <c r="C65" s="650"/>
      <c r="D65" s="269">
        <v>19</v>
      </c>
      <c r="E65" s="304" t="s">
        <v>503</v>
      </c>
      <c r="F65" s="305" t="s">
        <v>405</v>
      </c>
      <c r="G65" s="246"/>
      <c r="H65" s="3188"/>
      <c r="I65" s="37"/>
      <c r="J65" s="37"/>
      <c r="K65" s="37"/>
      <c r="L65" s="37"/>
      <c r="M65" s="37"/>
      <c r="N65" s="37"/>
      <c r="O65" s="37"/>
      <c r="P65" s="37"/>
      <c r="Q65" s="37"/>
      <c r="R65" s="37"/>
      <c r="S65" s="37"/>
      <c r="T65" s="37"/>
      <c r="U65" s="37"/>
      <c r="V65" s="37"/>
    </row>
    <row r="66" spans="1:22" x14ac:dyDescent="0.2">
      <c r="A66" s="37"/>
      <c r="B66" s="303" t="s">
        <v>256</v>
      </c>
      <c r="C66" s="650"/>
      <c r="D66" s="269">
        <v>20</v>
      </c>
      <c r="E66" s="304" t="s">
        <v>511</v>
      </c>
      <c r="F66" s="305" t="s">
        <v>405</v>
      </c>
      <c r="G66" s="246" t="s">
        <v>20</v>
      </c>
      <c r="H66" s="3188"/>
      <c r="I66" s="37"/>
      <c r="J66" s="37"/>
      <c r="K66" s="37"/>
      <c r="L66" s="37"/>
      <c r="M66" s="37"/>
      <c r="N66" s="37"/>
      <c r="O66" s="37"/>
      <c r="P66" s="37"/>
      <c r="Q66" s="37"/>
      <c r="R66" s="37"/>
      <c r="S66" s="37"/>
      <c r="T66" s="37"/>
      <c r="U66" s="37"/>
      <c r="V66" s="37"/>
    </row>
    <row r="67" spans="1:22" x14ac:dyDescent="0.2">
      <c r="A67" s="37"/>
      <c r="B67" s="303" t="s">
        <v>256</v>
      </c>
      <c r="C67" s="650"/>
      <c r="D67" s="269">
        <v>21</v>
      </c>
      <c r="E67" s="304" t="s">
        <v>512</v>
      </c>
      <c r="F67" s="305" t="s">
        <v>405</v>
      </c>
      <c r="G67" s="246"/>
      <c r="H67" s="3188"/>
      <c r="I67" s="37"/>
      <c r="J67" s="37"/>
      <c r="K67" s="37"/>
      <c r="L67" s="37"/>
      <c r="M67" s="37"/>
      <c r="N67" s="37"/>
      <c r="O67" s="37"/>
      <c r="P67" s="37"/>
      <c r="Q67" s="37"/>
      <c r="R67" s="37"/>
      <c r="S67" s="37"/>
      <c r="T67" s="37"/>
      <c r="U67" s="37"/>
      <c r="V67" s="37"/>
    </row>
    <row r="68" spans="1:22" x14ac:dyDescent="0.2">
      <c r="A68" s="37"/>
      <c r="B68" s="303" t="s">
        <v>256</v>
      </c>
      <c r="C68" s="650"/>
      <c r="D68" s="269">
        <v>22</v>
      </c>
      <c r="E68" s="304" t="s">
        <v>513</v>
      </c>
      <c r="F68" s="305" t="s">
        <v>405</v>
      </c>
      <c r="G68" s="246" t="s">
        <v>20</v>
      </c>
      <c r="H68" s="3188"/>
      <c r="I68" s="37"/>
      <c r="J68" s="37"/>
      <c r="K68" s="37"/>
      <c r="L68" s="37"/>
      <c r="M68" s="37"/>
      <c r="N68" s="37"/>
      <c r="O68" s="37"/>
      <c r="P68" s="37"/>
      <c r="Q68" s="37"/>
      <c r="R68" s="37"/>
      <c r="S68" s="37"/>
      <c r="T68" s="37"/>
      <c r="U68" s="37"/>
      <c r="V68" s="37"/>
    </row>
    <row r="69" spans="1:22" x14ac:dyDescent="0.2">
      <c r="A69" s="37"/>
      <c r="B69" s="303" t="s">
        <v>256</v>
      </c>
      <c r="C69" s="650"/>
      <c r="D69" s="269">
        <v>23</v>
      </c>
      <c r="E69" s="304" t="s">
        <v>514</v>
      </c>
      <c r="F69" s="305" t="s">
        <v>405</v>
      </c>
      <c r="G69" s="246"/>
      <c r="H69" s="3188"/>
      <c r="I69" s="37"/>
      <c r="J69" s="37"/>
      <c r="K69" s="37"/>
      <c r="L69" s="37"/>
      <c r="M69" s="37"/>
      <c r="N69" s="37"/>
      <c r="O69" s="37"/>
      <c r="P69" s="37"/>
      <c r="Q69" s="37"/>
      <c r="R69" s="37"/>
      <c r="S69" s="37"/>
      <c r="T69" s="37"/>
      <c r="U69" s="37"/>
      <c r="V69" s="37"/>
    </row>
    <row r="70" spans="1:22" x14ac:dyDescent="0.2">
      <c r="A70" s="37"/>
      <c r="B70" s="303" t="s">
        <v>256</v>
      </c>
      <c r="C70" s="650"/>
      <c r="D70" s="269">
        <v>24</v>
      </c>
      <c r="E70" s="304" t="s">
        <v>515</v>
      </c>
      <c r="F70" s="305" t="s">
        <v>405</v>
      </c>
      <c r="G70" s="246"/>
      <c r="H70" s="3188"/>
      <c r="I70" s="37"/>
      <c r="J70" s="37"/>
      <c r="K70" s="37"/>
      <c r="L70" s="37"/>
      <c r="M70" s="37"/>
      <c r="N70" s="37"/>
      <c r="O70" s="37"/>
      <c r="P70" s="37"/>
      <c r="Q70" s="37"/>
      <c r="R70" s="37"/>
      <c r="S70" s="37"/>
      <c r="T70" s="37"/>
      <c r="U70" s="37"/>
      <c r="V70" s="37"/>
    </row>
    <row r="71" spans="1:22" x14ac:dyDescent="0.2">
      <c r="A71" s="37"/>
      <c r="B71" s="303" t="s">
        <v>256</v>
      </c>
      <c r="C71" s="650"/>
      <c r="D71" s="269">
        <v>25</v>
      </c>
      <c r="E71" s="304" t="s">
        <v>516</v>
      </c>
      <c r="F71" s="305" t="s">
        <v>405</v>
      </c>
      <c r="G71" s="246" t="s">
        <v>439</v>
      </c>
      <c r="H71" s="3188"/>
      <c r="I71" s="37"/>
      <c r="J71" s="37"/>
      <c r="K71" s="37"/>
      <c r="L71" s="37"/>
      <c r="M71" s="37"/>
      <c r="N71" s="37"/>
      <c r="O71" s="37"/>
      <c r="P71" s="37"/>
      <c r="Q71" s="37"/>
      <c r="R71" s="37"/>
      <c r="S71" s="37"/>
      <c r="T71" s="37"/>
      <c r="U71" s="37"/>
      <c r="V71" s="37"/>
    </row>
    <row r="72" spans="1:22" x14ac:dyDescent="0.2">
      <c r="A72" s="37"/>
      <c r="B72" s="303" t="s">
        <v>256</v>
      </c>
      <c r="C72" s="650"/>
      <c r="D72" s="269">
        <v>26</v>
      </c>
      <c r="E72" s="304" t="s">
        <v>517</v>
      </c>
      <c r="F72" s="305" t="s">
        <v>405</v>
      </c>
      <c r="G72" s="246" t="s">
        <v>439</v>
      </c>
      <c r="H72" s="3188"/>
      <c r="I72" s="37"/>
      <c r="J72" s="37"/>
      <c r="K72" s="37"/>
      <c r="L72" s="37"/>
      <c r="M72" s="37"/>
      <c r="N72" s="37"/>
      <c r="O72" s="37"/>
      <c r="P72" s="37"/>
      <c r="Q72" s="37"/>
      <c r="R72" s="37"/>
      <c r="S72" s="37"/>
      <c r="T72" s="37"/>
      <c r="U72" s="37"/>
      <c r="V72" s="37"/>
    </row>
    <row r="73" spans="1:22" x14ac:dyDescent="0.2">
      <c r="A73" s="37"/>
      <c r="B73" s="303" t="s">
        <v>256</v>
      </c>
      <c r="C73" s="650"/>
      <c r="D73" s="269">
        <v>27</v>
      </c>
      <c r="E73" s="304" t="s">
        <v>518</v>
      </c>
      <c r="F73" s="305" t="s">
        <v>405</v>
      </c>
      <c r="G73" s="246"/>
      <c r="H73" s="3188"/>
      <c r="I73" s="37"/>
      <c r="J73" s="37"/>
      <c r="K73" s="37"/>
      <c r="L73" s="37"/>
      <c r="M73" s="37"/>
      <c r="N73" s="37"/>
      <c r="O73" s="37"/>
      <c r="P73" s="37"/>
      <c r="Q73" s="37"/>
      <c r="R73" s="37"/>
      <c r="S73" s="37"/>
      <c r="T73" s="37"/>
      <c r="U73" s="37"/>
      <c r="V73" s="37"/>
    </row>
    <row r="74" spans="1:22" x14ac:dyDescent="0.2">
      <c r="A74" s="37"/>
      <c r="B74" s="303" t="s">
        <v>256</v>
      </c>
      <c r="C74" s="650"/>
      <c r="D74" s="269">
        <v>28</v>
      </c>
      <c r="E74" s="304" t="s">
        <v>519</v>
      </c>
      <c r="F74" s="305" t="s">
        <v>405</v>
      </c>
      <c r="G74" s="246" t="s">
        <v>453</v>
      </c>
      <c r="H74" s="3188"/>
      <c r="I74" s="37"/>
      <c r="J74" s="37"/>
      <c r="K74" s="37"/>
      <c r="L74" s="37"/>
      <c r="M74" s="37"/>
      <c r="N74" s="37"/>
      <c r="O74" s="37"/>
      <c r="P74" s="37"/>
      <c r="Q74" s="37"/>
      <c r="R74" s="37"/>
      <c r="S74" s="37"/>
      <c r="T74" s="37"/>
      <c r="U74" s="37"/>
      <c r="V74" s="37"/>
    </row>
    <row r="75" spans="1:22" x14ac:dyDescent="0.2">
      <c r="A75" s="37"/>
      <c r="B75" s="303" t="s">
        <v>256</v>
      </c>
      <c r="C75" s="650"/>
      <c r="D75" s="269">
        <v>30</v>
      </c>
      <c r="E75" s="304" t="s">
        <v>520</v>
      </c>
      <c r="F75" s="305" t="s">
        <v>405</v>
      </c>
      <c r="G75" s="246" t="s">
        <v>439</v>
      </c>
      <c r="H75" s="3188"/>
      <c r="I75" s="37"/>
      <c r="J75" s="37"/>
      <c r="K75" s="37"/>
      <c r="L75" s="37"/>
      <c r="M75" s="37"/>
      <c r="N75" s="37"/>
      <c r="O75" s="37"/>
      <c r="P75" s="37"/>
      <c r="Q75" s="37"/>
      <c r="R75" s="37"/>
      <c r="S75" s="37"/>
      <c r="T75" s="37"/>
      <c r="U75" s="37"/>
      <c r="V75" s="37"/>
    </row>
    <row r="76" spans="1:22" x14ac:dyDescent="0.2">
      <c r="A76" s="37"/>
      <c r="B76" s="303" t="s">
        <v>256</v>
      </c>
      <c r="C76" s="650"/>
      <c r="D76" s="269">
        <v>31</v>
      </c>
      <c r="E76" s="304" t="s">
        <v>521</v>
      </c>
      <c r="F76" s="305" t="s">
        <v>405</v>
      </c>
      <c r="G76" s="246" t="s">
        <v>20</v>
      </c>
      <c r="H76" s="3188"/>
      <c r="I76" s="37"/>
      <c r="J76" s="37"/>
      <c r="K76" s="37"/>
      <c r="L76" s="37"/>
      <c r="M76" s="37"/>
      <c r="N76" s="37"/>
      <c r="O76" s="37"/>
      <c r="P76" s="37"/>
      <c r="Q76" s="37"/>
      <c r="R76" s="37"/>
      <c r="S76" s="37"/>
      <c r="T76" s="37"/>
      <c r="U76" s="37"/>
      <c r="V76" s="37"/>
    </row>
    <row r="77" spans="1:22" x14ac:dyDescent="0.2">
      <c r="A77" s="37"/>
      <c r="B77" s="303" t="s">
        <v>256</v>
      </c>
      <c r="C77" s="650"/>
      <c r="D77" s="269">
        <v>33</v>
      </c>
      <c r="E77" s="304" t="s">
        <v>522</v>
      </c>
      <c r="F77" s="305" t="s">
        <v>405</v>
      </c>
      <c r="G77" s="246" t="s">
        <v>20</v>
      </c>
      <c r="H77" s="3188"/>
      <c r="I77" s="37"/>
      <c r="J77" s="37"/>
      <c r="K77" s="37"/>
      <c r="L77" s="37"/>
      <c r="M77" s="37"/>
      <c r="N77" s="37"/>
      <c r="O77" s="37"/>
      <c r="P77" s="37"/>
      <c r="Q77" s="37"/>
      <c r="R77" s="37"/>
      <c r="S77" s="37"/>
      <c r="T77" s="37"/>
      <c r="U77" s="37"/>
      <c r="V77" s="37"/>
    </row>
    <row r="78" spans="1:22" x14ac:dyDescent="0.2">
      <c r="A78" s="37"/>
      <c r="B78" s="303" t="s">
        <v>256</v>
      </c>
      <c r="C78" s="650"/>
      <c r="D78" s="269">
        <v>34</v>
      </c>
      <c r="E78" s="304" t="s">
        <v>523</v>
      </c>
      <c r="F78" s="305" t="s">
        <v>405</v>
      </c>
      <c r="G78" s="246" t="s">
        <v>20</v>
      </c>
      <c r="H78" s="3188"/>
      <c r="I78" s="37"/>
      <c r="J78" s="37"/>
      <c r="K78" s="37"/>
      <c r="L78" s="37"/>
      <c r="M78" s="37"/>
      <c r="N78" s="37"/>
      <c r="O78" s="37"/>
      <c r="P78" s="37"/>
      <c r="Q78" s="37"/>
      <c r="R78" s="37"/>
      <c r="S78" s="37"/>
      <c r="T78" s="37"/>
      <c r="U78" s="37"/>
      <c r="V78" s="37"/>
    </row>
    <row r="79" spans="1:22" x14ac:dyDescent="0.2">
      <c r="A79" s="37"/>
      <c r="B79" s="303" t="s">
        <v>256</v>
      </c>
      <c r="C79" s="650"/>
      <c r="D79" s="269">
        <v>35</v>
      </c>
      <c r="E79" s="304" t="s">
        <v>496</v>
      </c>
      <c r="F79" s="305" t="s">
        <v>405</v>
      </c>
      <c r="G79" s="246" t="s">
        <v>439</v>
      </c>
      <c r="H79" s="3188"/>
      <c r="I79" s="37"/>
      <c r="J79" s="37"/>
      <c r="K79" s="37"/>
      <c r="L79" s="37"/>
      <c r="M79" s="37"/>
      <c r="N79" s="37"/>
      <c r="O79" s="37"/>
      <c r="P79" s="37"/>
      <c r="Q79" s="37"/>
      <c r="R79" s="37"/>
      <c r="S79" s="37"/>
      <c r="T79" s="37"/>
      <c r="U79" s="37"/>
      <c r="V79" s="37"/>
    </row>
    <row r="80" spans="1:22" x14ac:dyDescent="0.2">
      <c r="A80" s="37"/>
      <c r="B80" s="303" t="s">
        <v>256</v>
      </c>
      <c r="C80" s="650"/>
      <c r="D80" s="269">
        <v>36</v>
      </c>
      <c r="E80" s="304" t="s">
        <v>524</v>
      </c>
      <c r="F80" s="305" t="s">
        <v>405</v>
      </c>
      <c r="G80" s="246" t="s">
        <v>439</v>
      </c>
      <c r="H80" s="3188"/>
      <c r="I80" s="37"/>
      <c r="J80" s="37"/>
      <c r="K80" s="37"/>
      <c r="L80" s="37"/>
      <c r="M80" s="37"/>
      <c r="N80" s="37"/>
      <c r="O80" s="37"/>
      <c r="P80" s="37"/>
      <c r="Q80" s="37"/>
      <c r="R80" s="37"/>
      <c r="S80" s="37"/>
      <c r="T80" s="37"/>
      <c r="U80" s="37"/>
      <c r="V80" s="37"/>
    </row>
    <row r="81" spans="1:22" x14ac:dyDescent="0.2">
      <c r="A81" s="37"/>
      <c r="B81" s="303" t="s">
        <v>256</v>
      </c>
      <c r="C81" s="650"/>
      <c r="D81" s="269">
        <v>37</v>
      </c>
      <c r="E81" s="304" t="s">
        <v>525</v>
      </c>
      <c r="F81" s="305" t="s">
        <v>405</v>
      </c>
      <c r="G81" s="246"/>
      <c r="H81" s="3188"/>
      <c r="I81" s="37"/>
      <c r="J81" s="37"/>
      <c r="K81" s="37"/>
      <c r="L81" s="37"/>
      <c r="M81" s="37"/>
      <c r="N81" s="37"/>
      <c r="O81" s="37"/>
      <c r="P81" s="37"/>
      <c r="Q81" s="37"/>
      <c r="R81" s="37"/>
      <c r="S81" s="37"/>
      <c r="T81" s="37"/>
      <c r="U81" s="37"/>
      <c r="V81" s="37"/>
    </row>
    <row r="82" spans="1:22" x14ac:dyDescent="0.2">
      <c r="A82" s="37"/>
      <c r="B82" s="303" t="s">
        <v>256</v>
      </c>
      <c r="C82" s="650"/>
      <c r="D82" s="269">
        <v>38</v>
      </c>
      <c r="E82" s="304" t="s">
        <v>526</v>
      </c>
      <c r="F82" s="305" t="s">
        <v>405</v>
      </c>
      <c r="G82" s="246" t="s">
        <v>455</v>
      </c>
      <c r="H82" s="3188"/>
      <c r="I82" s="37"/>
      <c r="J82" s="37"/>
      <c r="K82" s="37"/>
      <c r="L82" s="37"/>
      <c r="M82" s="37"/>
      <c r="N82" s="37"/>
      <c r="O82" s="37"/>
      <c r="P82" s="37"/>
      <c r="Q82" s="37"/>
      <c r="R82" s="37"/>
      <c r="S82" s="37"/>
      <c r="T82" s="37"/>
      <c r="U82" s="37"/>
      <c r="V82" s="37"/>
    </row>
    <row r="83" spans="1:22" x14ac:dyDescent="0.2">
      <c r="A83" s="37"/>
      <c r="B83" s="303" t="s">
        <v>256</v>
      </c>
      <c r="C83" s="650"/>
      <c r="D83" s="269">
        <v>39</v>
      </c>
      <c r="E83" s="304" t="s">
        <v>527</v>
      </c>
      <c r="F83" s="305" t="s">
        <v>405</v>
      </c>
      <c r="G83" s="246"/>
      <c r="H83" s="3188"/>
      <c r="I83" s="37"/>
      <c r="J83" s="37"/>
      <c r="K83" s="37"/>
      <c r="L83" s="37"/>
      <c r="M83" s="37"/>
      <c r="N83" s="37"/>
      <c r="O83" s="37"/>
      <c r="P83" s="37"/>
      <c r="Q83" s="37"/>
      <c r="R83" s="37"/>
      <c r="S83" s="37"/>
      <c r="T83" s="37"/>
      <c r="U83" s="37"/>
      <c r="V83" s="37"/>
    </row>
    <row r="84" spans="1:22" x14ac:dyDescent="0.2">
      <c r="A84" s="37"/>
      <c r="B84" s="303" t="s">
        <v>256</v>
      </c>
      <c r="C84" s="650"/>
      <c r="D84" s="269">
        <v>40</v>
      </c>
      <c r="E84" s="304" t="s">
        <v>528</v>
      </c>
      <c r="F84" s="305" t="s">
        <v>405</v>
      </c>
      <c r="G84" s="246" t="s">
        <v>453</v>
      </c>
      <c r="H84" s="3188"/>
      <c r="I84" s="37"/>
      <c r="J84" s="37"/>
      <c r="K84" s="37"/>
      <c r="L84" s="37"/>
      <c r="M84" s="37"/>
      <c r="N84" s="37"/>
      <c r="O84" s="37"/>
      <c r="P84" s="37"/>
      <c r="Q84" s="37"/>
      <c r="R84" s="37"/>
      <c r="S84" s="37"/>
      <c r="T84" s="37"/>
      <c r="U84" s="37"/>
      <c r="V84" s="37"/>
    </row>
    <row r="85" spans="1:22" x14ac:dyDescent="0.2">
      <c r="A85" s="37"/>
      <c r="B85" s="303" t="s">
        <v>256</v>
      </c>
      <c r="C85" s="650"/>
      <c r="D85" s="269">
        <v>41</v>
      </c>
      <c r="E85" s="304" t="s">
        <v>529</v>
      </c>
      <c r="F85" s="305" t="s">
        <v>405</v>
      </c>
      <c r="G85" s="246" t="s">
        <v>439</v>
      </c>
      <c r="H85" s="3188"/>
      <c r="I85" s="37"/>
      <c r="J85" s="37"/>
      <c r="K85" s="37"/>
      <c r="L85" s="37"/>
      <c r="M85" s="37"/>
      <c r="N85" s="37"/>
      <c r="O85" s="37"/>
      <c r="P85" s="37"/>
      <c r="Q85" s="37"/>
      <c r="R85" s="37"/>
      <c r="S85" s="37"/>
      <c r="T85" s="37"/>
      <c r="U85" s="37"/>
      <c r="V85" s="37"/>
    </row>
    <row r="86" spans="1:22" x14ac:dyDescent="0.2">
      <c r="A86" s="37"/>
      <c r="B86" s="303" t="s">
        <v>256</v>
      </c>
      <c r="C86" s="650"/>
      <c r="D86" s="269">
        <v>42</v>
      </c>
      <c r="E86" s="304" t="s">
        <v>530</v>
      </c>
      <c r="F86" s="305" t="s">
        <v>405</v>
      </c>
      <c r="G86" s="246" t="s">
        <v>454</v>
      </c>
      <c r="H86" s="3188"/>
      <c r="I86" s="37"/>
      <c r="J86" s="37"/>
      <c r="K86" s="37"/>
      <c r="L86" s="37"/>
      <c r="M86" s="37"/>
      <c r="N86" s="37"/>
      <c r="O86" s="37"/>
      <c r="P86" s="37"/>
      <c r="Q86" s="37"/>
      <c r="R86" s="37"/>
      <c r="S86" s="37"/>
      <c r="T86" s="37"/>
      <c r="U86" s="37"/>
      <c r="V86" s="37"/>
    </row>
    <row r="87" spans="1:22" x14ac:dyDescent="0.2">
      <c r="A87" s="37"/>
      <c r="B87" s="303" t="s">
        <v>256</v>
      </c>
      <c r="C87" s="650"/>
      <c r="D87" s="269">
        <v>43</v>
      </c>
      <c r="E87" s="304" t="s">
        <v>531</v>
      </c>
      <c r="F87" s="305" t="s">
        <v>405</v>
      </c>
      <c r="G87" s="246" t="s">
        <v>455</v>
      </c>
      <c r="H87" s="3188"/>
      <c r="I87" s="37"/>
      <c r="J87" s="37"/>
      <c r="K87" s="37"/>
      <c r="L87" s="37"/>
      <c r="M87" s="37"/>
      <c r="N87" s="37"/>
      <c r="O87" s="37"/>
      <c r="P87" s="37"/>
      <c r="Q87" s="37"/>
      <c r="R87" s="37"/>
      <c r="S87" s="37"/>
      <c r="T87" s="37"/>
      <c r="U87" s="37"/>
      <c r="V87" s="37"/>
    </row>
    <row r="88" spans="1:22" x14ac:dyDescent="0.2">
      <c r="A88" s="37"/>
      <c r="B88" s="303" t="s">
        <v>256</v>
      </c>
      <c r="C88" s="650"/>
      <c r="D88" s="269">
        <v>44</v>
      </c>
      <c r="E88" s="304" t="s">
        <v>532</v>
      </c>
      <c r="F88" s="305" t="s">
        <v>405</v>
      </c>
      <c r="G88" s="246"/>
      <c r="H88" s="3188"/>
      <c r="I88" s="37"/>
      <c r="J88" s="37"/>
      <c r="K88" s="37"/>
      <c r="L88" s="37"/>
      <c r="M88" s="37"/>
      <c r="N88" s="37"/>
      <c r="O88" s="37"/>
      <c r="P88" s="37"/>
      <c r="Q88" s="37"/>
      <c r="R88" s="37"/>
      <c r="S88" s="37"/>
      <c r="T88" s="37"/>
      <c r="U88" s="37"/>
      <c r="V88" s="37"/>
    </row>
    <row r="89" spans="1:22" x14ac:dyDescent="0.2">
      <c r="A89" s="37"/>
      <c r="B89" s="303" t="s">
        <v>256</v>
      </c>
      <c r="C89" s="650"/>
      <c r="D89" s="269">
        <v>45</v>
      </c>
      <c r="E89" s="304" t="s">
        <v>533</v>
      </c>
      <c r="F89" s="305" t="s">
        <v>405</v>
      </c>
      <c r="G89" s="246"/>
      <c r="H89" s="3188"/>
      <c r="I89" s="37"/>
      <c r="J89" s="37"/>
      <c r="K89" s="37"/>
      <c r="L89" s="37"/>
      <c r="M89" s="37"/>
      <c r="N89" s="37"/>
      <c r="O89" s="37"/>
      <c r="P89" s="37"/>
      <c r="Q89" s="37"/>
      <c r="R89" s="37"/>
      <c r="S89" s="37"/>
      <c r="T89" s="37"/>
      <c r="U89" s="37"/>
      <c r="V89" s="37"/>
    </row>
    <row r="90" spans="1:22" x14ac:dyDescent="0.2">
      <c r="A90" s="37"/>
      <c r="B90" s="303" t="s">
        <v>256</v>
      </c>
      <c r="C90" s="650"/>
      <c r="D90" s="269">
        <v>47</v>
      </c>
      <c r="E90" s="304" t="s">
        <v>534</v>
      </c>
      <c r="F90" s="305" t="s">
        <v>405</v>
      </c>
      <c r="G90" s="246" t="s">
        <v>20</v>
      </c>
      <c r="H90" s="3188"/>
      <c r="I90" s="37"/>
      <c r="J90" s="37"/>
      <c r="K90" s="37"/>
      <c r="L90" s="37"/>
      <c r="M90" s="37"/>
      <c r="N90" s="37"/>
      <c r="O90" s="37"/>
      <c r="P90" s="37"/>
      <c r="Q90" s="37"/>
      <c r="R90" s="37"/>
      <c r="S90" s="37"/>
      <c r="T90" s="37"/>
      <c r="U90" s="37"/>
      <c r="V90" s="37"/>
    </row>
    <row r="91" spans="1:22" x14ac:dyDescent="0.2">
      <c r="A91" s="37"/>
      <c r="B91" s="303" t="s">
        <v>256</v>
      </c>
      <c r="C91" s="650"/>
      <c r="D91" s="269">
        <v>48</v>
      </c>
      <c r="E91" s="304" t="s">
        <v>535</v>
      </c>
      <c r="F91" s="305" t="s">
        <v>405</v>
      </c>
      <c r="G91" s="246" t="s">
        <v>439</v>
      </c>
      <c r="H91" s="3188"/>
      <c r="I91" s="37"/>
      <c r="J91" s="37"/>
      <c r="K91" s="37"/>
      <c r="L91" s="37"/>
      <c r="M91" s="37"/>
      <c r="N91" s="37"/>
      <c r="O91" s="37"/>
      <c r="P91" s="37"/>
      <c r="Q91" s="37"/>
      <c r="R91" s="37"/>
      <c r="S91" s="37"/>
      <c r="T91" s="37"/>
      <c r="U91" s="37"/>
      <c r="V91" s="37"/>
    </row>
    <row r="92" spans="1:22" x14ac:dyDescent="0.2">
      <c r="A92" s="37"/>
      <c r="B92" s="303" t="s">
        <v>256</v>
      </c>
      <c r="C92" s="650"/>
      <c r="D92" s="269">
        <v>49</v>
      </c>
      <c r="E92" s="304" t="s">
        <v>535</v>
      </c>
      <c r="F92" s="305" t="s">
        <v>405</v>
      </c>
      <c r="G92" s="246"/>
      <c r="H92" s="3188"/>
      <c r="I92" s="37"/>
      <c r="J92" s="37"/>
      <c r="K92" s="37"/>
      <c r="L92" s="37"/>
      <c r="M92" s="37"/>
      <c r="N92" s="37"/>
      <c r="O92" s="37"/>
      <c r="P92" s="37"/>
      <c r="Q92" s="37"/>
      <c r="R92" s="37"/>
      <c r="S92" s="37"/>
      <c r="T92" s="37"/>
      <c r="U92" s="37"/>
      <c r="V92" s="37"/>
    </row>
    <row r="93" spans="1:22" x14ac:dyDescent="0.2">
      <c r="A93" s="37"/>
      <c r="B93" s="303" t="s">
        <v>256</v>
      </c>
      <c r="C93" s="650"/>
      <c r="D93" s="269">
        <v>50</v>
      </c>
      <c r="E93" s="304" t="s">
        <v>536</v>
      </c>
      <c r="F93" s="305" t="s">
        <v>405</v>
      </c>
      <c r="G93" s="246"/>
      <c r="H93" s="3188"/>
      <c r="I93" s="37"/>
      <c r="J93" s="37"/>
      <c r="K93" s="37"/>
      <c r="L93" s="37"/>
      <c r="M93" s="37"/>
      <c r="N93" s="37"/>
      <c r="O93" s="37"/>
      <c r="P93" s="37"/>
      <c r="Q93" s="37"/>
      <c r="R93" s="37"/>
      <c r="S93" s="37"/>
      <c r="T93" s="37"/>
      <c r="U93" s="37"/>
      <c r="V93" s="37"/>
    </row>
    <row r="94" spans="1:22" x14ac:dyDescent="0.2">
      <c r="A94" s="37"/>
      <c r="B94" s="303" t="s">
        <v>256</v>
      </c>
      <c r="C94" s="650"/>
      <c r="D94" s="269">
        <v>51</v>
      </c>
      <c r="E94" s="304" t="s">
        <v>537</v>
      </c>
      <c r="F94" s="305" t="s">
        <v>405</v>
      </c>
      <c r="G94" s="246"/>
      <c r="H94" s="3188"/>
      <c r="I94" s="37"/>
      <c r="J94" s="37"/>
      <c r="K94" s="37"/>
      <c r="L94" s="37"/>
      <c r="M94" s="37"/>
      <c r="N94" s="37"/>
      <c r="O94" s="37"/>
      <c r="P94" s="37"/>
      <c r="Q94" s="37"/>
      <c r="R94" s="37"/>
      <c r="S94" s="37"/>
      <c r="T94" s="37"/>
      <c r="U94" s="37"/>
      <c r="V94" s="37"/>
    </row>
    <row r="95" spans="1:22" x14ac:dyDescent="0.2">
      <c r="A95" s="37"/>
      <c r="B95" s="303" t="s">
        <v>256</v>
      </c>
      <c r="C95" s="650"/>
      <c r="D95" s="269">
        <v>52</v>
      </c>
      <c r="E95" s="304" t="s">
        <v>538</v>
      </c>
      <c r="F95" s="305" t="s">
        <v>405</v>
      </c>
      <c r="G95" s="246"/>
      <c r="H95" s="3188"/>
      <c r="I95" s="37"/>
      <c r="J95" s="37"/>
      <c r="K95" s="37"/>
      <c r="L95" s="37"/>
      <c r="M95" s="37"/>
      <c r="N95" s="37"/>
      <c r="O95" s="37"/>
      <c r="P95" s="37"/>
      <c r="Q95" s="37"/>
      <c r="R95" s="37"/>
      <c r="S95" s="37"/>
      <c r="T95" s="37"/>
      <c r="U95" s="37"/>
      <c r="V95" s="37"/>
    </row>
    <row r="96" spans="1:22" x14ac:dyDescent="0.2">
      <c r="A96" s="37"/>
      <c r="B96" s="303" t="s">
        <v>256</v>
      </c>
      <c r="C96" s="650"/>
      <c r="D96" s="269">
        <v>53</v>
      </c>
      <c r="E96" s="304" t="s">
        <v>539</v>
      </c>
      <c r="F96" s="305" t="s">
        <v>405</v>
      </c>
      <c r="G96" s="246"/>
      <c r="H96" s="3188"/>
      <c r="I96" s="37"/>
      <c r="J96" s="37"/>
      <c r="K96" s="37"/>
      <c r="L96" s="37"/>
      <c r="M96" s="37"/>
      <c r="N96" s="37"/>
      <c r="O96" s="37"/>
      <c r="P96" s="37"/>
      <c r="Q96" s="37"/>
      <c r="R96" s="37"/>
      <c r="S96" s="37"/>
      <c r="T96" s="37"/>
      <c r="U96" s="37"/>
      <c r="V96" s="37"/>
    </row>
    <row r="97" spans="1:22" x14ac:dyDescent="0.2">
      <c r="A97" s="37"/>
      <c r="B97" s="303" t="s">
        <v>256</v>
      </c>
      <c r="C97" s="650"/>
      <c r="D97" s="269">
        <v>65</v>
      </c>
      <c r="E97" s="304" t="s">
        <v>540</v>
      </c>
      <c r="F97" s="305" t="s">
        <v>405</v>
      </c>
      <c r="G97" s="246" t="s">
        <v>20</v>
      </c>
      <c r="H97" s="3188"/>
      <c r="I97" s="37"/>
      <c r="J97" s="37"/>
      <c r="K97" s="37"/>
      <c r="L97" s="37"/>
      <c r="M97" s="37"/>
      <c r="N97" s="37"/>
      <c r="O97" s="37"/>
      <c r="P97" s="37"/>
      <c r="Q97" s="37"/>
      <c r="R97" s="37"/>
      <c r="S97" s="37"/>
      <c r="T97" s="37"/>
      <c r="U97" s="37"/>
      <c r="V97" s="37"/>
    </row>
    <row r="98" spans="1:22" x14ac:dyDescent="0.2">
      <c r="A98" s="37"/>
      <c r="B98" s="303" t="s">
        <v>256</v>
      </c>
      <c r="C98" s="650"/>
      <c r="D98" s="269">
        <v>66</v>
      </c>
      <c r="E98" s="304" t="s">
        <v>541</v>
      </c>
      <c r="F98" s="305" t="s">
        <v>405</v>
      </c>
      <c r="G98" s="246" t="s">
        <v>439</v>
      </c>
      <c r="H98" s="3188"/>
      <c r="I98" s="37"/>
      <c r="J98" s="37"/>
      <c r="K98" s="37"/>
      <c r="L98" s="37"/>
      <c r="M98" s="37"/>
      <c r="N98" s="37"/>
      <c r="O98" s="37"/>
      <c r="P98" s="37"/>
      <c r="Q98" s="37"/>
      <c r="R98" s="37"/>
      <c r="S98" s="37"/>
      <c r="T98" s="37"/>
      <c r="U98" s="37"/>
      <c r="V98" s="37"/>
    </row>
    <row r="99" spans="1:22" x14ac:dyDescent="0.2">
      <c r="A99" s="37"/>
      <c r="B99" s="303" t="s">
        <v>256</v>
      </c>
      <c r="C99" s="650"/>
      <c r="D99" s="269">
        <v>68</v>
      </c>
      <c r="E99" s="304" t="s">
        <v>542</v>
      </c>
      <c r="F99" s="305" t="s">
        <v>405</v>
      </c>
      <c r="G99" s="246" t="s">
        <v>20</v>
      </c>
      <c r="H99" s="3188"/>
      <c r="I99" s="37"/>
      <c r="J99" s="37"/>
      <c r="K99" s="37"/>
      <c r="L99" s="37"/>
      <c r="M99" s="37"/>
      <c r="N99" s="37"/>
      <c r="O99" s="37"/>
      <c r="P99" s="37"/>
      <c r="Q99" s="37"/>
      <c r="R99" s="37"/>
      <c r="S99" s="37"/>
      <c r="T99" s="37"/>
      <c r="U99" s="37"/>
      <c r="V99" s="37"/>
    </row>
    <row r="100" spans="1:22" x14ac:dyDescent="0.2">
      <c r="A100" s="37"/>
      <c r="B100" s="303" t="s">
        <v>256</v>
      </c>
      <c r="C100" s="650"/>
      <c r="D100" s="269">
        <v>70</v>
      </c>
      <c r="E100" s="304" t="s">
        <v>543</v>
      </c>
      <c r="F100" s="305" t="s">
        <v>405</v>
      </c>
      <c r="G100" s="246" t="s">
        <v>439</v>
      </c>
      <c r="H100" s="3188"/>
      <c r="I100" s="37"/>
      <c r="J100" s="37"/>
      <c r="K100" s="37"/>
      <c r="L100" s="37"/>
      <c r="M100" s="37"/>
      <c r="N100" s="37"/>
      <c r="O100" s="37"/>
      <c r="P100" s="37"/>
      <c r="Q100" s="37"/>
      <c r="R100" s="37"/>
      <c r="S100" s="37"/>
      <c r="T100" s="37"/>
      <c r="U100" s="37"/>
      <c r="V100" s="37"/>
    </row>
    <row r="101" spans="1:22" x14ac:dyDescent="0.2">
      <c r="A101" s="37"/>
      <c r="B101" s="303" t="s">
        <v>256</v>
      </c>
      <c r="C101" s="650"/>
      <c r="D101" s="269">
        <v>71</v>
      </c>
      <c r="E101" s="304" t="s">
        <v>544</v>
      </c>
      <c r="F101" s="305" t="s">
        <v>405</v>
      </c>
      <c r="G101" s="246" t="s">
        <v>439</v>
      </c>
      <c r="H101" s="3188"/>
      <c r="I101" s="37"/>
      <c r="J101" s="37"/>
      <c r="K101" s="37"/>
      <c r="L101" s="37"/>
      <c r="M101" s="37"/>
      <c r="N101" s="37"/>
      <c r="O101" s="37"/>
      <c r="P101" s="37"/>
      <c r="Q101" s="37"/>
      <c r="R101" s="37"/>
      <c r="S101" s="37"/>
      <c r="T101" s="37"/>
      <c r="U101" s="37"/>
      <c r="V101" s="37"/>
    </row>
    <row r="102" spans="1:22" x14ac:dyDescent="0.2">
      <c r="A102" s="37"/>
      <c r="B102" s="303" t="s">
        <v>256</v>
      </c>
      <c r="C102" s="650"/>
      <c r="D102" s="269">
        <v>72</v>
      </c>
      <c r="E102" s="304" t="s">
        <v>545</v>
      </c>
      <c r="F102" s="305" t="s">
        <v>405</v>
      </c>
      <c r="G102" s="246" t="s">
        <v>20</v>
      </c>
      <c r="H102" s="3188"/>
      <c r="I102" s="37"/>
      <c r="J102" s="37"/>
      <c r="K102" s="37"/>
      <c r="L102" s="37"/>
      <c r="M102" s="37"/>
      <c r="N102" s="37"/>
      <c r="O102" s="37"/>
      <c r="P102" s="37"/>
      <c r="Q102" s="37"/>
      <c r="R102" s="37"/>
      <c r="S102" s="37"/>
      <c r="T102" s="37"/>
      <c r="U102" s="37"/>
      <c r="V102" s="37"/>
    </row>
    <row r="103" spans="1:22" x14ac:dyDescent="0.2">
      <c r="A103" s="37"/>
      <c r="B103" s="303" t="s">
        <v>256</v>
      </c>
      <c r="C103" s="650"/>
      <c r="D103" s="269">
        <v>73</v>
      </c>
      <c r="E103" s="304" t="s">
        <v>546</v>
      </c>
      <c r="F103" s="305" t="s">
        <v>405</v>
      </c>
      <c r="G103" s="246"/>
      <c r="H103" s="3188"/>
      <c r="I103" s="37"/>
      <c r="J103" s="37"/>
      <c r="K103" s="37"/>
      <c r="L103" s="37"/>
      <c r="M103" s="37"/>
      <c r="N103" s="37"/>
      <c r="O103" s="37"/>
      <c r="P103" s="37"/>
      <c r="Q103" s="37"/>
      <c r="R103" s="37"/>
      <c r="S103" s="37"/>
      <c r="T103" s="37"/>
      <c r="U103" s="37"/>
      <c r="V103" s="37"/>
    </row>
    <row r="104" spans="1:22" x14ac:dyDescent="0.2">
      <c r="A104" s="37"/>
      <c r="B104" s="303" t="s">
        <v>256</v>
      </c>
      <c r="C104" s="650"/>
      <c r="D104" s="269">
        <v>74</v>
      </c>
      <c r="E104" s="304" t="s">
        <v>547</v>
      </c>
      <c r="F104" s="305" t="s">
        <v>405</v>
      </c>
      <c r="G104" s="246"/>
      <c r="H104" s="3188"/>
      <c r="I104" s="37"/>
      <c r="J104" s="37"/>
      <c r="K104" s="37"/>
      <c r="L104" s="37"/>
      <c r="M104" s="37"/>
      <c r="N104" s="37"/>
      <c r="O104" s="37"/>
      <c r="P104" s="37"/>
      <c r="Q104" s="37"/>
      <c r="R104" s="37"/>
      <c r="S104" s="37"/>
      <c r="T104" s="37"/>
      <c r="U104" s="37"/>
      <c r="V104" s="37"/>
    </row>
    <row r="105" spans="1:22" x14ac:dyDescent="0.2">
      <c r="A105" s="37"/>
      <c r="B105" s="303" t="s">
        <v>256</v>
      </c>
      <c r="C105" s="650"/>
      <c r="D105" s="269">
        <v>85</v>
      </c>
      <c r="E105" s="304" t="s">
        <v>548</v>
      </c>
      <c r="F105" s="305" t="s">
        <v>405</v>
      </c>
      <c r="G105" s="246" t="s">
        <v>439</v>
      </c>
      <c r="H105" s="3188"/>
      <c r="I105" s="37"/>
      <c r="J105" s="37"/>
      <c r="K105" s="37"/>
      <c r="L105" s="37"/>
      <c r="M105" s="37"/>
      <c r="N105" s="37"/>
      <c r="O105" s="37"/>
      <c r="P105" s="37"/>
      <c r="Q105" s="37"/>
      <c r="R105" s="37"/>
      <c r="S105" s="37"/>
      <c r="T105" s="37"/>
      <c r="U105" s="37"/>
      <c r="V105" s="37"/>
    </row>
    <row r="106" spans="1:22" x14ac:dyDescent="0.2">
      <c r="A106" s="37"/>
      <c r="B106" s="303" t="s">
        <v>256</v>
      </c>
      <c r="C106" s="650"/>
      <c r="D106" s="269">
        <v>87</v>
      </c>
      <c r="E106" s="304" t="s">
        <v>549</v>
      </c>
      <c r="F106" s="305" t="s">
        <v>405</v>
      </c>
      <c r="G106" s="246" t="s">
        <v>20</v>
      </c>
      <c r="H106" s="3188"/>
      <c r="I106" s="37"/>
      <c r="J106" s="37"/>
      <c r="K106" s="37"/>
      <c r="L106" s="37"/>
      <c r="M106" s="37"/>
      <c r="N106" s="37"/>
      <c r="O106" s="37"/>
      <c r="P106" s="37"/>
      <c r="Q106" s="37"/>
      <c r="R106" s="37"/>
      <c r="S106" s="37"/>
      <c r="T106" s="37"/>
      <c r="U106" s="37"/>
      <c r="V106" s="37"/>
    </row>
    <row r="107" spans="1:22" x14ac:dyDescent="0.2">
      <c r="A107" s="37"/>
      <c r="B107" s="303" t="s">
        <v>256</v>
      </c>
      <c r="C107" s="650"/>
      <c r="D107" s="304">
        <v>88</v>
      </c>
      <c r="E107" s="306" t="s">
        <v>550</v>
      </c>
      <c r="F107" s="306" t="s">
        <v>405</v>
      </c>
      <c r="G107" s="246" t="s">
        <v>20</v>
      </c>
      <c r="H107" s="3188"/>
      <c r="I107" s="37"/>
      <c r="J107" s="37"/>
      <c r="K107" s="37"/>
      <c r="L107" s="37"/>
      <c r="M107" s="37"/>
      <c r="N107" s="37"/>
      <c r="O107" s="37"/>
      <c r="P107" s="37"/>
      <c r="Q107" s="37"/>
      <c r="R107" s="37"/>
      <c r="S107" s="37"/>
      <c r="T107" s="37"/>
      <c r="U107" s="37"/>
      <c r="V107" s="37"/>
    </row>
    <row r="108" spans="1:22" x14ac:dyDescent="0.2">
      <c r="A108" s="37"/>
      <c r="B108" s="307" t="s">
        <v>256</v>
      </c>
      <c r="C108" s="651"/>
      <c r="D108" s="308">
        <v>1</v>
      </c>
      <c r="E108" s="309" t="s">
        <v>497</v>
      </c>
      <c r="F108" s="309" t="s">
        <v>456</v>
      </c>
      <c r="G108" s="253" t="s">
        <v>453</v>
      </c>
      <c r="H108" s="3188"/>
      <c r="I108" s="37"/>
      <c r="J108" s="37"/>
      <c r="K108" s="37"/>
      <c r="L108" s="37"/>
      <c r="M108" s="37"/>
      <c r="N108" s="37"/>
      <c r="O108" s="37"/>
      <c r="P108" s="37"/>
      <c r="Q108" s="37"/>
      <c r="R108" s="37"/>
      <c r="S108" s="37"/>
      <c r="T108" s="37"/>
      <c r="U108" s="37"/>
      <c r="V108" s="37"/>
    </row>
    <row r="109" spans="1:22" x14ac:dyDescent="0.2">
      <c r="A109" s="37"/>
      <c r="B109" s="285" t="s">
        <v>256</v>
      </c>
      <c r="C109" s="652"/>
      <c r="D109" s="274">
        <v>2</v>
      </c>
      <c r="E109" s="286" t="s">
        <v>496</v>
      </c>
      <c r="F109" s="287" t="s">
        <v>456</v>
      </c>
      <c r="G109" s="246" t="s">
        <v>439</v>
      </c>
      <c r="H109" s="3188"/>
      <c r="I109" s="37"/>
      <c r="J109" s="37"/>
      <c r="K109" s="37"/>
      <c r="L109" s="37"/>
      <c r="M109" s="37"/>
      <c r="N109" s="37"/>
      <c r="O109" s="37"/>
      <c r="P109" s="37"/>
      <c r="Q109" s="37"/>
      <c r="R109" s="37"/>
      <c r="S109" s="37"/>
      <c r="T109" s="37"/>
      <c r="U109" s="37"/>
      <c r="V109" s="37"/>
    </row>
    <row r="110" spans="1:22" x14ac:dyDescent="0.2">
      <c r="A110" s="37"/>
      <c r="B110" s="285" t="s">
        <v>256</v>
      </c>
      <c r="C110" s="652"/>
      <c r="D110" s="274">
        <v>3</v>
      </c>
      <c r="E110" s="286" t="s">
        <v>495</v>
      </c>
      <c r="F110" s="287" t="s">
        <v>456</v>
      </c>
      <c r="G110" s="246" t="s">
        <v>453</v>
      </c>
      <c r="H110" s="3188"/>
      <c r="I110" s="37"/>
      <c r="J110" s="37"/>
      <c r="K110" s="37"/>
      <c r="L110" s="37"/>
      <c r="M110" s="37"/>
      <c r="N110" s="37"/>
      <c r="O110" s="37"/>
      <c r="P110" s="37"/>
      <c r="Q110" s="37"/>
      <c r="R110" s="37"/>
      <c r="S110" s="37"/>
      <c r="T110" s="37"/>
      <c r="U110" s="37"/>
      <c r="V110" s="37"/>
    </row>
    <row r="111" spans="1:22" x14ac:dyDescent="0.2">
      <c r="A111" s="37"/>
      <c r="B111" s="285" t="s">
        <v>256</v>
      </c>
      <c r="C111" s="652"/>
      <c r="D111" s="274">
        <v>4</v>
      </c>
      <c r="E111" s="286" t="s">
        <v>498</v>
      </c>
      <c r="F111" s="287" t="s">
        <v>456</v>
      </c>
      <c r="G111" s="246" t="s">
        <v>439</v>
      </c>
      <c r="H111" s="3188"/>
      <c r="I111" s="37"/>
      <c r="J111" s="37"/>
      <c r="K111" s="37"/>
      <c r="L111" s="37"/>
      <c r="M111" s="37"/>
      <c r="N111" s="37"/>
      <c r="O111" s="37"/>
      <c r="P111" s="37"/>
      <c r="Q111" s="37"/>
      <c r="R111" s="37"/>
      <c r="S111" s="37"/>
      <c r="T111" s="37"/>
      <c r="U111" s="37"/>
      <c r="V111" s="37"/>
    </row>
    <row r="112" spans="1:22" x14ac:dyDescent="0.2">
      <c r="A112" s="37"/>
      <c r="B112" s="285" t="s">
        <v>256</v>
      </c>
      <c r="C112" s="652"/>
      <c r="D112" s="274">
        <v>5</v>
      </c>
      <c r="E112" s="286" t="s">
        <v>493</v>
      </c>
      <c r="F112" s="287" t="s">
        <v>456</v>
      </c>
      <c r="G112" s="246" t="s">
        <v>449</v>
      </c>
      <c r="H112" s="3188"/>
      <c r="I112" s="37"/>
      <c r="J112" s="37"/>
      <c r="K112" s="37"/>
      <c r="L112" s="37"/>
      <c r="M112" s="37"/>
      <c r="N112" s="37"/>
      <c r="O112" s="37"/>
      <c r="P112" s="37"/>
      <c r="Q112" s="37"/>
      <c r="R112" s="37"/>
      <c r="S112" s="37"/>
      <c r="T112" s="37"/>
      <c r="U112" s="37"/>
      <c r="V112" s="37"/>
    </row>
    <row r="113" spans="1:22" x14ac:dyDescent="0.2">
      <c r="A113" s="37"/>
      <c r="B113" s="285" t="s">
        <v>256</v>
      </c>
      <c r="C113" s="652"/>
      <c r="D113" s="274">
        <v>6</v>
      </c>
      <c r="E113" s="286" t="s">
        <v>499</v>
      </c>
      <c r="F113" s="287" t="s">
        <v>456</v>
      </c>
      <c r="G113" s="246"/>
      <c r="H113" s="3188"/>
      <c r="I113" s="37"/>
      <c r="J113" s="37"/>
      <c r="K113" s="37"/>
      <c r="L113" s="37"/>
      <c r="M113" s="37"/>
      <c r="N113" s="37"/>
      <c r="O113" s="37"/>
      <c r="P113" s="37"/>
      <c r="Q113" s="37"/>
      <c r="R113" s="37"/>
      <c r="S113" s="37"/>
      <c r="T113" s="37"/>
      <c r="U113" s="37"/>
      <c r="V113" s="37"/>
    </row>
    <row r="114" spans="1:22" x14ac:dyDescent="0.2">
      <c r="A114" s="37"/>
      <c r="B114" s="285" t="s">
        <v>256</v>
      </c>
      <c r="C114" s="652"/>
      <c r="D114" s="274">
        <v>7</v>
      </c>
      <c r="E114" s="286" t="s">
        <v>500</v>
      </c>
      <c r="F114" s="287" t="s">
        <v>456</v>
      </c>
      <c r="G114" s="246" t="s">
        <v>454</v>
      </c>
      <c r="H114" s="3188"/>
      <c r="I114" s="37"/>
      <c r="J114" s="37"/>
      <c r="K114" s="37"/>
      <c r="L114" s="37"/>
      <c r="M114" s="37"/>
      <c r="N114" s="37"/>
      <c r="O114" s="37"/>
      <c r="P114" s="37"/>
      <c r="Q114" s="37"/>
      <c r="R114" s="37"/>
      <c r="S114" s="37"/>
      <c r="T114" s="37"/>
      <c r="U114" s="37"/>
      <c r="V114" s="37"/>
    </row>
    <row r="115" spans="1:22" x14ac:dyDescent="0.2">
      <c r="A115" s="37"/>
      <c r="B115" s="285" t="s">
        <v>256</v>
      </c>
      <c r="C115" s="652"/>
      <c r="D115" s="274">
        <v>8</v>
      </c>
      <c r="E115" s="286" t="s">
        <v>501</v>
      </c>
      <c r="F115" s="287" t="s">
        <v>456</v>
      </c>
      <c r="G115" s="246" t="s">
        <v>453</v>
      </c>
      <c r="H115" s="3188"/>
      <c r="I115" s="37"/>
      <c r="J115" s="37"/>
      <c r="K115" s="37"/>
      <c r="L115" s="37"/>
      <c r="M115" s="37"/>
      <c r="N115" s="37"/>
      <c r="O115" s="37"/>
      <c r="P115" s="37"/>
      <c r="Q115" s="37"/>
      <c r="R115" s="37"/>
      <c r="S115" s="37"/>
      <c r="T115" s="37"/>
      <c r="U115" s="37"/>
      <c r="V115" s="37"/>
    </row>
    <row r="116" spans="1:22" x14ac:dyDescent="0.2">
      <c r="A116" s="37"/>
      <c r="B116" s="285" t="s">
        <v>256</v>
      </c>
      <c r="C116" s="652"/>
      <c r="D116" s="274">
        <v>9</v>
      </c>
      <c r="E116" s="286" t="s">
        <v>502</v>
      </c>
      <c r="F116" s="287" t="s">
        <v>456</v>
      </c>
      <c r="G116" s="246"/>
      <c r="H116" s="3188"/>
      <c r="I116" s="37"/>
      <c r="J116" s="37"/>
      <c r="K116" s="37"/>
      <c r="L116" s="37"/>
      <c r="M116" s="37"/>
      <c r="N116" s="37"/>
      <c r="O116" s="37"/>
      <c r="P116" s="37"/>
      <c r="Q116" s="37"/>
      <c r="R116" s="37"/>
      <c r="S116" s="37"/>
      <c r="T116" s="37"/>
      <c r="U116" s="37"/>
      <c r="V116" s="37"/>
    </row>
    <row r="117" spans="1:22" x14ac:dyDescent="0.2">
      <c r="A117" s="37"/>
      <c r="B117" s="285" t="s">
        <v>256</v>
      </c>
      <c r="C117" s="652"/>
      <c r="D117" s="274">
        <v>10</v>
      </c>
      <c r="E117" s="286" t="s">
        <v>504</v>
      </c>
      <c r="F117" s="287" t="s">
        <v>456</v>
      </c>
      <c r="G117" s="246" t="s">
        <v>439</v>
      </c>
      <c r="H117" s="3188"/>
      <c r="I117" s="37"/>
      <c r="J117" s="37"/>
      <c r="K117" s="37"/>
      <c r="L117" s="37"/>
      <c r="M117" s="37"/>
      <c r="N117" s="37"/>
      <c r="O117" s="37"/>
      <c r="P117" s="37"/>
      <c r="Q117" s="37"/>
      <c r="R117" s="37"/>
      <c r="S117" s="37"/>
      <c r="T117" s="37"/>
      <c r="U117" s="37"/>
      <c r="V117" s="37"/>
    </row>
    <row r="118" spans="1:22" x14ac:dyDescent="0.2">
      <c r="A118" s="37"/>
      <c r="B118" s="285" t="s">
        <v>256</v>
      </c>
      <c r="C118" s="652"/>
      <c r="D118" s="274">
        <v>11</v>
      </c>
      <c r="E118" s="286" t="s">
        <v>505</v>
      </c>
      <c r="F118" s="287" t="s">
        <v>456</v>
      </c>
      <c r="G118" s="246"/>
      <c r="H118" s="3188"/>
      <c r="I118" s="37"/>
      <c r="J118" s="37"/>
      <c r="K118" s="37"/>
      <c r="L118" s="37"/>
      <c r="M118" s="37"/>
      <c r="N118" s="37"/>
      <c r="O118" s="37"/>
      <c r="P118" s="37"/>
      <c r="Q118" s="37"/>
      <c r="R118" s="37"/>
      <c r="S118" s="37"/>
      <c r="T118" s="37"/>
      <c r="U118" s="37"/>
      <c r="V118" s="37"/>
    </row>
    <row r="119" spans="1:22" x14ac:dyDescent="0.2">
      <c r="A119" s="37"/>
      <c r="B119" s="285" t="s">
        <v>256</v>
      </c>
      <c r="C119" s="652"/>
      <c r="D119" s="274">
        <v>12</v>
      </c>
      <c r="E119" s="286" t="s">
        <v>506</v>
      </c>
      <c r="F119" s="287" t="s">
        <v>456</v>
      </c>
      <c r="G119" s="246" t="s">
        <v>439</v>
      </c>
      <c r="H119" s="3188"/>
      <c r="I119" s="37"/>
      <c r="J119" s="37"/>
      <c r="K119" s="37"/>
      <c r="L119" s="37"/>
      <c r="M119" s="37"/>
      <c r="N119" s="37"/>
      <c r="O119" s="37"/>
      <c r="P119" s="37"/>
      <c r="Q119" s="37"/>
      <c r="R119" s="37"/>
      <c r="S119" s="37"/>
      <c r="T119" s="37"/>
      <c r="U119" s="37"/>
      <c r="V119" s="37"/>
    </row>
    <row r="120" spans="1:22" x14ac:dyDescent="0.2">
      <c r="A120" s="37"/>
      <c r="B120" s="285" t="s">
        <v>256</v>
      </c>
      <c r="C120" s="652"/>
      <c r="D120" s="274">
        <v>13</v>
      </c>
      <c r="E120" s="286" t="s">
        <v>507</v>
      </c>
      <c r="F120" s="287" t="s">
        <v>456</v>
      </c>
      <c r="G120" s="246" t="s">
        <v>439</v>
      </c>
      <c r="H120" s="3188"/>
      <c r="I120" s="37"/>
      <c r="J120" s="37"/>
      <c r="K120" s="37"/>
      <c r="L120" s="37"/>
      <c r="M120" s="37"/>
      <c r="N120" s="37"/>
      <c r="O120" s="37"/>
      <c r="P120" s="37"/>
      <c r="Q120" s="37"/>
      <c r="R120" s="37"/>
      <c r="S120" s="37"/>
      <c r="T120" s="37"/>
      <c r="U120" s="37"/>
      <c r="V120" s="37"/>
    </row>
    <row r="121" spans="1:22" x14ac:dyDescent="0.2">
      <c r="A121" s="37"/>
      <c r="B121" s="285" t="s">
        <v>256</v>
      </c>
      <c r="C121" s="652"/>
      <c r="D121" s="274">
        <v>14</v>
      </c>
      <c r="E121" s="286" t="s">
        <v>508</v>
      </c>
      <c r="F121" s="287" t="s">
        <v>456</v>
      </c>
      <c r="G121" s="246" t="s">
        <v>439</v>
      </c>
      <c r="H121" s="3188"/>
      <c r="I121" s="37"/>
      <c r="J121" s="37"/>
      <c r="K121" s="37"/>
      <c r="L121" s="37"/>
      <c r="M121" s="37"/>
      <c r="N121" s="37"/>
      <c r="O121" s="37"/>
      <c r="P121" s="37"/>
      <c r="Q121" s="37"/>
      <c r="R121" s="37"/>
      <c r="S121" s="37"/>
      <c r="T121" s="37"/>
      <c r="U121" s="37"/>
      <c r="V121" s="37"/>
    </row>
    <row r="122" spans="1:22" x14ac:dyDescent="0.2">
      <c r="A122" s="37"/>
      <c r="B122" s="285" t="s">
        <v>256</v>
      </c>
      <c r="C122" s="652"/>
      <c r="D122" s="274">
        <v>17</v>
      </c>
      <c r="E122" s="286" t="s">
        <v>509</v>
      </c>
      <c r="F122" s="287" t="s">
        <v>456</v>
      </c>
      <c r="G122" s="246" t="s">
        <v>439</v>
      </c>
      <c r="H122" s="3188"/>
      <c r="I122" s="37"/>
      <c r="J122" s="37"/>
      <c r="K122" s="37"/>
      <c r="L122" s="37"/>
      <c r="M122" s="37"/>
      <c r="N122" s="37"/>
      <c r="O122" s="37"/>
      <c r="P122" s="37"/>
      <c r="Q122" s="37"/>
      <c r="R122" s="37"/>
      <c r="S122" s="37"/>
      <c r="T122" s="37"/>
      <c r="U122" s="37"/>
      <c r="V122" s="37"/>
    </row>
    <row r="123" spans="1:22" x14ac:dyDescent="0.2">
      <c r="A123" s="37"/>
      <c r="B123" s="285" t="s">
        <v>256</v>
      </c>
      <c r="C123" s="652"/>
      <c r="D123" s="274">
        <v>18</v>
      </c>
      <c r="E123" s="286" t="s">
        <v>510</v>
      </c>
      <c r="F123" s="287" t="s">
        <v>456</v>
      </c>
      <c r="G123" s="246"/>
      <c r="H123" s="3188"/>
      <c r="I123" s="37"/>
      <c r="J123" s="37"/>
      <c r="K123" s="37"/>
      <c r="L123" s="37"/>
      <c r="M123" s="37"/>
      <c r="N123" s="37"/>
      <c r="O123" s="37"/>
      <c r="P123" s="37"/>
      <c r="Q123" s="37"/>
      <c r="R123" s="37"/>
      <c r="S123" s="37"/>
      <c r="T123" s="37"/>
      <c r="U123" s="37"/>
      <c r="V123" s="37"/>
    </row>
    <row r="124" spans="1:22" x14ac:dyDescent="0.2">
      <c r="A124" s="37"/>
      <c r="B124" s="285" t="s">
        <v>256</v>
      </c>
      <c r="C124" s="652"/>
      <c r="D124" s="274">
        <v>19</v>
      </c>
      <c r="E124" s="286" t="s">
        <v>503</v>
      </c>
      <c r="F124" s="287" t="s">
        <v>456</v>
      </c>
      <c r="G124" s="246"/>
      <c r="H124" s="3188"/>
      <c r="I124" s="37"/>
      <c r="J124" s="37"/>
      <c r="K124" s="37"/>
      <c r="L124" s="37"/>
      <c r="M124" s="37"/>
      <c r="N124" s="37"/>
      <c r="O124" s="37"/>
      <c r="P124" s="37"/>
      <c r="Q124" s="37"/>
      <c r="R124" s="37"/>
      <c r="S124" s="37"/>
      <c r="T124" s="37"/>
      <c r="U124" s="37"/>
      <c r="V124" s="37"/>
    </row>
    <row r="125" spans="1:22" x14ac:dyDescent="0.2">
      <c r="A125" s="37"/>
      <c r="B125" s="285" t="s">
        <v>256</v>
      </c>
      <c r="C125" s="652"/>
      <c r="D125" s="274">
        <v>20</v>
      </c>
      <c r="E125" s="286" t="s">
        <v>511</v>
      </c>
      <c r="F125" s="287" t="s">
        <v>456</v>
      </c>
      <c r="G125" s="246" t="s">
        <v>20</v>
      </c>
      <c r="H125" s="3188"/>
      <c r="I125" s="37"/>
      <c r="J125" s="37"/>
      <c r="K125" s="37"/>
      <c r="L125" s="37"/>
      <c r="M125" s="37"/>
      <c r="N125" s="37"/>
      <c r="O125" s="37"/>
      <c r="P125" s="37"/>
      <c r="Q125" s="37"/>
      <c r="R125" s="37"/>
      <c r="S125" s="37"/>
      <c r="T125" s="37"/>
      <c r="U125" s="37"/>
      <c r="V125" s="37"/>
    </row>
    <row r="126" spans="1:22" x14ac:dyDescent="0.2">
      <c r="A126" s="37"/>
      <c r="B126" s="285" t="s">
        <v>256</v>
      </c>
      <c r="C126" s="652"/>
      <c r="D126" s="274">
        <v>21</v>
      </c>
      <c r="E126" s="286" t="s">
        <v>512</v>
      </c>
      <c r="F126" s="287" t="s">
        <v>456</v>
      </c>
      <c r="G126" s="246"/>
      <c r="H126" s="3188"/>
      <c r="I126" s="37"/>
      <c r="J126" s="37"/>
      <c r="K126" s="37"/>
      <c r="L126" s="37"/>
      <c r="M126" s="37"/>
      <c r="N126" s="37"/>
      <c r="O126" s="37"/>
      <c r="P126" s="37"/>
      <c r="Q126" s="37"/>
      <c r="R126" s="37"/>
      <c r="S126" s="37"/>
      <c r="T126" s="37"/>
      <c r="U126" s="37"/>
      <c r="V126" s="37"/>
    </row>
    <row r="127" spans="1:22" x14ac:dyDescent="0.2">
      <c r="A127" s="37"/>
      <c r="B127" s="285" t="s">
        <v>256</v>
      </c>
      <c r="C127" s="652"/>
      <c r="D127" s="274">
        <v>22</v>
      </c>
      <c r="E127" s="286" t="s">
        <v>513</v>
      </c>
      <c r="F127" s="287" t="s">
        <v>456</v>
      </c>
      <c r="G127" s="246" t="s">
        <v>20</v>
      </c>
      <c r="H127" s="3188"/>
      <c r="I127" s="37"/>
      <c r="J127" s="37"/>
      <c r="K127" s="37"/>
      <c r="L127" s="37"/>
      <c r="M127" s="37"/>
      <c r="N127" s="37"/>
      <c r="O127" s="37"/>
      <c r="P127" s="37"/>
      <c r="Q127" s="37"/>
      <c r="R127" s="37"/>
      <c r="S127" s="37"/>
      <c r="T127" s="37"/>
      <c r="U127" s="37"/>
      <c r="V127" s="37"/>
    </row>
    <row r="128" spans="1:22" x14ac:dyDescent="0.2">
      <c r="A128" s="37"/>
      <c r="B128" s="285" t="s">
        <v>256</v>
      </c>
      <c r="C128" s="652"/>
      <c r="D128" s="274">
        <v>23</v>
      </c>
      <c r="E128" s="286" t="s">
        <v>514</v>
      </c>
      <c r="F128" s="287" t="s">
        <v>456</v>
      </c>
      <c r="G128" s="246"/>
      <c r="H128" s="3188"/>
      <c r="I128" s="37"/>
      <c r="J128" s="37"/>
      <c r="K128" s="37"/>
      <c r="L128" s="37"/>
      <c r="M128" s="37"/>
      <c r="N128" s="37"/>
      <c r="O128" s="37"/>
      <c r="P128" s="37"/>
      <c r="Q128" s="37"/>
      <c r="R128" s="37"/>
      <c r="S128" s="37"/>
      <c r="T128" s="37"/>
      <c r="U128" s="37"/>
      <c r="V128" s="37"/>
    </row>
    <row r="129" spans="1:22" x14ac:dyDescent="0.2">
      <c r="A129" s="37"/>
      <c r="B129" s="285" t="s">
        <v>256</v>
      </c>
      <c r="C129" s="652"/>
      <c r="D129" s="274">
        <v>24</v>
      </c>
      <c r="E129" s="286" t="s">
        <v>515</v>
      </c>
      <c r="F129" s="287" t="s">
        <v>456</v>
      </c>
      <c r="G129" s="246"/>
      <c r="H129" s="3188"/>
      <c r="I129" s="37"/>
      <c r="J129" s="37"/>
      <c r="K129" s="37"/>
      <c r="L129" s="37"/>
      <c r="M129" s="37"/>
      <c r="N129" s="37"/>
      <c r="O129" s="37"/>
      <c r="P129" s="37"/>
      <c r="Q129" s="37"/>
      <c r="R129" s="37"/>
      <c r="S129" s="37"/>
      <c r="T129" s="37"/>
      <c r="U129" s="37"/>
      <c r="V129" s="37"/>
    </row>
    <row r="130" spans="1:22" x14ac:dyDescent="0.2">
      <c r="A130" s="37"/>
      <c r="B130" s="285" t="s">
        <v>256</v>
      </c>
      <c r="C130" s="652"/>
      <c r="D130" s="274">
        <v>25</v>
      </c>
      <c r="E130" s="286" t="s">
        <v>516</v>
      </c>
      <c r="F130" s="287" t="s">
        <v>456</v>
      </c>
      <c r="G130" s="246" t="s">
        <v>439</v>
      </c>
      <c r="H130" s="3188"/>
      <c r="I130" s="37"/>
      <c r="J130" s="37"/>
      <c r="K130" s="37"/>
      <c r="L130" s="37"/>
      <c r="M130" s="37"/>
      <c r="N130" s="37"/>
      <c r="O130" s="37"/>
      <c r="P130" s="37"/>
      <c r="Q130" s="37"/>
      <c r="R130" s="37"/>
      <c r="S130" s="37"/>
      <c r="T130" s="37"/>
      <c r="U130" s="37"/>
      <c r="V130" s="37"/>
    </row>
    <row r="131" spans="1:22" x14ac:dyDescent="0.2">
      <c r="A131" s="37"/>
      <c r="B131" s="285" t="s">
        <v>256</v>
      </c>
      <c r="C131" s="652"/>
      <c r="D131" s="274">
        <v>26</v>
      </c>
      <c r="E131" s="286" t="s">
        <v>517</v>
      </c>
      <c r="F131" s="287" t="s">
        <v>456</v>
      </c>
      <c r="G131" s="246" t="s">
        <v>439</v>
      </c>
      <c r="H131" s="3188"/>
      <c r="I131" s="37"/>
      <c r="J131" s="37"/>
      <c r="K131" s="37"/>
      <c r="L131" s="37"/>
      <c r="M131" s="37"/>
      <c r="N131" s="37"/>
      <c r="O131" s="37"/>
      <c r="P131" s="37"/>
      <c r="Q131" s="37"/>
      <c r="R131" s="37"/>
      <c r="S131" s="37"/>
      <c r="T131" s="37"/>
      <c r="U131" s="37"/>
      <c r="V131" s="37"/>
    </row>
    <row r="132" spans="1:22" x14ac:dyDescent="0.2">
      <c r="A132" s="37"/>
      <c r="B132" s="285" t="s">
        <v>256</v>
      </c>
      <c r="C132" s="652"/>
      <c r="D132" s="274">
        <v>27</v>
      </c>
      <c r="E132" s="286" t="s">
        <v>518</v>
      </c>
      <c r="F132" s="287" t="s">
        <v>456</v>
      </c>
      <c r="G132" s="246"/>
      <c r="H132" s="3188"/>
      <c r="I132" s="37"/>
      <c r="J132" s="37"/>
      <c r="K132" s="37"/>
      <c r="L132" s="37"/>
      <c r="M132" s="37"/>
      <c r="N132" s="37"/>
      <c r="O132" s="37"/>
      <c r="P132" s="37"/>
      <c r="Q132" s="37"/>
      <c r="R132" s="37"/>
      <c r="S132" s="37"/>
      <c r="T132" s="37"/>
      <c r="U132" s="37"/>
      <c r="V132" s="37"/>
    </row>
    <row r="133" spans="1:22" x14ac:dyDescent="0.2">
      <c r="A133" s="37"/>
      <c r="B133" s="285" t="s">
        <v>256</v>
      </c>
      <c r="C133" s="652"/>
      <c r="D133" s="274">
        <v>28</v>
      </c>
      <c r="E133" s="286" t="s">
        <v>519</v>
      </c>
      <c r="F133" s="287" t="s">
        <v>456</v>
      </c>
      <c r="G133" s="246" t="s">
        <v>453</v>
      </c>
      <c r="H133" s="3188"/>
      <c r="I133" s="37"/>
      <c r="J133" s="37"/>
      <c r="K133" s="37"/>
      <c r="L133" s="37"/>
      <c r="M133" s="37"/>
      <c r="N133" s="37"/>
      <c r="O133" s="37"/>
      <c r="P133" s="37"/>
      <c r="Q133" s="37"/>
      <c r="R133" s="37"/>
      <c r="S133" s="37"/>
      <c r="T133" s="37"/>
      <c r="U133" s="37"/>
      <c r="V133" s="37"/>
    </row>
    <row r="134" spans="1:22" x14ac:dyDescent="0.2">
      <c r="A134" s="37"/>
      <c r="B134" s="285" t="s">
        <v>256</v>
      </c>
      <c r="C134" s="652"/>
      <c r="D134" s="274">
        <v>30</v>
      </c>
      <c r="E134" s="286" t="s">
        <v>520</v>
      </c>
      <c r="F134" s="287" t="s">
        <v>456</v>
      </c>
      <c r="G134" s="246" t="s">
        <v>439</v>
      </c>
      <c r="H134" s="3188"/>
      <c r="I134" s="37"/>
      <c r="J134" s="37"/>
      <c r="K134" s="37"/>
      <c r="L134" s="37"/>
      <c r="M134" s="37"/>
      <c r="N134" s="37"/>
      <c r="O134" s="37"/>
      <c r="P134" s="37"/>
      <c r="Q134" s="37"/>
      <c r="R134" s="37"/>
      <c r="S134" s="37"/>
      <c r="T134" s="37"/>
      <c r="U134" s="37"/>
      <c r="V134" s="37"/>
    </row>
    <row r="135" spans="1:22" x14ac:dyDescent="0.2">
      <c r="A135" s="37"/>
      <c r="B135" s="285" t="s">
        <v>256</v>
      </c>
      <c r="C135" s="652"/>
      <c r="D135" s="274">
        <v>31</v>
      </c>
      <c r="E135" s="286" t="s">
        <v>521</v>
      </c>
      <c r="F135" s="287" t="s">
        <v>456</v>
      </c>
      <c r="G135" s="246" t="s">
        <v>20</v>
      </c>
      <c r="H135" s="3188"/>
      <c r="I135" s="37"/>
      <c r="J135" s="37"/>
      <c r="K135" s="37"/>
      <c r="L135" s="37"/>
      <c r="M135" s="37"/>
      <c r="N135" s="37"/>
      <c r="O135" s="37"/>
      <c r="P135" s="37"/>
      <c r="Q135" s="37"/>
      <c r="R135" s="37"/>
      <c r="S135" s="37"/>
      <c r="T135" s="37"/>
      <c r="U135" s="37"/>
      <c r="V135" s="37"/>
    </row>
    <row r="136" spans="1:22" x14ac:dyDescent="0.2">
      <c r="A136" s="37"/>
      <c r="B136" s="285" t="s">
        <v>256</v>
      </c>
      <c r="C136" s="652"/>
      <c r="D136" s="274">
        <v>33</v>
      </c>
      <c r="E136" s="286" t="s">
        <v>522</v>
      </c>
      <c r="F136" s="287" t="s">
        <v>456</v>
      </c>
      <c r="G136" s="246" t="s">
        <v>20</v>
      </c>
      <c r="H136" s="3188"/>
      <c r="I136" s="37"/>
      <c r="J136" s="37"/>
      <c r="K136" s="37"/>
      <c r="L136" s="37"/>
      <c r="M136" s="37"/>
      <c r="N136" s="37"/>
      <c r="O136" s="37"/>
      <c r="P136" s="37"/>
      <c r="Q136" s="37"/>
      <c r="R136" s="37"/>
      <c r="S136" s="37"/>
      <c r="T136" s="37"/>
      <c r="U136" s="37"/>
      <c r="V136" s="37"/>
    </row>
    <row r="137" spans="1:22" x14ac:dyDescent="0.2">
      <c r="A137" s="37"/>
      <c r="B137" s="285" t="s">
        <v>256</v>
      </c>
      <c r="C137" s="652"/>
      <c r="D137" s="274">
        <v>34</v>
      </c>
      <c r="E137" s="286" t="s">
        <v>523</v>
      </c>
      <c r="F137" s="287" t="s">
        <v>456</v>
      </c>
      <c r="G137" s="246" t="s">
        <v>20</v>
      </c>
      <c r="H137" s="3188"/>
      <c r="I137" s="37"/>
      <c r="J137" s="37"/>
      <c r="K137" s="37"/>
      <c r="L137" s="37"/>
      <c r="M137" s="37"/>
      <c r="N137" s="37"/>
      <c r="O137" s="37"/>
      <c r="P137" s="37"/>
      <c r="Q137" s="37"/>
      <c r="R137" s="37"/>
      <c r="S137" s="37"/>
      <c r="T137" s="37"/>
      <c r="U137" s="37"/>
      <c r="V137" s="37"/>
    </row>
    <row r="138" spans="1:22" x14ac:dyDescent="0.2">
      <c r="A138" s="37"/>
      <c r="B138" s="285" t="s">
        <v>256</v>
      </c>
      <c r="C138" s="652"/>
      <c r="D138" s="274">
        <v>35</v>
      </c>
      <c r="E138" s="286" t="s">
        <v>496</v>
      </c>
      <c r="F138" s="287" t="s">
        <v>456</v>
      </c>
      <c r="G138" s="246" t="s">
        <v>439</v>
      </c>
      <c r="H138" s="3188"/>
      <c r="I138" s="37"/>
      <c r="J138" s="37"/>
      <c r="K138" s="37"/>
      <c r="L138" s="37"/>
      <c r="M138" s="37"/>
      <c r="N138" s="37"/>
      <c r="O138" s="37"/>
      <c r="P138" s="37"/>
      <c r="Q138" s="37"/>
      <c r="R138" s="37"/>
      <c r="S138" s="37"/>
      <c r="T138" s="37"/>
      <c r="U138" s="37"/>
      <c r="V138" s="37"/>
    </row>
    <row r="139" spans="1:22" x14ac:dyDescent="0.2">
      <c r="A139" s="37"/>
      <c r="B139" s="285" t="s">
        <v>256</v>
      </c>
      <c r="C139" s="652"/>
      <c r="D139" s="274">
        <v>36</v>
      </c>
      <c r="E139" s="286" t="s">
        <v>524</v>
      </c>
      <c r="F139" s="287" t="s">
        <v>456</v>
      </c>
      <c r="G139" s="246" t="s">
        <v>439</v>
      </c>
      <c r="H139" s="3188"/>
      <c r="I139" s="37"/>
      <c r="J139" s="37"/>
      <c r="K139" s="37"/>
      <c r="L139" s="37"/>
      <c r="M139" s="37"/>
      <c r="N139" s="37"/>
      <c r="O139" s="37"/>
      <c r="P139" s="37"/>
      <c r="Q139" s="37"/>
      <c r="R139" s="37"/>
      <c r="S139" s="37"/>
      <c r="T139" s="37"/>
      <c r="U139" s="37"/>
      <c r="V139" s="37"/>
    </row>
    <row r="140" spans="1:22" x14ac:dyDescent="0.2">
      <c r="A140" s="37"/>
      <c r="B140" s="285" t="s">
        <v>256</v>
      </c>
      <c r="C140" s="652"/>
      <c r="D140" s="274">
        <v>37</v>
      </c>
      <c r="E140" s="286" t="s">
        <v>525</v>
      </c>
      <c r="F140" s="287" t="s">
        <v>456</v>
      </c>
      <c r="G140" s="246"/>
      <c r="H140" s="3188"/>
      <c r="I140" s="37"/>
      <c r="J140" s="37"/>
      <c r="K140" s="37"/>
      <c r="L140" s="37"/>
      <c r="M140" s="37"/>
      <c r="N140" s="37"/>
      <c r="O140" s="37"/>
      <c r="P140" s="37"/>
      <c r="Q140" s="37"/>
      <c r="R140" s="37"/>
      <c r="S140" s="37"/>
      <c r="T140" s="37"/>
      <c r="U140" s="37"/>
      <c r="V140" s="37"/>
    </row>
    <row r="141" spans="1:22" x14ac:dyDescent="0.2">
      <c r="A141" s="37"/>
      <c r="B141" s="285" t="s">
        <v>256</v>
      </c>
      <c r="C141" s="652"/>
      <c r="D141" s="274">
        <v>38</v>
      </c>
      <c r="E141" s="286" t="s">
        <v>526</v>
      </c>
      <c r="F141" s="287" t="s">
        <v>456</v>
      </c>
      <c r="G141" s="246" t="s">
        <v>455</v>
      </c>
      <c r="H141" s="3188"/>
      <c r="I141" s="37"/>
      <c r="J141" s="37"/>
      <c r="K141" s="37"/>
      <c r="L141" s="37"/>
      <c r="M141" s="37"/>
      <c r="N141" s="37"/>
      <c r="O141" s="37"/>
      <c r="P141" s="37"/>
      <c r="Q141" s="37"/>
      <c r="R141" s="37"/>
      <c r="S141" s="37"/>
      <c r="T141" s="37"/>
      <c r="U141" s="37"/>
      <c r="V141" s="37"/>
    </row>
    <row r="142" spans="1:22" x14ac:dyDescent="0.2">
      <c r="A142" s="37"/>
      <c r="B142" s="285" t="s">
        <v>256</v>
      </c>
      <c r="C142" s="652"/>
      <c r="D142" s="274">
        <v>39</v>
      </c>
      <c r="E142" s="286" t="s">
        <v>527</v>
      </c>
      <c r="F142" s="287" t="s">
        <v>456</v>
      </c>
      <c r="G142" s="246"/>
      <c r="H142" s="3188"/>
      <c r="I142" s="37"/>
      <c r="J142" s="37"/>
      <c r="K142" s="37"/>
      <c r="L142" s="37"/>
      <c r="M142" s="37"/>
      <c r="N142" s="37"/>
      <c r="O142" s="37"/>
      <c r="P142" s="37"/>
      <c r="Q142" s="37"/>
      <c r="R142" s="37"/>
      <c r="S142" s="37"/>
      <c r="T142" s="37"/>
      <c r="U142" s="37"/>
      <c r="V142" s="37"/>
    </row>
    <row r="143" spans="1:22" x14ac:dyDescent="0.2">
      <c r="A143" s="37"/>
      <c r="B143" s="285" t="s">
        <v>256</v>
      </c>
      <c r="C143" s="652"/>
      <c r="D143" s="274">
        <v>40</v>
      </c>
      <c r="E143" s="286" t="s">
        <v>528</v>
      </c>
      <c r="F143" s="287" t="s">
        <v>456</v>
      </c>
      <c r="G143" s="246" t="s">
        <v>453</v>
      </c>
      <c r="H143" s="3188"/>
      <c r="I143" s="37"/>
      <c r="J143" s="37"/>
      <c r="K143" s="37"/>
      <c r="L143" s="37"/>
      <c r="M143" s="37"/>
      <c r="N143" s="37"/>
      <c r="O143" s="37"/>
      <c r="P143" s="37"/>
      <c r="Q143" s="37"/>
      <c r="R143" s="37"/>
      <c r="S143" s="37"/>
      <c r="T143" s="37"/>
      <c r="U143" s="37"/>
      <c r="V143" s="37"/>
    </row>
    <row r="144" spans="1:22" x14ac:dyDescent="0.2">
      <c r="A144" s="37"/>
      <c r="B144" s="285" t="s">
        <v>256</v>
      </c>
      <c r="C144" s="652"/>
      <c r="D144" s="274">
        <v>41</v>
      </c>
      <c r="E144" s="286" t="s">
        <v>529</v>
      </c>
      <c r="F144" s="287" t="s">
        <v>456</v>
      </c>
      <c r="G144" s="246" t="s">
        <v>439</v>
      </c>
      <c r="H144" s="3188"/>
      <c r="I144" s="37"/>
      <c r="J144" s="37"/>
      <c r="K144" s="37"/>
      <c r="L144" s="37"/>
      <c r="M144" s="37"/>
      <c r="N144" s="37"/>
      <c r="O144" s="37"/>
      <c r="P144" s="37"/>
      <c r="Q144" s="37"/>
      <c r="R144" s="37"/>
      <c r="S144" s="37"/>
      <c r="T144" s="37"/>
      <c r="U144" s="37"/>
      <c r="V144" s="37"/>
    </row>
    <row r="145" spans="1:22" x14ac:dyDescent="0.2">
      <c r="A145" s="37"/>
      <c r="B145" s="285" t="s">
        <v>256</v>
      </c>
      <c r="C145" s="652"/>
      <c r="D145" s="274">
        <v>42</v>
      </c>
      <c r="E145" s="286" t="s">
        <v>530</v>
      </c>
      <c r="F145" s="287" t="s">
        <v>456</v>
      </c>
      <c r="G145" s="246" t="s">
        <v>454</v>
      </c>
      <c r="H145" s="3188"/>
      <c r="I145" s="37"/>
      <c r="J145" s="37"/>
      <c r="K145" s="37"/>
      <c r="L145" s="37"/>
      <c r="M145" s="37"/>
      <c r="N145" s="37"/>
      <c r="O145" s="37"/>
      <c r="P145" s="37"/>
      <c r="Q145" s="37"/>
      <c r="R145" s="37"/>
      <c r="S145" s="37"/>
      <c r="T145" s="37"/>
      <c r="U145" s="37"/>
      <c r="V145" s="37"/>
    </row>
    <row r="146" spans="1:22" x14ac:dyDescent="0.2">
      <c r="A146" s="37"/>
      <c r="B146" s="285" t="s">
        <v>256</v>
      </c>
      <c r="C146" s="652"/>
      <c r="D146" s="274">
        <v>43</v>
      </c>
      <c r="E146" s="286" t="s">
        <v>531</v>
      </c>
      <c r="F146" s="287" t="s">
        <v>456</v>
      </c>
      <c r="G146" s="246" t="s">
        <v>455</v>
      </c>
      <c r="H146" s="3188"/>
      <c r="I146" s="37"/>
      <c r="J146" s="37"/>
      <c r="K146" s="37"/>
      <c r="L146" s="37"/>
      <c r="M146" s="37"/>
      <c r="N146" s="37"/>
      <c r="O146" s="37"/>
      <c r="P146" s="37"/>
      <c r="Q146" s="37"/>
      <c r="R146" s="37"/>
      <c r="S146" s="37"/>
      <c r="T146" s="37"/>
      <c r="U146" s="37"/>
      <c r="V146" s="37"/>
    </row>
    <row r="147" spans="1:22" x14ac:dyDescent="0.2">
      <c r="A147" s="37"/>
      <c r="B147" s="285" t="s">
        <v>256</v>
      </c>
      <c r="C147" s="652"/>
      <c r="D147" s="274">
        <v>44</v>
      </c>
      <c r="E147" s="286" t="s">
        <v>532</v>
      </c>
      <c r="F147" s="287" t="s">
        <v>456</v>
      </c>
      <c r="G147" s="246"/>
      <c r="H147" s="3188"/>
      <c r="I147" s="37"/>
      <c r="J147" s="37"/>
      <c r="K147" s="37"/>
      <c r="L147" s="37"/>
      <c r="M147" s="37"/>
      <c r="N147" s="37"/>
      <c r="O147" s="37"/>
      <c r="P147" s="37"/>
      <c r="Q147" s="37"/>
      <c r="R147" s="37"/>
      <c r="S147" s="37"/>
      <c r="T147" s="37"/>
      <c r="U147" s="37"/>
      <c r="V147" s="37"/>
    </row>
    <row r="148" spans="1:22" x14ac:dyDescent="0.2">
      <c r="A148" s="37"/>
      <c r="B148" s="285" t="s">
        <v>256</v>
      </c>
      <c r="C148" s="652"/>
      <c r="D148" s="274">
        <v>45</v>
      </c>
      <c r="E148" s="286" t="s">
        <v>533</v>
      </c>
      <c r="F148" s="287" t="s">
        <v>456</v>
      </c>
      <c r="G148" s="246"/>
      <c r="H148" s="3188"/>
      <c r="I148" s="37"/>
      <c r="J148" s="37"/>
      <c r="K148" s="37"/>
      <c r="L148" s="37"/>
      <c r="M148" s="37"/>
      <c r="N148" s="37"/>
      <c r="O148" s="37"/>
      <c r="P148" s="37"/>
      <c r="Q148" s="37"/>
      <c r="R148" s="37"/>
      <c r="S148" s="37"/>
      <c r="T148" s="37"/>
      <c r="U148" s="37"/>
      <c r="V148" s="37"/>
    </row>
    <row r="149" spans="1:22" x14ac:dyDescent="0.2">
      <c r="A149" s="37"/>
      <c r="B149" s="285" t="s">
        <v>256</v>
      </c>
      <c r="C149" s="652"/>
      <c r="D149" s="274">
        <v>47</v>
      </c>
      <c r="E149" s="286" t="s">
        <v>534</v>
      </c>
      <c r="F149" s="287" t="s">
        <v>456</v>
      </c>
      <c r="G149" s="246" t="s">
        <v>20</v>
      </c>
      <c r="H149" s="3188"/>
      <c r="I149" s="37"/>
      <c r="J149" s="37"/>
      <c r="K149" s="37"/>
      <c r="L149" s="37"/>
      <c r="M149" s="37"/>
      <c r="N149" s="37"/>
      <c r="O149" s="37"/>
      <c r="P149" s="37"/>
      <c r="Q149" s="37"/>
      <c r="R149" s="37"/>
      <c r="S149" s="37"/>
      <c r="T149" s="37"/>
      <c r="U149" s="37"/>
      <c r="V149" s="37"/>
    </row>
    <row r="150" spans="1:22" x14ac:dyDescent="0.2">
      <c r="A150" s="37"/>
      <c r="B150" s="285" t="s">
        <v>256</v>
      </c>
      <c r="C150" s="652"/>
      <c r="D150" s="274">
        <v>48</v>
      </c>
      <c r="E150" s="286" t="s">
        <v>535</v>
      </c>
      <c r="F150" s="287" t="s">
        <v>456</v>
      </c>
      <c r="G150" s="246" t="s">
        <v>439</v>
      </c>
      <c r="H150" s="3188"/>
      <c r="I150" s="37"/>
      <c r="J150" s="37"/>
      <c r="K150" s="37"/>
      <c r="L150" s="37"/>
      <c r="M150" s="37"/>
      <c r="N150" s="37"/>
      <c r="O150" s="37"/>
      <c r="P150" s="37"/>
      <c r="Q150" s="37"/>
      <c r="R150" s="37"/>
      <c r="S150" s="37"/>
      <c r="T150" s="37"/>
      <c r="U150" s="37"/>
      <c r="V150" s="37"/>
    </row>
    <row r="151" spans="1:22" x14ac:dyDescent="0.2">
      <c r="A151" s="37"/>
      <c r="B151" s="285" t="s">
        <v>256</v>
      </c>
      <c r="C151" s="652"/>
      <c r="D151" s="274">
        <v>49</v>
      </c>
      <c r="E151" s="286" t="s">
        <v>535</v>
      </c>
      <c r="F151" s="287" t="s">
        <v>456</v>
      </c>
      <c r="G151" s="246"/>
      <c r="H151" s="3188"/>
      <c r="I151" s="37"/>
      <c r="J151" s="37"/>
      <c r="K151" s="37"/>
      <c r="L151" s="37"/>
      <c r="M151" s="37"/>
      <c r="N151" s="37"/>
      <c r="O151" s="37"/>
      <c r="P151" s="37"/>
      <c r="Q151" s="37"/>
      <c r="R151" s="37"/>
      <c r="S151" s="37"/>
      <c r="T151" s="37"/>
      <c r="U151" s="37"/>
      <c r="V151" s="37"/>
    </row>
    <row r="152" spans="1:22" x14ac:dyDescent="0.2">
      <c r="A152" s="37"/>
      <c r="B152" s="285" t="s">
        <v>256</v>
      </c>
      <c r="C152" s="652"/>
      <c r="D152" s="274">
        <v>50</v>
      </c>
      <c r="E152" s="286" t="s">
        <v>536</v>
      </c>
      <c r="F152" s="287" t="s">
        <v>456</v>
      </c>
      <c r="G152" s="246"/>
      <c r="H152" s="3188"/>
      <c r="I152" s="37"/>
      <c r="J152" s="37"/>
      <c r="K152" s="37"/>
      <c r="L152" s="37"/>
      <c r="M152" s="37"/>
      <c r="N152" s="37"/>
      <c r="O152" s="37"/>
      <c r="P152" s="37"/>
      <c r="Q152" s="37"/>
      <c r="R152" s="37"/>
      <c r="S152" s="37"/>
      <c r="T152" s="37"/>
      <c r="U152" s="37"/>
      <c r="V152" s="37"/>
    </row>
    <row r="153" spans="1:22" x14ac:dyDescent="0.2">
      <c r="A153" s="37"/>
      <c r="B153" s="285" t="s">
        <v>256</v>
      </c>
      <c r="C153" s="652"/>
      <c r="D153" s="274">
        <v>51</v>
      </c>
      <c r="E153" s="286" t="s">
        <v>537</v>
      </c>
      <c r="F153" s="287" t="s">
        <v>456</v>
      </c>
      <c r="G153" s="246"/>
      <c r="H153" s="3188"/>
      <c r="I153" s="37"/>
      <c r="J153" s="37"/>
      <c r="K153" s="37"/>
      <c r="L153" s="37"/>
      <c r="M153" s="37"/>
      <c r="N153" s="37"/>
      <c r="O153" s="37"/>
      <c r="P153" s="37"/>
      <c r="Q153" s="37"/>
      <c r="R153" s="37"/>
      <c r="S153" s="37"/>
      <c r="T153" s="37"/>
      <c r="U153" s="37"/>
      <c r="V153" s="37"/>
    </row>
    <row r="154" spans="1:22" x14ac:dyDescent="0.2">
      <c r="A154" s="37"/>
      <c r="B154" s="285" t="s">
        <v>256</v>
      </c>
      <c r="C154" s="652"/>
      <c r="D154" s="274">
        <v>52</v>
      </c>
      <c r="E154" s="286" t="s">
        <v>538</v>
      </c>
      <c r="F154" s="287" t="s">
        <v>456</v>
      </c>
      <c r="G154" s="246"/>
      <c r="H154" s="3188"/>
      <c r="I154" s="37"/>
      <c r="J154" s="37"/>
      <c r="K154" s="37"/>
      <c r="L154" s="37"/>
      <c r="M154" s="37"/>
      <c r="N154" s="37"/>
      <c r="O154" s="37"/>
      <c r="P154" s="37"/>
      <c r="Q154" s="37"/>
      <c r="R154" s="37"/>
      <c r="S154" s="37"/>
      <c r="T154" s="37"/>
      <c r="U154" s="37"/>
      <c r="V154" s="37"/>
    </row>
    <row r="155" spans="1:22" x14ac:dyDescent="0.2">
      <c r="A155" s="37"/>
      <c r="B155" s="285" t="s">
        <v>256</v>
      </c>
      <c r="C155" s="652"/>
      <c r="D155" s="274">
        <v>53</v>
      </c>
      <c r="E155" s="286" t="s">
        <v>539</v>
      </c>
      <c r="F155" s="287" t="s">
        <v>456</v>
      </c>
      <c r="G155" s="246"/>
      <c r="H155" s="3188"/>
      <c r="I155" s="37"/>
      <c r="J155" s="37"/>
      <c r="K155" s="37"/>
      <c r="L155" s="37"/>
      <c r="M155" s="37"/>
      <c r="N155" s="37"/>
      <c r="O155" s="37"/>
      <c r="P155" s="37"/>
      <c r="Q155" s="37"/>
      <c r="R155" s="37"/>
      <c r="S155" s="37"/>
      <c r="T155" s="37"/>
      <c r="U155" s="37"/>
      <c r="V155" s="37"/>
    </row>
    <row r="156" spans="1:22" x14ac:dyDescent="0.2">
      <c r="A156" s="37"/>
      <c r="B156" s="285" t="s">
        <v>256</v>
      </c>
      <c r="C156" s="652"/>
      <c r="D156" s="274">
        <v>65</v>
      </c>
      <c r="E156" s="286" t="s">
        <v>540</v>
      </c>
      <c r="F156" s="287" t="s">
        <v>456</v>
      </c>
      <c r="G156" s="246" t="s">
        <v>20</v>
      </c>
      <c r="H156" s="3188"/>
      <c r="I156" s="37"/>
      <c r="J156" s="37"/>
      <c r="K156" s="37"/>
      <c r="L156" s="37"/>
      <c r="M156" s="37"/>
      <c r="N156" s="37"/>
      <c r="O156" s="37"/>
      <c r="P156" s="37"/>
      <c r="Q156" s="37"/>
      <c r="R156" s="37"/>
      <c r="S156" s="37"/>
      <c r="T156" s="37"/>
      <c r="U156" s="37"/>
      <c r="V156" s="37"/>
    </row>
    <row r="157" spans="1:22" x14ac:dyDescent="0.2">
      <c r="A157" s="37"/>
      <c r="B157" s="285" t="s">
        <v>256</v>
      </c>
      <c r="C157" s="652"/>
      <c r="D157" s="274">
        <v>66</v>
      </c>
      <c r="E157" s="286" t="s">
        <v>541</v>
      </c>
      <c r="F157" s="287" t="s">
        <v>456</v>
      </c>
      <c r="G157" s="246" t="s">
        <v>439</v>
      </c>
      <c r="H157" s="3188"/>
      <c r="I157" s="37"/>
      <c r="J157" s="37"/>
      <c r="K157" s="37"/>
      <c r="L157" s="37"/>
      <c r="M157" s="37"/>
      <c r="N157" s="37"/>
      <c r="O157" s="37"/>
      <c r="P157" s="37"/>
      <c r="Q157" s="37"/>
      <c r="R157" s="37"/>
      <c r="S157" s="37"/>
      <c r="T157" s="37"/>
      <c r="U157" s="37"/>
      <c r="V157" s="37"/>
    </row>
    <row r="158" spans="1:22" x14ac:dyDescent="0.2">
      <c r="A158" s="37"/>
      <c r="B158" s="285" t="s">
        <v>256</v>
      </c>
      <c r="C158" s="652"/>
      <c r="D158" s="274">
        <v>68</v>
      </c>
      <c r="E158" s="286" t="s">
        <v>542</v>
      </c>
      <c r="F158" s="287" t="s">
        <v>456</v>
      </c>
      <c r="G158" s="246" t="s">
        <v>20</v>
      </c>
      <c r="H158" s="3188"/>
      <c r="I158" s="37"/>
      <c r="J158" s="37"/>
      <c r="K158" s="37"/>
      <c r="L158" s="37"/>
      <c r="M158" s="37"/>
      <c r="N158" s="37"/>
      <c r="O158" s="37"/>
      <c r="P158" s="37"/>
      <c r="Q158" s="37"/>
      <c r="R158" s="37"/>
      <c r="S158" s="37"/>
      <c r="T158" s="37"/>
      <c r="U158" s="37"/>
      <c r="V158" s="37"/>
    </row>
    <row r="159" spans="1:22" x14ac:dyDescent="0.2">
      <c r="A159" s="37"/>
      <c r="B159" s="285" t="s">
        <v>256</v>
      </c>
      <c r="C159" s="652"/>
      <c r="D159" s="274">
        <v>70</v>
      </c>
      <c r="E159" s="286" t="s">
        <v>543</v>
      </c>
      <c r="F159" s="287" t="s">
        <v>456</v>
      </c>
      <c r="G159" s="246" t="s">
        <v>439</v>
      </c>
      <c r="H159" s="3188"/>
      <c r="I159" s="37"/>
      <c r="J159" s="37"/>
      <c r="K159" s="37"/>
      <c r="L159" s="37"/>
      <c r="M159" s="37"/>
      <c r="N159" s="37"/>
      <c r="O159" s="37"/>
      <c r="P159" s="37"/>
      <c r="Q159" s="37"/>
      <c r="R159" s="37"/>
      <c r="S159" s="37"/>
      <c r="T159" s="37"/>
      <c r="U159" s="37"/>
      <c r="V159" s="37"/>
    </row>
    <row r="160" spans="1:22" x14ac:dyDescent="0.2">
      <c r="A160" s="37"/>
      <c r="B160" s="285" t="s">
        <v>256</v>
      </c>
      <c r="C160" s="652"/>
      <c r="D160" s="274">
        <v>71</v>
      </c>
      <c r="E160" s="286" t="s">
        <v>544</v>
      </c>
      <c r="F160" s="287" t="s">
        <v>456</v>
      </c>
      <c r="G160" s="246" t="s">
        <v>439</v>
      </c>
      <c r="H160" s="3188"/>
      <c r="I160" s="37"/>
      <c r="J160" s="37"/>
      <c r="K160" s="37"/>
      <c r="L160" s="37"/>
      <c r="M160" s="37"/>
      <c r="N160" s="37"/>
      <c r="O160" s="37"/>
      <c r="P160" s="37"/>
      <c r="Q160" s="37"/>
      <c r="R160" s="37"/>
      <c r="S160" s="37"/>
      <c r="T160" s="37"/>
      <c r="U160" s="37"/>
      <c r="V160" s="37"/>
    </row>
    <row r="161" spans="1:22" x14ac:dyDescent="0.2">
      <c r="A161" s="37"/>
      <c r="B161" s="285" t="s">
        <v>256</v>
      </c>
      <c r="C161" s="652"/>
      <c r="D161" s="274">
        <v>72</v>
      </c>
      <c r="E161" s="286" t="s">
        <v>545</v>
      </c>
      <c r="F161" s="287" t="s">
        <v>456</v>
      </c>
      <c r="G161" s="246" t="s">
        <v>20</v>
      </c>
      <c r="H161" s="3188"/>
      <c r="I161" s="37"/>
      <c r="J161" s="37"/>
      <c r="K161" s="37"/>
      <c r="L161" s="37"/>
      <c r="M161" s="37"/>
      <c r="N161" s="37"/>
      <c r="O161" s="37"/>
      <c r="P161" s="37"/>
      <c r="Q161" s="37"/>
      <c r="R161" s="37"/>
      <c r="S161" s="37"/>
      <c r="T161" s="37"/>
      <c r="U161" s="37"/>
      <c r="V161" s="37"/>
    </row>
    <row r="162" spans="1:22" x14ac:dyDescent="0.2">
      <c r="A162" s="37"/>
      <c r="B162" s="285" t="s">
        <v>256</v>
      </c>
      <c r="C162" s="652"/>
      <c r="D162" s="274">
        <v>73</v>
      </c>
      <c r="E162" s="286" t="s">
        <v>546</v>
      </c>
      <c r="F162" s="287" t="s">
        <v>456</v>
      </c>
      <c r="G162" s="246"/>
      <c r="H162" s="3188"/>
      <c r="I162" s="37"/>
      <c r="J162" s="37"/>
      <c r="K162" s="37"/>
      <c r="L162" s="37"/>
      <c r="M162" s="37"/>
      <c r="N162" s="37"/>
      <c r="O162" s="37"/>
      <c r="P162" s="37"/>
      <c r="Q162" s="37"/>
      <c r="R162" s="37"/>
      <c r="S162" s="37"/>
      <c r="T162" s="37"/>
      <c r="U162" s="37"/>
      <c r="V162" s="37"/>
    </row>
    <row r="163" spans="1:22" x14ac:dyDescent="0.2">
      <c r="A163" s="37"/>
      <c r="B163" s="285" t="s">
        <v>256</v>
      </c>
      <c r="C163" s="652"/>
      <c r="D163" s="274">
        <v>74</v>
      </c>
      <c r="E163" s="286" t="s">
        <v>547</v>
      </c>
      <c r="F163" s="287" t="s">
        <v>456</v>
      </c>
      <c r="G163" s="246"/>
      <c r="H163" s="3188"/>
      <c r="I163" s="37"/>
      <c r="J163" s="37"/>
      <c r="K163" s="37"/>
      <c r="L163" s="37"/>
      <c r="M163" s="37"/>
      <c r="N163" s="37"/>
      <c r="O163" s="37"/>
      <c r="P163" s="37"/>
      <c r="Q163" s="37"/>
      <c r="R163" s="37"/>
      <c r="S163" s="37"/>
      <c r="T163" s="37"/>
      <c r="U163" s="37"/>
      <c r="V163" s="37"/>
    </row>
    <row r="164" spans="1:22" x14ac:dyDescent="0.2">
      <c r="A164" s="37"/>
      <c r="B164" s="285" t="s">
        <v>256</v>
      </c>
      <c r="C164" s="652"/>
      <c r="D164" s="274">
        <v>85</v>
      </c>
      <c r="E164" s="286" t="s">
        <v>548</v>
      </c>
      <c r="F164" s="287" t="s">
        <v>456</v>
      </c>
      <c r="G164" s="246" t="s">
        <v>439</v>
      </c>
      <c r="H164" s="3188"/>
      <c r="I164" s="37"/>
      <c r="J164" s="37"/>
      <c r="K164" s="37"/>
      <c r="L164" s="37"/>
      <c r="M164" s="37"/>
      <c r="N164" s="37"/>
      <c r="O164" s="37"/>
      <c r="P164" s="37"/>
      <c r="Q164" s="37"/>
      <c r="R164" s="37"/>
      <c r="S164" s="37"/>
      <c r="T164" s="37"/>
      <c r="U164" s="37"/>
      <c r="V164" s="37"/>
    </row>
    <row r="165" spans="1:22" x14ac:dyDescent="0.2">
      <c r="A165" s="37"/>
      <c r="B165" s="285" t="s">
        <v>256</v>
      </c>
      <c r="C165" s="652"/>
      <c r="D165" s="274">
        <v>87</v>
      </c>
      <c r="E165" s="286" t="s">
        <v>549</v>
      </c>
      <c r="F165" s="287" t="s">
        <v>456</v>
      </c>
      <c r="G165" s="246" t="s">
        <v>20</v>
      </c>
      <c r="H165" s="3188"/>
      <c r="I165" s="37"/>
      <c r="J165" s="37"/>
      <c r="K165" s="37"/>
      <c r="L165" s="37"/>
      <c r="M165" s="37"/>
      <c r="N165" s="37"/>
      <c r="O165" s="37"/>
      <c r="P165" s="37"/>
      <c r="Q165" s="37"/>
      <c r="R165" s="37"/>
      <c r="S165" s="37"/>
      <c r="T165" s="37"/>
      <c r="U165" s="37"/>
      <c r="V165" s="37"/>
    </row>
    <row r="166" spans="1:22" x14ac:dyDescent="0.2">
      <c r="A166" s="37"/>
      <c r="B166" s="285" t="s">
        <v>256</v>
      </c>
      <c r="C166" s="652"/>
      <c r="D166" s="286">
        <v>88</v>
      </c>
      <c r="E166" s="310" t="s">
        <v>550</v>
      </c>
      <c r="F166" s="311" t="s">
        <v>456</v>
      </c>
      <c r="G166" s="246" t="s">
        <v>20</v>
      </c>
      <c r="H166" s="3188"/>
      <c r="I166" s="37"/>
      <c r="J166" s="37"/>
      <c r="K166" s="37"/>
      <c r="L166" s="37"/>
      <c r="M166" s="37"/>
      <c r="N166" s="37"/>
      <c r="O166" s="37"/>
      <c r="P166" s="37"/>
      <c r="Q166" s="37"/>
      <c r="R166" s="37"/>
      <c r="S166" s="37"/>
      <c r="T166" s="37"/>
      <c r="U166" s="37"/>
      <c r="V166" s="37"/>
    </row>
    <row r="167" spans="1:22" x14ac:dyDescent="0.2">
      <c r="A167" s="37"/>
      <c r="B167" s="312" t="s">
        <v>457</v>
      </c>
      <c r="C167" s="653"/>
      <c r="D167" s="313">
        <v>1</v>
      </c>
      <c r="E167" s="314" t="s">
        <v>497</v>
      </c>
      <c r="F167" s="315" t="s">
        <v>405</v>
      </c>
      <c r="G167" s="253" t="s">
        <v>453</v>
      </c>
      <c r="H167" s="3188"/>
      <c r="I167" s="37"/>
      <c r="J167" s="37"/>
      <c r="K167" s="37"/>
      <c r="L167" s="37"/>
      <c r="M167" s="37"/>
      <c r="N167" s="37"/>
      <c r="O167" s="37"/>
      <c r="P167" s="37"/>
      <c r="Q167" s="37"/>
      <c r="R167" s="37"/>
      <c r="S167" s="37"/>
      <c r="T167" s="37"/>
      <c r="U167" s="37"/>
      <c r="V167" s="37"/>
    </row>
    <row r="168" spans="1:22" x14ac:dyDescent="0.2">
      <c r="A168" s="37"/>
      <c r="B168" s="316" t="s">
        <v>457</v>
      </c>
      <c r="C168" s="654"/>
      <c r="D168" s="317">
        <v>2</v>
      </c>
      <c r="E168" s="318" t="s">
        <v>496</v>
      </c>
      <c r="F168" s="319" t="s">
        <v>405</v>
      </c>
      <c r="G168" s="246" t="s">
        <v>439</v>
      </c>
      <c r="H168" s="3188"/>
      <c r="I168" s="37"/>
      <c r="J168" s="37"/>
      <c r="K168" s="37"/>
      <c r="L168" s="37"/>
      <c r="M168" s="37"/>
      <c r="N168" s="37"/>
      <c r="O168" s="37"/>
      <c r="P168" s="37"/>
      <c r="Q168" s="37"/>
      <c r="R168" s="37"/>
      <c r="S168" s="37"/>
      <c r="T168" s="37"/>
      <c r="U168" s="37"/>
      <c r="V168" s="37"/>
    </row>
    <row r="169" spans="1:22" x14ac:dyDescent="0.2">
      <c r="A169" s="37"/>
      <c r="B169" s="316" t="s">
        <v>457</v>
      </c>
      <c r="C169" s="654"/>
      <c r="D169" s="317">
        <v>3</v>
      </c>
      <c r="E169" s="318" t="s">
        <v>495</v>
      </c>
      <c r="F169" s="319" t="s">
        <v>405</v>
      </c>
      <c r="G169" s="246" t="s">
        <v>453</v>
      </c>
      <c r="H169" s="3188"/>
      <c r="I169" s="37"/>
      <c r="J169" s="37"/>
      <c r="K169" s="37"/>
      <c r="L169" s="37"/>
      <c r="M169" s="37"/>
      <c r="N169" s="37"/>
      <c r="O169" s="37"/>
      <c r="P169" s="37"/>
      <c r="Q169" s="37"/>
      <c r="R169" s="37"/>
      <c r="S169" s="37"/>
      <c r="T169" s="37"/>
      <c r="U169" s="37"/>
      <c r="V169" s="37"/>
    </row>
    <row r="170" spans="1:22" x14ac:dyDescent="0.2">
      <c r="A170" s="37"/>
      <c r="B170" s="316" t="s">
        <v>457</v>
      </c>
      <c r="C170" s="654"/>
      <c r="D170" s="317">
        <v>4</v>
      </c>
      <c r="E170" s="318" t="s">
        <v>498</v>
      </c>
      <c r="F170" s="319" t="s">
        <v>405</v>
      </c>
      <c r="G170" s="246" t="s">
        <v>439</v>
      </c>
      <c r="H170" s="3188"/>
      <c r="I170" s="37"/>
      <c r="J170" s="37"/>
      <c r="K170" s="37"/>
      <c r="L170" s="37"/>
      <c r="M170" s="37"/>
      <c r="N170" s="37"/>
      <c r="O170" s="37"/>
      <c r="P170" s="37"/>
      <c r="Q170" s="37"/>
      <c r="R170" s="37"/>
      <c r="S170" s="37"/>
      <c r="T170" s="37"/>
      <c r="U170" s="37"/>
      <c r="V170" s="37"/>
    </row>
    <row r="171" spans="1:22" x14ac:dyDescent="0.2">
      <c r="A171" s="37"/>
      <c r="B171" s="316" t="s">
        <v>457</v>
      </c>
      <c r="C171" s="654"/>
      <c r="D171" s="317">
        <v>5</v>
      </c>
      <c r="E171" s="318" t="s">
        <v>493</v>
      </c>
      <c r="F171" s="319" t="s">
        <v>405</v>
      </c>
      <c r="G171" s="246" t="s">
        <v>449</v>
      </c>
      <c r="H171" s="3188"/>
      <c r="I171" s="37"/>
      <c r="J171" s="37"/>
      <c r="K171" s="37"/>
      <c r="L171" s="37"/>
      <c r="M171" s="37"/>
      <c r="N171" s="37"/>
      <c r="O171" s="37"/>
      <c r="P171" s="37"/>
      <c r="Q171" s="37"/>
      <c r="R171" s="37"/>
      <c r="S171" s="37"/>
      <c r="T171" s="37"/>
      <c r="U171" s="37"/>
      <c r="V171" s="37"/>
    </row>
    <row r="172" spans="1:22" x14ac:dyDescent="0.2">
      <c r="A172" s="37"/>
      <c r="B172" s="316" t="s">
        <v>457</v>
      </c>
      <c r="C172" s="654"/>
      <c r="D172" s="317">
        <v>6</v>
      </c>
      <c r="E172" s="318" t="s">
        <v>499</v>
      </c>
      <c r="F172" s="319" t="s">
        <v>405</v>
      </c>
      <c r="G172" s="246"/>
      <c r="H172" s="3188"/>
      <c r="I172" s="37"/>
      <c r="J172" s="37"/>
      <c r="K172" s="37"/>
      <c r="L172" s="37"/>
      <c r="M172" s="37"/>
      <c r="N172" s="37"/>
      <c r="O172" s="37"/>
      <c r="P172" s="37"/>
      <c r="Q172" s="37"/>
      <c r="R172" s="37"/>
      <c r="S172" s="37"/>
      <c r="T172" s="37"/>
      <c r="U172" s="37"/>
      <c r="V172" s="37"/>
    </row>
    <row r="173" spans="1:22" x14ac:dyDescent="0.2">
      <c r="A173" s="37"/>
      <c r="B173" s="316" t="s">
        <v>457</v>
      </c>
      <c r="C173" s="654"/>
      <c r="D173" s="317">
        <v>7</v>
      </c>
      <c r="E173" s="318" t="s">
        <v>500</v>
      </c>
      <c r="F173" s="319" t="s">
        <v>405</v>
      </c>
      <c r="G173" s="246" t="s">
        <v>454</v>
      </c>
      <c r="H173" s="3188"/>
      <c r="I173" s="37"/>
      <c r="J173" s="37"/>
      <c r="K173" s="37"/>
      <c r="L173" s="37"/>
      <c r="M173" s="37"/>
      <c r="N173" s="37"/>
      <c r="O173" s="37"/>
      <c r="P173" s="37"/>
      <c r="Q173" s="37"/>
      <c r="R173" s="37"/>
      <c r="S173" s="37"/>
      <c r="T173" s="37"/>
      <c r="U173" s="37"/>
      <c r="V173" s="37"/>
    </row>
    <row r="174" spans="1:22" x14ac:dyDescent="0.2">
      <c r="A174" s="37"/>
      <c r="B174" s="316" t="s">
        <v>457</v>
      </c>
      <c r="C174" s="654"/>
      <c r="D174" s="317">
        <v>8</v>
      </c>
      <c r="E174" s="318" t="s">
        <v>501</v>
      </c>
      <c r="F174" s="319" t="s">
        <v>405</v>
      </c>
      <c r="G174" s="246" t="s">
        <v>453</v>
      </c>
      <c r="H174" s="3188"/>
      <c r="I174" s="37"/>
      <c r="J174" s="37"/>
      <c r="K174" s="37"/>
      <c r="L174" s="37"/>
      <c r="M174" s="37"/>
      <c r="N174" s="37"/>
      <c r="O174" s="37"/>
      <c r="P174" s="37"/>
      <c r="Q174" s="37"/>
      <c r="R174" s="37"/>
      <c r="S174" s="37"/>
      <c r="T174" s="37"/>
      <c r="U174" s="37"/>
      <c r="V174" s="37"/>
    </row>
    <row r="175" spans="1:22" x14ac:dyDescent="0.2">
      <c r="A175" s="37"/>
      <c r="B175" s="316" t="s">
        <v>457</v>
      </c>
      <c r="C175" s="654"/>
      <c r="D175" s="317">
        <v>9</v>
      </c>
      <c r="E175" s="318" t="s">
        <v>502</v>
      </c>
      <c r="F175" s="319" t="s">
        <v>405</v>
      </c>
      <c r="G175" s="246"/>
      <c r="H175" s="3188"/>
      <c r="I175" s="37"/>
      <c r="J175" s="37"/>
      <c r="K175" s="37"/>
      <c r="L175" s="37"/>
      <c r="M175" s="37"/>
      <c r="N175" s="37"/>
      <c r="O175" s="37"/>
      <c r="P175" s="37"/>
      <c r="Q175" s="37"/>
      <c r="R175" s="37"/>
      <c r="S175" s="37"/>
      <c r="T175" s="37"/>
      <c r="U175" s="37"/>
      <c r="V175" s="37"/>
    </row>
    <row r="176" spans="1:22" x14ac:dyDescent="0.2">
      <c r="A176" s="37"/>
      <c r="B176" s="316" t="s">
        <v>457</v>
      </c>
      <c r="C176" s="654"/>
      <c r="D176" s="317">
        <v>10</v>
      </c>
      <c r="E176" s="318" t="s">
        <v>504</v>
      </c>
      <c r="F176" s="319" t="s">
        <v>405</v>
      </c>
      <c r="G176" s="246" t="s">
        <v>439</v>
      </c>
      <c r="H176" s="3188"/>
      <c r="I176" s="37"/>
      <c r="J176" s="37"/>
      <c r="K176" s="37"/>
      <c r="L176" s="37"/>
      <c r="M176" s="37"/>
      <c r="N176" s="37"/>
      <c r="O176" s="37"/>
      <c r="P176" s="37"/>
      <c r="Q176" s="37"/>
      <c r="R176" s="37"/>
      <c r="S176" s="37"/>
      <c r="T176" s="37"/>
      <c r="U176" s="37"/>
      <c r="V176" s="37"/>
    </row>
    <row r="177" spans="1:22" x14ac:dyDescent="0.2">
      <c r="A177" s="37"/>
      <c r="B177" s="316" t="s">
        <v>457</v>
      </c>
      <c r="C177" s="654"/>
      <c r="D177" s="317">
        <v>11</v>
      </c>
      <c r="E177" s="318" t="s">
        <v>505</v>
      </c>
      <c r="F177" s="319" t="s">
        <v>405</v>
      </c>
      <c r="G177" s="246"/>
      <c r="H177" s="3188"/>
      <c r="I177" s="37"/>
      <c r="J177" s="37"/>
      <c r="K177" s="37"/>
      <c r="L177" s="37"/>
      <c r="M177" s="37"/>
      <c r="N177" s="37"/>
      <c r="O177" s="37"/>
      <c r="P177" s="37"/>
      <c r="Q177" s="37"/>
      <c r="R177" s="37"/>
      <c r="S177" s="37"/>
      <c r="T177" s="37"/>
      <c r="U177" s="37"/>
      <c r="V177" s="37"/>
    </row>
    <row r="178" spans="1:22" x14ac:dyDescent="0.2">
      <c r="A178" s="37"/>
      <c r="B178" s="316" t="s">
        <v>457</v>
      </c>
      <c r="C178" s="654"/>
      <c r="D178" s="317">
        <v>12</v>
      </c>
      <c r="E178" s="318" t="s">
        <v>506</v>
      </c>
      <c r="F178" s="319" t="s">
        <v>405</v>
      </c>
      <c r="G178" s="246" t="s">
        <v>439</v>
      </c>
      <c r="H178" s="3188"/>
      <c r="I178" s="37"/>
      <c r="J178" s="37"/>
      <c r="K178" s="37"/>
      <c r="L178" s="37"/>
      <c r="M178" s="37"/>
      <c r="N178" s="37"/>
      <c r="O178" s="37"/>
      <c r="P178" s="37"/>
      <c r="Q178" s="37"/>
      <c r="R178" s="37"/>
      <c r="S178" s="37"/>
      <c r="T178" s="37"/>
      <c r="U178" s="37"/>
      <c r="V178" s="37"/>
    </row>
    <row r="179" spans="1:22" x14ac:dyDescent="0.2">
      <c r="A179" s="37"/>
      <c r="B179" s="316" t="s">
        <v>457</v>
      </c>
      <c r="C179" s="654"/>
      <c r="D179" s="317">
        <v>13</v>
      </c>
      <c r="E179" s="318" t="s">
        <v>507</v>
      </c>
      <c r="F179" s="319" t="s">
        <v>405</v>
      </c>
      <c r="G179" s="246" t="s">
        <v>439</v>
      </c>
      <c r="H179" s="3188"/>
      <c r="I179" s="37"/>
      <c r="J179" s="37"/>
      <c r="K179" s="37"/>
      <c r="L179" s="37"/>
      <c r="M179" s="37"/>
      <c r="N179" s="37"/>
      <c r="O179" s="37"/>
      <c r="P179" s="37"/>
      <c r="Q179" s="37"/>
      <c r="R179" s="37"/>
      <c r="S179" s="37"/>
      <c r="T179" s="37"/>
      <c r="U179" s="37"/>
      <c r="V179" s="37"/>
    </row>
    <row r="180" spans="1:22" x14ac:dyDescent="0.2">
      <c r="A180" s="37"/>
      <c r="B180" s="316" t="s">
        <v>457</v>
      </c>
      <c r="C180" s="654"/>
      <c r="D180" s="317">
        <v>14</v>
      </c>
      <c r="E180" s="318" t="s">
        <v>508</v>
      </c>
      <c r="F180" s="319" t="s">
        <v>405</v>
      </c>
      <c r="G180" s="246" t="s">
        <v>439</v>
      </c>
      <c r="H180" s="3188"/>
      <c r="I180" s="37"/>
      <c r="J180" s="37"/>
      <c r="K180" s="37"/>
      <c r="L180" s="37"/>
      <c r="M180" s="37"/>
      <c r="N180" s="37"/>
      <c r="O180" s="37"/>
      <c r="P180" s="37"/>
      <c r="Q180" s="37"/>
      <c r="R180" s="37"/>
      <c r="S180" s="37"/>
      <c r="T180" s="37"/>
      <c r="U180" s="37"/>
      <c r="V180" s="37"/>
    </row>
    <row r="181" spans="1:22" x14ac:dyDescent="0.2">
      <c r="A181" s="37"/>
      <c r="B181" s="316" t="s">
        <v>457</v>
      </c>
      <c r="C181" s="654"/>
      <c r="D181" s="317">
        <v>17</v>
      </c>
      <c r="E181" s="318" t="s">
        <v>509</v>
      </c>
      <c r="F181" s="319" t="s">
        <v>405</v>
      </c>
      <c r="G181" s="246" t="s">
        <v>439</v>
      </c>
      <c r="H181" s="3188"/>
      <c r="I181" s="37"/>
      <c r="J181" s="37"/>
      <c r="K181" s="37"/>
      <c r="L181" s="37"/>
      <c r="M181" s="37"/>
      <c r="N181" s="37"/>
      <c r="O181" s="37"/>
      <c r="P181" s="37"/>
      <c r="Q181" s="37"/>
      <c r="R181" s="37"/>
      <c r="S181" s="37"/>
      <c r="T181" s="37"/>
      <c r="U181" s="37"/>
      <c r="V181" s="37"/>
    </row>
    <row r="182" spans="1:22" x14ac:dyDescent="0.2">
      <c r="A182" s="37"/>
      <c r="B182" s="316" t="s">
        <v>457</v>
      </c>
      <c r="C182" s="654"/>
      <c r="D182" s="317">
        <v>18</v>
      </c>
      <c r="E182" s="318" t="s">
        <v>510</v>
      </c>
      <c r="F182" s="319" t="s">
        <v>405</v>
      </c>
      <c r="G182" s="246"/>
      <c r="H182" s="3188"/>
      <c r="I182" s="37"/>
      <c r="J182" s="37"/>
      <c r="K182" s="37"/>
      <c r="L182" s="37"/>
      <c r="M182" s="37"/>
      <c r="N182" s="37"/>
      <c r="O182" s="37"/>
      <c r="P182" s="37"/>
      <c r="Q182" s="37"/>
      <c r="R182" s="37"/>
      <c r="S182" s="37"/>
      <c r="T182" s="37"/>
      <c r="U182" s="37"/>
      <c r="V182" s="37"/>
    </row>
    <row r="183" spans="1:22" x14ac:dyDescent="0.2">
      <c r="A183" s="37"/>
      <c r="B183" s="316" t="s">
        <v>457</v>
      </c>
      <c r="C183" s="654"/>
      <c r="D183" s="317">
        <v>19</v>
      </c>
      <c r="E183" s="318" t="s">
        <v>503</v>
      </c>
      <c r="F183" s="319" t="s">
        <v>405</v>
      </c>
      <c r="G183" s="246"/>
      <c r="H183" s="3188"/>
      <c r="I183" s="37"/>
      <c r="J183" s="37"/>
      <c r="K183" s="37"/>
      <c r="L183" s="37"/>
      <c r="M183" s="37"/>
      <c r="N183" s="37"/>
      <c r="O183" s="37"/>
      <c r="P183" s="37"/>
      <c r="Q183" s="37"/>
      <c r="R183" s="37"/>
      <c r="S183" s="37"/>
      <c r="T183" s="37"/>
      <c r="U183" s="37"/>
      <c r="V183" s="37"/>
    </row>
    <row r="184" spans="1:22" x14ac:dyDescent="0.2">
      <c r="A184" s="37"/>
      <c r="B184" s="316" t="s">
        <v>457</v>
      </c>
      <c r="C184" s="654"/>
      <c r="D184" s="317">
        <v>20</v>
      </c>
      <c r="E184" s="318" t="s">
        <v>511</v>
      </c>
      <c r="F184" s="319" t="s">
        <v>405</v>
      </c>
      <c r="G184" s="246" t="s">
        <v>20</v>
      </c>
      <c r="H184" s="3188"/>
      <c r="I184" s="37"/>
      <c r="J184" s="37"/>
      <c r="K184" s="37"/>
      <c r="L184" s="37"/>
      <c r="M184" s="37"/>
      <c r="N184" s="37"/>
      <c r="O184" s="37"/>
      <c r="P184" s="37"/>
      <c r="Q184" s="37"/>
      <c r="R184" s="37"/>
      <c r="S184" s="37"/>
      <c r="T184" s="37"/>
      <c r="U184" s="37"/>
      <c r="V184" s="37"/>
    </row>
    <row r="185" spans="1:22" x14ac:dyDescent="0.2">
      <c r="A185" s="37"/>
      <c r="B185" s="316" t="s">
        <v>457</v>
      </c>
      <c r="C185" s="654"/>
      <c r="D185" s="317">
        <v>21</v>
      </c>
      <c r="E185" s="318" t="s">
        <v>512</v>
      </c>
      <c r="F185" s="319" t="s">
        <v>405</v>
      </c>
      <c r="G185" s="246"/>
      <c r="H185" s="3188"/>
      <c r="I185" s="37"/>
      <c r="J185" s="37"/>
      <c r="K185" s="37"/>
      <c r="L185" s="37"/>
      <c r="M185" s="37"/>
      <c r="N185" s="37"/>
      <c r="O185" s="37"/>
      <c r="P185" s="37"/>
      <c r="Q185" s="37"/>
      <c r="R185" s="37"/>
      <c r="S185" s="37"/>
      <c r="T185" s="37"/>
      <c r="U185" s="37"/>
      <c r="V185" s="37"/>
    </row>
    <row r="186" spans="1:22" x14ac:dyDescent="0.2">
      <c r="A186" s="37"/>
      <c r="B186" s="316" t="s">
        <v>457</v>
      </c>
      <c r="C186" s="654"/>
      <c r="D186" s="317">
        <v>22</v>
      </c>
      <c r="E186" s="318" t="s">
        <v>513</v>
      </c>
      <c r="F186" s="319" t="s">
        <v>405</v>
      </c>
      <c r="G186" s="246" t="s">
        <v>20</v>
      </c>
      <c r="H186" s="3188"/>
      <c r="I186" s="37"/>
      <c r="J186" s="37"/>
      <c r="K186" s="37"/>
      <c r="L186" s="37"/>
      <c r="M186" s="37"/>
      <c r="N186" s="37"/>
      <c r="O186" s="37"/>
      <c r="P186" s="37"/>
      <c r="Q186" s="37"/>
      <c r="R186" s="37"/>
      <c r="S186" s="37"/>
      <c r="T186" s="37"/>
      <c r="U186" s="37"/>
      <c r="V186" s="37"/>
    </row>
    <row r="187" spans="1:22" x14ac:dyDescent="0.2">
      <c r="A187" s="37"/>
      <c r="B187" s="316" t="s">
        <v>457</v>
      </c>
      <c r="C187" s="654"/>
      <c r="D187" s="317">
        <v>23</v>
      </c>
      <c r="E187" s="318" t="s">
        <v>514</v>
      </c>
      <c r="F187" s="319" t="s">
        <v>405</v>
      </c>
      <c r="G187" s="246"/>
      <c r="H187" s="3188"/>
      <c r="I187" s="37"/>
      <c r="J187" s="37"/>
      <c r="K187" s="37"/>
      <c r="L187" s="37"/>
      <c r="M187" s="37"/>
      <c r="N187" s="37"/>
      <c r="O187" s="37"/>
      <c r="P187" s="37"/>
      <c r="Q187" s="37"/>
      <c r="R187" s="37"/>
      <c r="S187" s="37"/>
      <c r="T187" s="37"/>
      <c r="U187" s="37"/>
      <c r="V187" s="37"/>
    </row>
    <row r="188" spans="1:22" x14ac:dyDescent="0.2">
      <c r="A188" s="37"/>
      <c r="B188" s="316" t="s">
        <v>457</v>
      </c>
      <c r="C188" s="654"/>
      <c r="D188" s="317">
        <v>24</v>
      </c>
      <c r="E188" s="318" t="s">
        <v>515</v>
      </c>
      <c r="F188" s="319" t="s">
        <v>405</v>
      </c>
      <c r="G188" s="246"/>
      <c r="H188" s="3188"/>
      <c r="I188" s="37"/>
      <c r="J188" s="37"/>
      <c r="K188" s="37"/>
      <c r="L188" s="37"/>
      <c r="M188" s="37"/>
      <c r="N188" s="37"/>
      <c r="O188" s="37"/>
      <c r="P188" s="37"/>
      <c r="Q188" s="37"/>
      <c r="R188" s="37"/>
      <c r="S188" s="37"/>
      <c r="T188" s="37"/>
      <c r="U188" s="37"/>
      <c r="V188" s="37"/>
    </row>
    <row r="189" spans="1:22" x14ac:dyDescent="0.2">
      <c r="A189" s="37"/>
      <c r="B189" s="316" t="s">
        <v>457</v>
      </c>
      <c r="C189" s="654"/>
      <c r="D189" s="317">
        <v>25</v>
      </c>
      <c r="E189" s="318" t="s">
        <v>516</v>
      </c>
      <c r="F189" s="319" t="s">
        <v>405</v>
      </c>
      <c r="G189" s="246" t="s">
        <v>439</v>
      </c>
      <c r="H189" s="3188"/>
      <c r="I189" s="37"/>
      <c r="J189" s="37"/>
      <c r="K189" s="37"/>
      <c r="L189" s="37"/>
      <c r="M189" s="37"/>
      <c r="N189" s="37"/>
      <c r="O189" s="37"/>
      <c r="P189" s="37"/>
      <c r="Q189" s="37"/>
      <c r="R189" s="37"/>
      <c r="S189" s="37"/>
      <c r="T189" s="37"/>
      <c r="U189" s="37"/>
      <c r="V189" s="37"/>
    </row>
    <row r="190" spans="1:22" x14ac:dyDescent="0.2">
      <c r="A190" s="37"/>
      <c r="B190" s="316" t="s">
        <v>457</v>
      </c>
      <c r="C190" s="654"/>
      <c r="D190" s="317">
        <v>26</v>
      </c>
      <c r="E190" s="318" t="s">
        <v>517</v>
      </c>
      <c r="F190" s="319" t="s">
        <v>405</v>
      </c>
      <c r="G190" s="246" t="s">
        <v>439</v>
      </c>
      <c r="H190" s="3188"/>
      <c r="I190" s="37"/>
      <c r="J190" s="37"/>
      <c r="K190" s="37"/>
      <c r="L190" s="37"/>
      <c r="M190" s="37"/>
      <c r="N190" s="37"/>
      <c r="O190" s="37"/>
      <c r="P190" s="37"/>
      <c r="Q190" s="37"/>
      <c r="R190" s="37"/>
      <c r="S190" s="37"/>
      <c r="T190" s="37"/>
      <c r="U190" s="37"/>
      <c r="V190" s="37"/>
    </row>
    <row r="191" spans="1:22" x14ac:dyDescent="0.2">
      <c r="A191" s="37"/>
      <c r="B191" s="316" t="s">
        <v>457</v>
      </c>
      <c r="C191" s="654"/>
      <c r="D191" s="317">
        <v>27</v>
      </c>
      <c r="E191" s="318" t="s">
        <v>518</v>
      </c>
      <c r="F191" s="319" t="s">
        <v>405</v>
      </c>
      <c r="G191" s="246"/>
      <c r="H191" s="3188"/>
      <c r="I191" s="37"/>
      <c r="J191" s="37"/>
      <c r="K191" s="37"/>
      <c r="L191" s="37"/>
      <c r="M191" s="37"/>
      <c r="N191" s="37"/>
      <c r="O191" s="37"/>
      <c r="P191" s="37"/>
      <c r="Q191" s="37"/>
      <c r="R191" s="37"/>
      <c r="S191" s="37"/>
      <c r="T191" s="37"/>
      <c r="U191" s="37"/>
      <c r="V191" s="37"/>
    </row>
    <row r="192" spans="1:22" x14ac:dyDescent="0.2">
      <c r="A192" s="37"/>
      <c r="B192" s="316" t="s">
        <v>457</v>
      </c>
      <c r="C192" s="654"/>
      <c r="D192" s="317">
        <v>28</v>
      </c>
      <c r="E192" s="318" t="s">
        <v>519</v>
      </c>
      <c r="F192" s="319" t="s">
        <v>405</v>
      </c>
      <c r="G192" s="246" t="s">
        <v>453</v>
      </c>
      <c r="H192" s="3188"/>
      <c r="I192" s="37"/>
      <c r="J192" s="37"/>
      <c r="K192" s="37"/>
      <c r="L192" s="37"/>
      <c r="M192" s="37"/>
      <c r="N192" s="37"/>
      <c r="O192" s="37"/>
      <c r="P192" s="37"/>
      <c r="Q192" s="37"/>
      <c r="R192" s="37"/>
      <c r="S192" s="37"/>
      <c r="T192" s="37"/>
      <c r="U192" s="37"/>
      <c r="V192" s="37"/>
    </row>
    <row r="193" spans="1:22" x14ac:dyDescent="0.2">
      <c r="A193" s="37"/>
      <c r="B193" s="316" t="s">
        <v>457</v>
      </c>
      <c r="C193" s="654"/>
      <c r="D193" s="317">
        <v>30</v>
      </c>
      <c r="E193" s="318" t="s">
        <v>520</v>
      </c>
      <c r="F193" s="319" t="s">
        <v>405</v>
      </c>
      <c r="G193" s="246" t="s">
        <v>439</v>
      </c>
      <c r="H193" s="3188"/>
      <c r="I193" s="37"/>
      <c r="J193" s="37"/>
      <c r="K193" s="37"/>
      <c r="L193" s="37"/>
      <c r="M193" s="37"/>
      <c r="N193" s="37"/>
      <c r="O193" s="37"/>
      <c r="P193" s="37"/>
      <c r="Q193" s="37"/>
      <c r="R193" s="37"/>
      <c r="S193" s="37"/>
      <c r="T193" s="37"/>
      <c r="U193" s="37"/>
      <c r="V193" s="37"/>
    </row>
    <row r="194" spans="1:22" x14ac:dyDescent="0.2">
      <c r="A194" s="37"/>
      <c r="B194" s="316" t="s">
        <v>457</v>
      </c>
      <c r="C194" s="654"/>
      <c r="D194" s="317">
        <v>31</v>
      </c>
      <c r="E194" s="318" t="s">
        <v>521</v>
      </c>
      <c r="F194" s="319" t="s">
        <v>405</v>
      </c>
      <c r="G194" s="246" t="s">
        <v>20</v>
      </c>
      <c r="H194" s="3188"/>
      <c r="I194" s="37"/>
      <c r="J194" s="37"/>
      <c r="K194" s="37"/>
      <c r="L194" s="37"/>
      <c r="M194" s="37"/>
      <c r="N194" s="37"/>
      <c r="O194" s="37"/>
      <c r="P194" s="37"/>
      <c r="Q194" s="37"/>
      <c r="R194" s="37"/>
      <c r="S194" s="37"/>
      <c r="T194" s="37"/>
      <c r="U194" s="37"/>
      <c r="V194" s="37"/>
    </row>
    <row r="195" spans="1:22" x14ac:dyDescent="0.2">
      <c r="A195" s="37"/>
      <c r="B195" s="316" t="s">
        <v>457</v>
      </c>
      <c r="C195" s="654"/>
      <c r="D195" s="317">
        <v>33</v>
      </c>
      <c r="E195" s="318" t="s">
        <v>522</v>
      </c>
      <c r="F195" s="319" t="s">
        <v>405</v>
      </c>
      <c r="G195" s="246" t="s">
        <v>20</v>
      </c>
      <c r="H195" s="3188"/>
      <c r="I195" s="37"/>
      <c r="J195" s="37"/>
      <c r="K195" s="37"/>
      <c r="L195" s="37"/>
      <c r="M195" s="37"/>
      <c r="N195" s="37"/>
      <c r="O195" s="37"/>
      <c r="P195" s="37"/>
      <c r="Q195" s="37"/>
      <c r="R195" s="37"/>
      <c r="S195" s="37"/>
      <c r="T195" s="37"/>
      <c r="U195" s="37"/>
      <c r="V195" s="37"/>
    </row>
    <row r="196" spans="1:22" x14ac:dyDescent="0.2">
      <c r="A196" s="37"/>
      <c r="B196" s="316" t="s">
        <v>457</v>
      </c>
      <c r="C196" s="654"/>
      <c r="D196" s="317">
        <v>34</v>
      </c>
      <c r="E196" s="318" t="s">
        <v>523</v>
      </c>
      <c r="F196" s="319" t="s">
        <v>405</v>
      </c>
      <c r="G196" s="246" t="s">
        <v>20</v>
      </c>
      <c r="H196" s="3188"/>
      <c r="I196" s="37"/>
      <c r="J196" s="37"/>
      <c r="K196" s="37"/>
      <c r="L196" s="37"/>
      <c r="M196" s="37"/>
      <c r="N196" s="37"/>
      <c r="O196" s="37"/>
      <c r="P196" s="37"/>
      <c r="Q196" s="37"/>
      <c r="R196" s="37"/>
      <c r="S196" s="37"/>
      <c r="T196" s="37"/>
      <c r="U196" s="37"/>
      <c r="V196" s="37"/>
    </row>
    <row r="197" spans="1:22" x14ac:dyDescent="0.2">
      <c r="A197" s="37"/>
      <c r="B197" s="316" t="s">
        <v>457</v>
      </c>
      <c r="C197" s="654"/>
      <c r="D197" s="317">
        <v>35</v>
      </c>
      <c r="E197" s="318" t="s">
        <v>496</v>
      </c>
      <c r="F197" s="319" t="s">
        <v>405</v>
      </c>
      <c r="G197" s="246" t="s">
        <v>439</v>
      </c>
      <c r="H197" s="3188"/>
      <c r="I197" s="37"/>
      <c r="J197" s="37"/>
      <c r="K197" s="37"/>
      <c r="L197" s="37"/>
      <c r="M197" s="37"/>
      <c r="N197" s="37"/>
      <c r="O197" s="37"/>
      <c r="P197" s="37"/>
      <c r="Q197" s="37"/>
      <c r="R197" s="37"/>
      <c r="S197" s="37"/>
      <c r="T197" s="37"/>
      <c r="U197" s="37"/>
      <c r="V197" s="37"/>
    </row>
    <row r="198" spans="1:22" x14ac:dyDescent="0.2">
      <c r="A198" s="37"/>
      <c r="B198" s="316" t="s">
        <v>457</v>
      </c>
      <c r="C198" s="654"/>
      <c r="D198" s="317">
        <v>36</v>
      </c>
      <c r="E198" s="318" t="s">
        <v>524</v>
      </c>
      <c r="F198" s="319" t="s">
        <v>405</v>
      </c>
      <c r="G198" s="246" t="s">
        <v>439</v>
      </c>
      <c r="H198" s="3188"/>
      <c r="I198" s="37"/>
      <c r="J198" s="37"/>
      <c r="K198" s="37"/>
      <c r="L198" s="37"/>
      <c r="M198" s="37"/>
      <c r="N198" s="37"/>
      <c r="O198" s="37"/>
      <c r="P198" s="37"/>
      <c r="Q198" s="37"/>
      <c r="R198" s="37"/>
      <c r="S198" s="37"/>
      <c r="T198" s="37"/>
      <c r="U198" s="37"/>
      <c r="V198" s="37"/>
    </row>
    <row r="199" spans="1:22" x14ac:dyDescent="0.2">
      <c r="A199" s="37"/>
      <c r="B199" s="316" t="s">
        <v>457</v>
      </c>
      <c r="C199" s="654"/>
      <c r="D199" s="317">
        <v>37</v>
      </c>
      <c r="E199" s="318" t="s">
        <v>525</v>
      </c>
      <c r="F199" s="319" t="s">
        <v>405</v>
      </c>
      <c r="G199" s="246"/>
      <c r="H199" s="3188"/>
      <c r="I199" s="37"/>
      <c r="J199" s="37"/>
      <c r="K199" s="37"/>
      <c r="L199" s="37"/>
      <c r="M199" s="37"/>
      <c r="N199" s="37"/>
      <c r="O199" s="37"/>
      <c r="P199" s="37"/>
      <c r="Q199" s="37"/>
      <c r="R199" s="37"/>
      <c r="S199" s="37"/>
      <c r="T199" s="37"/>
      <c r="U199" s="37"/>
      <c r="V199" s="37"/>
    </row>
    <row r="200" spans="1:22" x14ac:dyDescent="0.2">
      <c r="A200" s="37"/>
      <c r="B200" s="316" t="s">
        <v>457</v>
      </c>
      <c r="C200" s="654"/>
      <c r="D200" s="317">
        <v>38</v>
      </c>
      <c r="E200" s="318" t="s">
        <v>526</v>
      </c>
      <c r="F200" s="319" t="s">
        <v>405</v>
      </c>
      <c r="G200" s="246" t="s">
        <v>455</v>
      </c>
      <c r="H200" s="3188"/>
      <c r="I200" s="37"/>
      <c r="J200" s="37"/>
      <c r="K200" s="37"/>
      <c r="L200" s="37"/>
      <c r="M200" s="37"/>
      <c r="N200" s="37"/>
      <c r="O200" s="37"/>
      <c r="P200" s="37"/>
      <c r="Q200" s="37"/>
      <c r="R200" s="37"/>
      <c r="S200" s="37"/>
      <c r="T200" s="37"/>
      <c r="U200" s="37"/>
      <c r="V200" s="37"/>
    </row>
    <row r="201" spans="1:22" x14ac:dyDescent="0.2">
      <c r="A201" s="37"/>
      <c r="B201" s="316" t="s">
        <v>457</v>
      </c>
      <c r="C201" s="654"/>
      <c r="D201" s="317">
        <v>39</v>
      </c>
      <c r="E201" s="318" t="s">
        <v>527</v>
      </c>
      <c r="F201" s="319" t="s">
        <v>405</v>
      </c>
      <c r="G201" s="246"/>
      <c r="H201" s="3188"/>
      <c r="I201" s="37"/>
      <c r="J201" s="37"/>
      <c r="K201" s="37"/>
      <c r="L201" s="37"/>
      <c r="M201" s="37"/>
      <c r="N201" s="37"/>
      <c r="O201" s="37"/>
      <c r="P201" s="37"/>
      <c r="Q201" s="37"/>
      <c r="R201" s="37"/>
      <c r="S201" s="37"/>
      <c r="T201" s="37"/>
      <c r="U201" s="37"/>
      <c r="V201" s="37"/>
    </row>
    <row r="202" spans="1:22" x14ac:dyDescent="0.2">
      <c r="A202" s="37"/>
      <c r="B202" s="316" t="s">
        <v>457</v>
      </c>
      <c r="C202" s="654"/>
      <c r="D202" s="317">
        <v>40</v>
      </c>
      <c r="E202" s="318" t="s">
        <v>528</v>
      </c>
      <c r="F202" s="319" t="s">
        <v>405</v>
      </c>
      <c r="G202" s="246" t="s">
        <v>453</v>
      </c>
      <c r="H202" s="3188"/>
      <c r="I202" s="37"/>
      <c r="J202" s="37"/>
      <c r="K202" s="37"/>
      <c r="L202" s="37"/>
      <c r="M202" s="37"/>
      <c r="N202" s="37"/>
      <c r="O202" s="37"/>
      <c r="P202" s="37"/>
      <c r="Q202" s="37"/>
      <c r="R202" s="37"/>
      <c r="S202" s="37"/>
      <c r="T202" s="37"/>
      <c r="U202" s="37"/>
      <c r="V202" s="37"/>
    </row>
    <row r="203" spans="1:22" x14ac:dyDescent="0.2">
      <c r="A203" s="37"/>
      <c r="B203" s="316" t="s">
        <v>457</v>
      </c>
      <c r="C203" s="654"/>
      <c r="D203" s="317">
        <v>41</v>
      </c>
      <c r="E203" s="318" t="s">
        <v>529</v>
      </c>
      <c r="F203" s="319" t="s">
        <v>405</v>
      </c>
      <c r="G203" s="246" t="s">
        <v>439</v>
      </c>
      <c r="H203" s="3188"/>
      <c r="I203" s="37"/>
      <c r="J203" s="37"/>
      <c r="K203" s="37"/>
      <c r="L203" s="37"/>
      <c r="M203" s="37"/>
      <c r="N203" s="37"/>
      <c r="O203" s="37"/>
      <c r="P203" s="37"/>
      <c r="Q203" s="37"/>
      <c r="R203" s="37"/>
      <c r="S203" s="37"/>
      <c r="T203" s="37"/>
      <c r="U203" s="37"/>
      <c r="V203" s="37"/>
    </row>
    <row r="204" spans="1:22" x14ac:dyDescent="0.2">
      <c r="A204" s="37"/>
      <c r="B204" s="316" t="s">
        <v>457</v>
      </c>
      <c r="C204" s="654"/>
      <c r="D204" s="317">
        <v>42</v>
      </c>
      <c r="E204" s="318" t="s">
        <v>530</v>
      </c>
      <c r="F204" s="319" t="s">
        <v>405</v>
      </c>
      <c r="G204" s="246" t="s">
        <v>454</v>
      </c>
      <c r="H204" s="3188"/>
      <c r="I204" s="37"/>
      <c r="J204" s="37"/>
      <c r="K204" s="37"/>
      <c r="L204" s="37"/>
      <c r="M204" s="37"/>
      <c r="N204" s="37"/>
      <c r="O204" s="37"/>
      <c r="P204" s="37"/>
      <c r="Q204" s="37"/>
      <c r="R204" s="37"/>
      <c r="S204" s="37"/>
      <c r="T204" s="37"/>
      <c r="U204" s="37"/>
      <c r="V204" s="37"/>
    </row>
    <row r="205" spans="1:22" x14ac:dyDescent="0.2">
      <c r="A205" s="37"/>
      <c r="B205" s="316" t="s">
        <v>457</v>
      </c>
      <c r="C205" s="654"/>
      <c r="D205" s="317">
        <v>43</v>
      </c>
      <c r="E205" s="318" t="s">
        <v>531</v>
      </c>
      <c r="F205" s="319" t="s">
        <v>405</v>
      </c>
      <c r="G205" s="246" t="s">
        <v>455</v>
      </c>
      <c r="H205" s="3188"/>
      <c r="I205" s="37"/>
      <c r="J205" s="37"/>
      <c r="K205" s="37"/>
      <c r="L205" s="37"/>
      <c r="M205" s="37"/>
      <c r="N205" s="37"/>
      <c r="O205" s="37"/>
      <c r="P205" s="37"/>
      <c r="Q205" s="37"/>
      <c r="R205" s="37"/>
      <c r="S205" s="37"/>
      <c r="T205" s="37"/>
      <c r="U205" s="37"/>
      <c r="V205" s="37"/>
    </row>
    <row r="206" spans="1:22" x14ac:dyDescent="0.2">
      <c r="A206" s="37"/>
      <c r="B206" s="316" t="s">
        <v>457</v>
      </c>
      <c r="C206" s="654"/>
      <c r="D206" s="317">
        <v>44</v>
      </c>
      <c r="E206" s="318" t="s">
        <v>532</v>
      </c>
      <c r="F206" s="319" t="s">
        <v>405</v>
      </c>
      <c r="G206" s="246"/>
      <c r="H206" s="3188"/>
      <c r="I206" s="37"/>
      <c r="J206" s="37"/>
      <c r="K206" s="37"/>
      <c r="L206" s="37"/>
      <c r="M206" s="37"/>
      <c r="N206" s="37"/>
      <c r="O206" s="37"/>
      <c r="P206" s="37"/>
      <c r="Q206" s="37"/>
      <c r="R206" s="37"/>
      <c r="S206" s="37"/>
      <c r="T206" s="37"/>
      <c r="U206" s="37"/>
      <c r="V206" s="37"/>
    </row>
    <row r="207" spans="1:22" x14ac:dyDescent="0.2">
      <c r="A207" s="37"/>
      <c r="B207" s="316" t="s">
        <v>457</v>
      </c>
      <c r="C207" s="654"/>
      <c r="D207" s="317">
        <v>45</v>
      </c>
      <c r="E207" s="318" t="s">
        <v>533</v>
      </c>
      <c r="F207" s="319" t="s">
        <v>405</v>
      </c>
      <c r="G207" s="246"/>
      <c r="H207" s="3188"/>
      <c r="I207" s="37"/>
      <c r="J207" s="37"/>
      <c r="K207" s="37"/>
      <c r="L207" s="37"/>
      <c r="M207" s="37"/>
      <c r="N207" s="37"/>
      <c r="O207" s="37"/>
      <c r="P207" s="37"/>
      <c r="Q207" s="37"/>
      <c r="R207" s="37"/>
      <c r="S207" s="37"/>
      <c r="T207" s="37"/>
      <c r="U207" s="37"/>
      <c r="V207" s="37"/>
    </row>
    <row r="208" spans="1:22" x14ac:dyDescent="0.2">
      <c r="A208" s="37"/>
      <c r="B208" s="316" t="s">
        <v>457</v>
      </c>
      <c r="C208" s="654"/>
      <c r="D208" s="317">
        <v>47</v>
      </c>
      <c r="E208" s="318" t="s">
        <v>534</v>
      </c>
      <c r="F208" s="319" t="s">
        <v>405</v>
      </c>
      <c r="G208" s="246" t="s">
        <v>20</v>
      </c>
      <c r="H208" s="3188"/>
      <c r="I208" s="37"/>
      <c r="J208" s="37"/>
      <c r="K208" s="37"/>
      <c r="L208" s="37"/>
      <c r="M208" s="37"/>
      <c r="N208" s="37"/>
      <c r="O208" s="37"/>
      <c r="P208" s="37"/>
      <c r="Q208" s="37"/>
      <c r="R208" s="37"/>
      <c r="S208" s="37"/>
      <c r="T208" s="37"/>
      <c r="U208" s="37"/>
      <c r="V208" s="37"/>
    </row>
    <row r="209" spans="1:22" x14ac:dyDescent="0.2">
      <c r="A209" s="37"/>
      <c r="B209" s="316" t="s">
        <v>457</v>
      </c>
      <c r="C209" s="654"/>
      <c r="D209" s="317">
        <v>48</v>
      </c>
      <c r="E209" s="318" t="s">
        <v>535</v>
      </c>
      <c r="F209" s="319" t="s">
        <v>405</v>
      </c>
      <c r="G209" s="246" t="s">
        <v>439</v>
      </c>
      <c r="H209" s="3188"/>
      <c r="I209" s="37"/>
      <c r="J209" s="37"/>
      <c r="K209" s="37"/>
      <c r="L209" s="37"/>
      <c r="M209" s="37"/>
      <c r="N209" s="37"/>
      <c r="O209" s="37"/>
      <c r="P209" s="37"/>
      <c r="Q209" s="37"/>
      <c r="R209" s="37"/>
      <c r="S209" s="37"/>
      <c r="T209" s="37"/>
      <c r="U209" s="37"/>
      <c r="V209" s="37"/>
    </row>
    <row r="210" spans="1:22" x14ac:dyDescent="0.2">
      <c r="A210" s="37"/>
      <c r="B210" s="316" t="s">
        <v>457</v>
      </c>
      <c r="C210" s="654"/>
      <c r="D210" s="317">
        <v>49</v>
      </c>
      <c r="E210" s="318" t="s">
        <v>535</v>
      </c>
      <c r="F210" s="319" t="s">
        <v>405</v>
      </c>
      <c r="G210" s="246"/>
      <c r="H210" s="3188"/>
      <c r="I210" s="37"/>
      <c r="J210" s="37"/>
      <c r="K210" s="37"/>
      <c r="L210" s="37"/>
      <c r="M210" s="37"/>
      <c r="N210" s="37"/>
      <c r="O210" s="37"/>
      <c r="P210" s="37"/>
      <c r="Q210" s="37"/>
      <c r="R210" s="37"/>
      <c r="S210" s="37"/>
      <c r="T210" s="37"/>
      <c r="U210" s="37"/>
      <c r="V210" s="37"/>
    </row>
    <row r="211" spans="1:22" x14ac:dyDescent="0.2">
      <c r="A211" s="37"/>
      <c r="B211" s="316" t="s">
        <v>457</v>
      </c>
      <c r="C211" s="654"/>
      <c r="D211" s="317">
        <v>50</v>
      </c>
      <c r="E211" s="318" t="s">
        <v>536</v>
      </c>
      <c r="F211" s="319" t="s">
        <v>405</v>
      </c>
      <c r="G211" s="246"/>
      <c r="H211" s="3188"/>
      <c r="I211" s="37"/>
      <c r="J211" s="37"/>
      <c r="K211" s="37"/>
      <c r="L211" s="37"/>
      <c r="M211" s="37"/>
      <c r="N211" s="37"/>
      <c r="O211" s="37"/>
      <c r="P211" s="37"/>
      <c r="Q211" s="37"/>
      <c r="R211" s="37"/>
      <c r="S211" s="37"/>
      <c r="T211" s="37"/>
      <c r="U211" s="37"/>
      <c r="V211" s="37"/>
    </row>
    <row r="212" spans="1:22" x14ac:dyDescent="0.2">
      <c r="A212" s="37"/>
      <c r="B212" s="316" t="s">
        <v>457</v>
      </c>
      <c r="C212" s="654"/>
      <c r="D212" s="317">
        <v>51</v>
      </c>
      <c r="E212" s="318" t="s">
        <v>537</v>
      </c>
      <c r="F212" s="319" t="s">
        <v>405</v>
      </c>
      <c r="G212" s="246"/>
      <c r="H212" s="3188"/>
      <c r="I212" s="37"/>
      <c r="J212" s="37"/>
      <c r="K212" s="37"/>
      <c r="L212" s="37"/>
      <c r="M212" s="37"/>
      <c r="N212" s="37"/>
      <c r="O212" s="37"/>
      <c r="P212" s="37"/>
      <c r="Q212" s="37"/>
      <c r="R212" s="37"/>
      <c r="S212" s="37"/>
      <c r="T212" s="37"/>
      <c r="U212" s="37"/>
      <c r="V212" s="37"/>
    </row>
    <row r="213" spans="1:22" x14ac:dyDescent="0.2">
      <c r="A213" s="37"/>
      <c r="B213" s="316" t="s">
        <v>457</v>
      </c>
      <c r="C213" s="654"/>
      <c r="D213" s="317">
        <v>52</v>
      </c>
      <c r="E213" s="318" t="s">
        <v>538</v>
      </c>
      <c r="F213" s="319" t="s">
        <v>405</v>
      </c>
      <c r="G213" s="246"/>
      <c r="H213" s="3188"/>
      <c r="I213" s="37"/>
      <c r="J213" s="37"/>
      <c r="K213" s="37"/>
      <c r="L213" s="37"/>
      <c r="M213" s="37"/>
      <c r="N213" s="37"/>
      <c r="O213" s="37"/>
      <c r="P213" s="37"/>
      <c r="Q213" s="37"/>
      <c r="R213" s="37"/>
      <c r="S213" s="37"/>
      <c r="T213" s="37"/>
      <c r="U213" s="37"/>
      <c r="V213" s="37"/>
    </row>
    <row r="214" spans="1:22" x14ac:dyDescent="0.2">
      <c r="A214" s="37"/>
      <c r="B214" s="316" t="s">
        <v>457</v>
      </c>
      <c r="C214" s="654"/>
      <c r="D214" s="317">
        <v>53</v>
      </c>
      <c r="E214" s="318" t="s">
        <v>539</v>
      </c>
      <c r="F214" s="319" t="s">
        <v>405</v>
      </c>
      <c r="G214" s="246"/>
      <c r="H214" s="3188"/>
      <c r="I214" s="37"/>
      <c r="J214" s="37"/>
      <c r="K214" s="37"/>
      <c r="L214" s="37"/>
      <c r="M214" s="37"/>
      <c r="N214" s="37"/>
      <c r="O214" s="37"/>
      <c r="P214" s="37"/>
      <c r="Q214" s="37"/>
      <c r="R214" s="37"/>
      <c r="S214" s="37"/>
      <c r="T214" s="37"/>
      <c r="U214" s="37"/>
      <c r="V214" s="37"/>
    </row>
    <row r="215" spans="1:22" x14ac:dyDescent="0.2">
      <c r="A215" s="37"/>
      <c r="B215" s="316" t="s">
        <v>457</v>
      </c>
      <c r="C215" s="654"/>
      <c r="D215" s="317">
        <v>65</v>
      </c>
      <c r="E215" s="318" t="s">
        <v>540</v>
      </c>
      <c r="F215" s="319" t="s">
        <v>405</v>
      </c>
      <c r="G215" s="246" t="s">
        <v>20</v>
      </c>
      <c r="H215" s="3188"/>
      <c r="I215" s="37"/>
      <c r="J215" s="37"/>
      <c r="K215" s="37"/>
      <c r="L215" s="37"/>
      <c r="M215" s="37"/>
      <c r="N215" s="37"/>
      <c r="O215" s="37"/>
      <c r="P215" s="37"/>
      <c r="Q215" s="37"/>
      <c r="R215" s="37"/>
      <c r="S215" s="37"/>
      <c r="T215" s="37"/>
      <c r="U215" s="37"/>
      <c r="V215" s="37"/>
    </row>
    <row r="216" spans="1:22" x14ac:dyDescent="0.2">
      <c r="A216" s="37"/>
      <c r="B216" s="316" t="s">
        <v>457</v>
      </c>
      <c r="C216" s="654"/>
      <c r="D216" s="317">
        <v>66</v>
      </c>
      <c r="E216" s="318" t="s">
        <v>541</v>
      </c>
      <c r="F216" s="319" t="s">
        <v>405</v>
      </c>
      <c r="G216" s="246" t="s">
        <v>439</v>
      </c>
      <c r="H216" s="3188"/>
      <c r="I216" s="37"/>
      <c r="J216" s="37"/>
      <c r="K216" s="37"/>
      <c r="L216" s="37"/>
      <c r="M216" s="37"/>
      <c r="N216" s="37"/>
      <c r="O216" s="37"/>
      <c r="P216" s="37"/>
      <c r="Q216" s="37"/>
      <c r="R216" s="37"/>
      <c r="S216" s="37"/>
      <c r="T216" s="37"/>
      <c r="U216" s="37"/>
      <c r="V216" s="37"/>
    </row>
    <row r="217" spans="1:22" x14ac:dyDescent="0.2">
      <c r="A217" s="37"/>
      <c r="B217" s="316" t="s">
        <v>457</v>
      </c>
      <c r="C217" s="654"/>
      <c r="D217" s="317">
        <v>68</v>
      </c>
      <c r="E217" s="318" t="s">
        <v>542</v>
      </c>
      <c r="F217" s="319" t="s">
        <v>405</v>
      </c>
      <c r="G217" s="246" t="s">
        <v>20</v>
      </c>
      <c r="H217" s="3188"/>
      <c r="I217" s="37"/>
      <c r="J217" s="37"/>
      <c r="K217" s="37"/>
      <c r="L217" s="37"/>
      <c r="M217" s="37"/>
      <c r="N217" s="37"/>
      <c r="O217" s="37"/>
      <c r="P217" s="37"/>
      <c r="Q217" s="37"/>
      <c r="R217" s="37"/>
      <c r="S217" s="37"/>
      <c r="T217" s="37"/>
      <c r="U217" s="37"/>
      <c r="V217" s="37"/>
    </row>
    <row r="218" spans="1:22" x14ac:dyDescent="0.2">
      <c r="A218" s="37"/>
      <c r="B218" s="316" t="s">
        <v>457</v>
      </c>
      <c r="C218" s="654"/>
      <c r="D218" s="317">
        <v>70</v>
      </c>
      <c r="E218" s="318" t="s">
        <v>543</v>
      </c>
      <c r="F218" s="319" t="s">
        <v>405</v>
      </c>
      <c r="G218" s="246" t="s">
        <v>439</v>
      </c>
      <c r="H218" s="3188"/>
      <c r="I218" s="37"/>
      <c r="J218" s="37"/>
      <c r="K218" s="37"/>
      <c r="L218" s="37"/>
      <c r="M218" s="37"/>
      <c r="N218" s="37"/>
      <c r="O218" s="37"/>
      <c r="P218" s="37"/>
      <c r="Q218" s="37"/>
      <c r="R218" s="37"/>
      <c r="S218" s="37"/>
      <c r="T218" s="37"/>
      <c r="U218" s="37"/>
      <c r="V218" s="37"/>
    </row>
    <row r="219" spans="1:22" x14ac:dyDescent="0.2">
      <c r="A219" s="37"/>
      <c r="B219" s="316" t="s">
        <v>457</v>
      </c>
      <c r="C219" s="654"/>
      <c r="D219" s="317">
        <v>71</v>
      </c>
      <c r="E219" s="318" t="s">
        <v>544</v>
      </c>
      <c r="F219" s="319" t="s">
        <v>405</v>
      </c>
      <c r="G219" s="246" t="s">
        <v>439</v>
      </c>
      <c r="H219" s="3188"/>
      <c r="I219" s="37"/>
      <c r="J219" s="37"/>
      <c r="K219" s="37"/>
      <c r="L219" s="37"/>
      <c r="M219" s="37"/>
      <c r="N219" s="37"/>
      <c r="O219" s="37"/>
      <c r="P219" s="37"/>
      <c r="Q219" s="37"/>
      <c r="R219" s="37"/>
      <c r="S219" s="37"/>
      <c r="T219" s="37"/>
      <c r="U219" s="37"/>
      <c r="V219" s="37"/>
    </row>
    <row r="220" spans="1:22" x14ac:dyDescent="0.2">
      <c r="A220" s="37"/>
      <c r="B220" s="316" t="s">
        <v>457</v>
      </c>
      <c r="C220" s="654"/>
      <c r="D220" s="317">
        <v>72</v>
      </c>
      <c r="E220" s="318" t="s">
        <v>545</v>
      </c>
      <c r="F220" s="319" t="s">
        <v>405</v>
      </c>
      <c r="G220" s="246" t="s">
        <v>20</v>
      </c>
      <c r="H220" s="3188"/>
      <c r="I220" s="37"/>
      <c r="J220" s="37"/>
      <c r="K220" s="37"/>
      <c r="L220" s="37"/>
      <c r="M220" s="37"/>
      <c r="N220" s="37"/>
      <c r="O220" s="37"/>
      <c r="P220" s="37"/>
      <c r="Q220" s="37"/>
      <c r="R220" s="37"/>
      <c r="S220" s="37"/>
      <c r="T220" s="37"/>
      <c r="U220" s="37"/>
      <c r="V220" s="37"/>
    </row>
    <row r="221" spans="1:22" x14ac:dyDescent="0.2">
      <c r="A221" s="37"/>
      <c r="B221" s="316" t="s">
        <v>457</v>
      </c>
      <c r="C221" s="654"/>
      <c r="D221" s="317">
        <v>73</v>
      </c>
      <c r="E221" s="318" t="s">
        <v>546</v>
      </c>
      <c r="F221" s="319" t="s">
        <v>405</v>
      </c>
      <c r="G221" s="246"/>
      <c r="H221" s="3188"/>
      <c r="I221" s="37"/>
      <c r="J221" s="37"/>
      <c r="K221" s="37"/>
      <c r="L221" s="37"/>
      <c r="M221" s="37"/>
      <c r="N221" s="37"/>
      <c r="O221" s="37"/>
      <c r="P221" s="37"/>
      <c r="Q221" s="37"/>
      <c r="R221" s="37"/>
      <c r="S221" s="37"/>
      <c r="T221" s="37"/>
      <c r="U221" s="37"/>
      <c r="V221" s="37"/>
    </row>
    <row r="222" spans="1:22" x14ac:dyDescent="0.2">
      <c r="A222" s="37"/>
      <c r="B222" s="316" t="s">
        <v>457</v>
      </c>
      <c r="C222" s="654"/>
      <c r="D222" s="317">
        <v>74</v>
      </c>
      <c r="E222" s="318" t="s">
        <v>547</v>
      </c>
      <c r="F222" s="319" t="s">
        <v>405</v>
      </c>
      <c r="G222" s="246"/>
      <c r="H222" s="3188"/>
      <c r="I222" s="37"/>
      <c r="J222" s="37"/>
      <c r="K222" s="37"/>
      <c r="L222" s="37"/>
      <c r="M222" s="37"/>
      <c r="N222" s="37"/>
      <c r="O222" s="37"/>
      <c r="P222" s="37"/>
      <c r="Q222" s="37"/>
      <c r="R222" s="37"/>
      <c r="S222" s="37"/>
      <c r="T222" s="37"/>
      <c r="U222" s="37"/>
      <c r="V222" s="37"/>
    </row>
    <row r="223" spans="1:22" x14ac:dyDescent="0.2">
      <c r="A223" s="37"/>
      <c r="B223" s="316" t="s">
        <v>457</v>
      </c>
      <c r="C223" s="654"/>
      <c r="D223" s="317">
        <v>85</v>
      </c>
      <c r="E223" s="318" t="s">
        <v>548</v>
      </c>
      <c r="F223" s="319" t="s">
        <v>405</v>
      </c>
      <c r="G223" s="246" t="s">
        <v>439</v>
      </c>
      <c r="H223" s="3188"/>
      <c r="I223" s="37"/>
      <c r="J223" s="37"/>
      <c r="K223" s="37"/>
      <c r="L223" s="37"/>
      <c r="M223" s="37"/>
      <c r="N223" s="37"/>
      <c r="O223" s="37"/>
      <c r="P223" s="37"/>
      <c r="Q223" s="37"/>
      <c r="R223" s="37"/>
      <c r="S223" s="37"/>
      <c r="T223" s="37"/>
      <c r="U223" s="37"/>
      <c r="V223" s="37"/>
    </row>
    <row r="224" spans="1:22" x14ac:dyDescent="0.2">
      <c r="A224" s="37"/>
      <c r="B224" s="316" t="s">
        <v>457</v>
      </c>
      <c r="C224" s="654"/>
      <c r="D224" s="317">
        <v>87</v>
      </c>
      <c r="E224" s="318" t="s">
        <v>549</v>
      </c>
      <c r="F224" s="319" t="s">
        <v>405</v>
      </c>
      <c r="G224" s="246" t="s">
        <v>20</v>
      </c>
      <c r="H224" s="3188"/>
      <c r="I224" s="37"/>
      <c r="J224" s="37"/>
      <c r="K224" s="37"/>
      <c r="L224" s="37"/>
      <c r="M224" s="37"/>
      <c r="N224" s="37"/>
      <c r="O224" s="37"/>
      <c r="P224" s="37"/>
      <c r="Q224" s="37"/>
      <c r="R224" s="37"/>
      <c r="S224" s="37"/>
      <c r="T224" s="37"/>
      <c r="U224" s="37"/>
      <c r="V224" s="37"/>
    </row>
    <row r="225" spans="1:22" x14ac:dyDescent="0.2">
      <c r="A225" s="37"/>
      <c r="B225" s="316" t="s">
        <v>457</v>
      </c>
      <c r="C225" s="654"/>
      <c r="D225" s="318">
        <v>88</v>
      </c>
      <c r="E225" s="320" t="s">
        <v>550</v>
      </c>
      <c r="F225" s="321" t="s">
        <v>405</v>
      </c>
      <c r="G225" s="246" t="s">
        <v>20</v>
      </c>
      <c r="H225" s="3188"/>
      <c r="I225" s="37"/>
      <c r="J225" s="37"/>
      <c r="K225" s="37"/>
      <c r="L225" s="37"/>
      <c r="M225" s="37"/>
      <c r="N225" s="37"/>
      <c r="O225" s="37"/>
      <c r="P225" s="37"/>
      <c r="Q225" s="37"/>
      <c r="R225" s="37"/>
      <c r="S225" s="37"/>
      <c r="T225" s="37"/>
      <c r="U225" s="37"/>
      <c r="V225" s="37"/>
    </row>
    <row r="226" spans="1:22" x14ac:dyDescent="0.2">
      <c r="A226" s="37"/>
      <c r="B226" s="322" t="s">
        <v>458</v>
      </c>
      <c r="C226" s="655"/>
      <c r="D226" s="323">
        <v>1</v>
      </c>
      <c r="E226" s="324" t="s">
        <v>497</v>
      </c>
      <c r="F226" s="325" t="s">
        <v>405</v>
      </c>
      <c r="G226" s="253" t="s">
        <v>453</v>
      </c>
      <c r="H226" s="3188"/>
      <c r="I226" s="37"/>
      <c r="J226" s="37"/>
      <c r="K226" s="37"/>
      <c r="L226" s="37"/>
      <c r="M226" s="37"/>
      <c r="N226" s="37"/>
      <c r="O226" s="37"/>
      <c r="P226" s="37"/>
      <c r="Q226" s="37"/>
      <c r="R226" s="37"/>
      <c r="S226" s="37"/>
      <c r="T226" s="37"/>
      <c r="U226" s="37"/>
      <c r="V226" s="37"/>
    </row>
    <row r="227" spans="1:22" x14ac:dyDescent="0.2">
      <c r="A227" s="37"/>
      <c r="B227" s="280" t="s">
        <v>458</v>
      </c>
      <c r="C227" s="656"/>
      <c r="D227" s="265">
        <v>2</v>
      </c>
      <c r="E227" s="281" t="s">
        <v>496</v>
      </c>
      <c r="F227" s="282" t="s">
        <v>405</v>
      </c>
      <c r="G227" s="246" t="s">
        <v>439</v>
      </c>
      <c r="H227" s="3188"/>
      <c r="I227" s="37"/>
      <c r="J227" s="37"/>
      <c r="K227" s="37"/>
      <c r="L227" s="37"/>
      <c r="M227" s="37"/>
      <c r="N227" s="37"/>
      <c r="O227" s="37"/>
      <c r="P227" s="37"/>
      <c r="Q227" s="37"/>
      <c r="R227" s="37"/>
      <c r="S227" s="37"/>
      <c r="T227" s="37"/>
      <c r="U227" s="37"/>
      <c r="V227" s="37"/>
    </row>
    <row r="228" spans="1:22" x14ac:dyDescent="0.2">
      <c r="A228" s="37"/>
      <c r="B228" s="280" t="s">
        <v>458</v>
      </c>
      <c r="C228" s="656"/>
      <c r="D228" s="265">
        <v>3</v>
      </c>
      <c r="E228" s="281" t="s">
        <v>495</v>
      </c>
      <c r="F228" s="282" t="s">
        <v>405</v>
      </c>
      <c r="G228" s="246" t="s">
        <v>453</v>
      </c>
      <c r="H228" s="3188"/>
      <c r="I228" s="37"/>
      <c r="J228" s="37"/>
      <c r="K228" s="37"/>
      <c r="L228" s="37"/>
      <c r="M228" s="37"/>
      <c r="N228" s="37"/>
      <c r="O228" s="37"/>
      <c r="P228" s="37"/>
      <c r="Q228" s="37"/>
      <c r="R228" s="37"/>
      <c r="S228" s="37"/>
      <c r="T228" s="37"/>
      <c r="U228" s="37"/>
      <c r="V228" s="37"/>
    </row>
    <row r="229" spans="1:22" x14ac:dyDescent="0.2">
      <c r="A229" s="37"/>
      <c r="B229" s="280" t="s">
        <v>458</v>
      </c>
      <c r="C229" s="656"/>
      <c r="D229" s="265">
        <v>4</v>
      </c>
      <c r="E229" s="281" t="s">
        <v>498</v>
      </c>
      <c r="F229" s="282" t="s">
        <v>405</v>
      </c>
      <c r="G229" s="246" t="s">
        <v>439</v>
      </c>
      <c r="H229" s="3188"/>
      <c r="I229" s="37"/>
      <c r="J229" s="37"/>
      <c r="K229" s="37"/>
      <c r="L229" s="37"/>
      <c r="M229" s="37"/>
      <c r="N229" s="37"/>
      <c r="O229" s="37"/>
      <c r="P229" s="37"/>
      <c r="Q229" s="37"/>
      <c r="R229" s="37"/>
      <c r="S229" s="37"/>
      <c r="T229" s="37"/>
      <c r="U229" s="37"/>
      <c r="V229" s="37"/>
    </row>
    <row r="230" spans="1:22" x14ac:dyDescent="0.2">
      <c r="A230" s="37"/>
      <c r="B230" s="280" t="s">
        <v>458</v>
      </c>
      <c r="C230" s="656"/>
      <c r="D230" s="265">
        <v>5</v>
      </c>
      <c r="E230" s="281" t="s">
        <v>493</v>
      </c>
      <c r="F230" s="282" t="s">
        <v>405</v>
      </c>
      <c r="G230" s="246" t="s">
        <v>449</v>
      </c>
      <c r="H230" s="3188"/>
      <c r="I230" s="37"/>
      <c r="J230" s="37"/>
      <c r="K230" s="37"/>
      <c r="L230" s="37"/>
      <c r="M230" s="37"/>
      <c r="N230" s="37"/>
      <c r="O230" s="37"/>
      <c r="P230" s="37"/>
      <c r="Q230" s="37"/>
      <c r="R230" s="37"/>
      <c r="S230" s="37"/>
      <c r="T230" s="37"/>
      <c r="U230" s="37"/>
      <c r="V230" s="37"/>
    </row>
    <row r="231" spans="1:22" x14ac:dyDescent="0.2">
      <c r="A231" s="37"/>
      <c r="B231" s="280" t="s">
        <v>458</v>
      </c>
      <c r="C231" s="656"/>
      <c r="D231" s="265">
        <v>6</v>
      </c>
      <c r="E231" s="281" t="s">
        <v>499</v>
      </c>
      <c r="F231" s="282" t="s">
        <v>405</v>
      </c>
      <c r="G231" s="246"/>
      <c r="H231" s="3188"/>
      <c r="I231" s="37"/>
      <c r="J231" s="37"/>
      <c r="K231" s="37"/>
      <c r="L231" s="37"/>
      <c r="M231" s="37"/>
      <c r="N231" s="37"/>
      <c r="O231" s="37"/>
      <c r="P231" s="37"/>
      <c r="Q231" s="37"/>
      <c r="R231" s="37"/>
      <c r="S231" s="37"/>
      <c r="T231" s="37"/>
      <c r="U231" s="37"/>
      <c r="V231" s="37"/>
    </row>
    <row r="232" spans="1:22" x14ac:dyDescent="0.2">
      <c r="A232" s="37"/>
      <c r="B232" s="280" t="s">
        <v>458</v>
      </c>
      <c r="C232" s="656"/>
      <c r="D232" s="265">
        <v>7</v>
      </c>
      <c r="E232" s="281" t="s">
        <v>500</v>
      </c>
      <c r="F232" s="282" t="s">
        <v>405</v>
      </c>
      <c r="G232" s="246" t="s">
        <v>454</v>
      </c>
      <c r="H232" s="3188"/>
      <c r="I232" s="37"/>
      <c r="J232" s="37"/>
      <c r="K232" s="37"/>
      <c r="L232" s="37"/>
      <c r="M232" s="37"/>
      <c r="N232" s="37"/>
      <c r="O232" s="37"/>
      <c r="P232" s="37"/>
      <c r="Q232" s="37"/>
      <c r="R232" s="37"/>
      <c r="S232" s="37"/>
      <c r="T232" s="37"/>
      <c r="U232" s="37"/>
      <c r="V232" s="37"/>
    </row>
    <row r="233" spans="1:22" x14ac:dyDescent="0.2">
      <c r="A233" s="37"/>
      <c r="B233" s="280" t="s">
        <v>458</v>
      </c>
      <c r="C233" s="656"/>
      <c r="D233" s="265">
        <v>8</v>
      </c>
      <c r="E233" s="281" t="s">
        <v>501</v>
      </c>
      <c r="F233" s="282" t="s">
        <v>405</v>
      </c>
      <c r="G233" s="246" t="s">
        <v>453</v>
      </c>
      <c r="H233" s="3188"/>
      <c r="I233" s="37"/>
      <c r="J233" s="37"/>
      <c r="K233" s="37"/>
      <c r="L233" s="37"/>
      <c r="M233" s="37"/>
      <c r="N233" s="37"/>
      <c r="O233" s="37"/>
      <c r="P233" s="37"/>
      <c r="Q233" s="37"/>
      <c r="R233" s="37"/>
      <c r="S233" s="37"/>
      <c r="T233" s="37"/>
      <c r="U233" s="37"/>
      <c r="V233" s="37"/>
    </row>
    <row r="234" spans="1:22" x14ac:dyDescent="0.2">
      <c r="A234" s="37"/>
      <c r="B234" s="280" t="s">
        <v>458</v>
      </c>
      <c r="C234" s="656"/>
      <c r="D234" s="265">
        <v>9</v>
      </c>
      <c r="E234" s="281" t="s">
        <v>502</v>
      </c>
      <c r="F234" s="282" t="s">
        <v>405</v>
      </c>
      <c r="G234" s="246"/>
      <c r="H234" s="3188"/>
      <c r="I234" s="37"/>
      <c r="J234" s="37"/>
      <c r="K234" s="37"/>
      <c r="L234" s="37"/>
      <c r="M234" s="37"/>
      <c r="N234" s="37"/>
      <c r="O234" s="37"/>
      <c r="P234" s="37"/>
      <c r="Q234" s="37"/>
      <c r="R234" s="37"/>
      <c r="S234" s="37"/>
      <c r="T234" s="37"/>
      <c r="U234" s="37"/>
      <c r="V234" s="37"/>
    </row>
    <row r="235" spans="1:22" x14ac:dyDescent="0.2">
      <c r="A235" s="37"/>
      <c r="B235" s="280" t="s">
        <v>458</v>
      </c>
      <c r="C235" s="656"/>
      <c r="D235" s="265">
        <v>10</v>
      </c>
      <c r="E235" s="281" t="s">
        <v>504</v>
      </c>
      <c r="F235" s="282" t="s">
        <v>405</v>
      </c>
      <c r="G235" s="246" t="s">
        <v>439</v>
      </c>
      <c r="H235" s="3188"/>
      <c r="I235" s="37"/>
      <c r="J235" s="37"/>
      <c r="K235" s="37"/>
      <c r="L235" s="37"/>
      <c r="M235" s="37"/>
      <c r="N235" s="37"/>
      <c r="O235" s="37"/>
      <c r="P235" s="37"/>
      <c r="Q235" s="37"/>
      <c r="R235" s="37"/>
      <c r="S235" s="37"/>
      <c r="T235" s="37"/>
      <c r="U235" s="37"/>
      <c r="V235" s="37"/>
    </row>
    <row r="236" spans="1:22" x14ac:dyDescent="0.2">
      <c r="A236" s="37"/>
      <c r="B236" s="280" t="s">
        <v>458</v>
      </c>
      <c r="C236" s="656"/>
      <c r="D236" s="265">
        <v>11</v>
      </c>
      <c r="E236" s="281" t="s">
        <v>505</v>
      </c>
      <c r="F236" s="282" t="s">
        <v>405</v>
      </c>
      <c r="G236" s="246"/>
      <c r="H236" s="3188"/>
      <c r="I236" s="37"/>
      <c r="J236" s="37"/>
      <c r="K236" s="37"/>
      <c r="L236" s="37"/>
      <c r="M236" s="37"/>
      <c r="N236" s="37"/>
      <c r="O236" s="37"/>
      <c r="P236" s="37"/>
      <c r="Q236" s="37"/>
      <c r="R236" s="37"/>
      <c r="S236" s="37"/>
      <c r="T236" s="37"/>
      <c r="U236" s="37"/>
      <c r="V236" s="37"/>
    </row>
    <row r="237" spans="1:22" x14ac:dyDescent="0.2">
      <c r="A237" s="37"/>
      <c r="B237" s="280" t="s">
        <v>458</v>
      </c>
      <c r="C237" s="656"/>
      <c r="D237" s="265">
        <v>12</v>
      </c>
      <c r="E237" s="281" t="s">
        <v>506</v>
      </c>
      <c r="F237" s="282" t="s">
        <v>405</v>
      </c>
      <c r="G237" s="246" t="s">
        <v>439</v>
      </c>
      <c r="H237" s="3188"/>
      <c r="I237" s="37"/>
      <c r="J237" s="37"/>
      <c r="K237" s="37"/>
      <c r="L237" s="37"/>
      <c r="M237" s="37"/>
      <c r="N237" s="37"/>
      <c r="O237" s="37"/>
      <c r="P237" s="37"/>
      <c r="Q237" s="37"/>
      <c r="R237" s="37"/>
      <c r="S237" s="37"/>
      <c r="T237" s="37"/>
      <c r="U237" s="37"/>
      <c r="V237" s="37"/>
    </row>
    <row r="238" spans="1:22" x14ac:dyDescent="0.2">
      <c r="A238" s="37"/>
      <c r="B238" s="280" t="s">
        <v>458</v>
      </c>
      <c r="C238" s="656"/>
      <c r="D238" s="265">
        <v>13</v>
      </c>
      <c r="E238" s="281" t="s">
        <v>507</v>
      </c>
      <c r="F238" s="282" t="s">
        <v>405</v>
      </c>
      <c r="G238" s="246" t="s">
        <v>439</v>
      </c>
      <c r="H238" s="3188"/>
      <c r="I238" s="37"/>
      <c r="J238" s="37"/>
      <c r="K238" s="37"/>
      <c r="L238" s="37"/>
      <c r="M238" s="37"/>
      <c r="N238" s="37"/>
      <c r="O238" s="37"/>
      <c r="P238" s="37"/>
      <c r="Q238" s="37"/>
      <c r="R238" s="37"/>
      <c r="S238" s="37"/>
      <c r="T238" s="37"/>
      <c r="U238" s="37"/>
      <c r="V238" s="37"/>
    </row>
    <row r="239" spans="1:22" x14ac:dyDescent="0.2">
      <c r="A239" s="37"/>
      <c r="B239" s="280" t="s">
        <v>458</v>
      </c>
      <c r="C239" s="656"/>
      <c r="D239" s="265">
        <v>14</v>
      </c>
      <c r="E239" s="281" t="s">
        <v>508</v>
      </c>
      <c r="F239" s="282" t="s">
        <v>405</v>
      </c>
      <c r="G239" s="246" t="s">
        <v>439</v>
      </c>
      <c r="H239" s="3188"/>
      <c r="I239" s="37"/>
      <c r="J239" s="37"/>
      <c r="K239" s="37"/>
      <c r="L239" s="37"/>
      <c r="M239" s="37"/>
      <c r="N239" s="37"/>
      <c r="O239" s="37"/>
      <c r="P239" s="37"/>
      <c r="Q239" s="37"/>
      <c r="R239" s="37"/>
      <c r="S239" s="37"/>
      <c r="T239" s="37"/>
      <c r="U239" s="37"/>
      <c r="V239" s="37"/>
    </row>
    <row r="240" spans="1:22" x14ac:dyDescent="0.2">
      <c r="A240" s="37"/>
      <c r="B240" s="280" t="s">
        <v>458</v>
      </c>
      <c r="C240" s="656"/>
      <c r="D240" s="265">
        <v>17</v>
      </c>
      <c r="E240" s="281" t="s">
        <v>509</v>
      </c>
      <c r="F240" s="282" t="s">
        <v>405</v>
      </c>
      <c r="G240" s="246" t="s">
        <v>439</v>
      </c>
      <c r="H240" s="3188"/>
      <c r="I240" s="37"/>
      <c r="J240" s="37"/>
      <c r="K240" s="37"/>
      <c r="L240" s="37"/>
      <c r="M240" s="37"/>
      <c r="N240" s="37"/>
      <c r="O240" s="37"/>
      <c r="P240" s="37"/>
      <c r="Q240" s="37"/>
      <c r="R240" s="37"/>
      <c r="S240" s="37"/>
      <c r="T240" s="37"/>
      <c r="U240" s="37"/>
      <c r="V240" s="37"/>
    </row>
    <row r="241" spans="1:22" x14ac:dyDescent="0.2">
      <c r="A241" s="37"/>
      <c r="B241" s="280" t="s">
        <v>458</v>
      </c>
      <c r="C241" s="656"/>
      <c r="D241" s="265">
        <v>18</v>
      </c>
      <c r="E241" s="281" t="s">
        <v>510</v>
      </c>
      <c r="F241" s="282" t="s">
        <v>405</v>
      </c>
      <c r="G241" s="246"/>
      <c r="H241" s="3188"/>
      <c r="I241" s="37"/>
      <c r="J241" s="37"/>
      <c r="K241" s="37"/>
      <c r="L241" s="37"/>
      <c r="M241" s="37"/>
      <c r="N241" s="37"/>
      <c r="O241" s="37"/>
      <c r="P241" s="37"/>
      <c r="Q241" s="37"/>
      <c r="R241" s="37"/>
      <c r="S241" s="37"/>
      <c r="T241" s="37"/>
      <c r="U241" s="37"/>
      <c r="V241" s="37"/>
    </row>
    <row r="242" spans="1:22" x14ac:dyDescent="0.2">
      <c r="A242" s="37"/>
      <c r="B242" s="280" t="s">
        <v>458</v>
      </c>
      <c r="C242" s="656"/>
      <c r="D242" s="265">
        <v>19</v>
      </c>
      <c r="E242" s="281" t="s">
        <v>503</v>
      </c>
      <c r="F242" s="282" t="s">
        <v>405</v>
      </c>
      <c r="G242" s="246"/>
      <c r="H242" s="3188"/>
      <c r="I242" s="37"/>
      <c r="J242" s="37"/>
      <c r="K242" s="37"/>
      <c r="L242" s="37"/>
      <c r="M242" s="37"/>
      <c r="N242" s="37"/>
      <c r="O242" s="37"/>
      <c r="P242" s="37"/>
      <c r="Q242" s="37"/>
      <c r="R242" s="37"/>
      <c r="S242" s="37"/>
      <c r="T242" s="37"/>
      <c r="U242" s="37"/>
      <c r="V242" s="37"/>
    </row>
    <row r="243" spans="1:22" x14ac:dyDescent="0.2">
      <c r="A243" s="37"/>
      <c r="B243" s="280" t="s">
        <v>458</v>
      </c>
      <c r="C243" s="656"/>
      <c r="D243" s="265">
        <v>20</v>
      </c>
      <c r="E243" s="281" t="s">
        <v>511</v>
      </c>
      <c r="F243" s="282" t="s">
        <v>405</v>
      </c>
      <c r="G243" s="246" t="s">
        <v>20</v>
      </c>
      <c r="H243" s="3188"/>
      <c r="I243" s="37"/>
      <c r="J243" s="37"/>
      <c r="K243" s="37"/>
      <c r="L243" s="37"/>
      <c r="M243" s="37"/>
      <c r="N243" s="37"/>
      <c r="O243" s="37"/>
      <c r="P243" s="37"/>
      <c r="Q243" s="37"/>
      <c r="R243" s="37"/>
      <c r="S243" s="37"/>
      <c r="T243" s="37"/>
      <c r="U243" s="37"/>
      <c r="V243" s="37"/>
    </row>
    <row r="244" spans="1:22" x14ac:dyDescent="0.2">
      <c r="A244" s="37"/>
      <c r="B244" s="280" t="s">
        <v>458</v>
      </c>
      <c r="C244" s="656"/>
      <c r="D244" s="265">
        <v>21</v>
      </c>
      <c r="E244" s="281" t="s">
        <v>512</v>
      </c>
      <c r="F244" s="282" t="s">
        <v>405</v>
      </c>
      <c r="G244" s="246"/>
      <c r="H244" s="3188"/>
      <c r="I244" s="37"/>
      <c r="J244" s="37"/>
      <c r="K244" s="37"/>
      <c r="L244" s="37"/>
      <c r="M244" s="37"/>
      <c r="N244" s="37"/>
      <c r="O244" s="37"/>
      <c r="P244" s="37"/>
      <c r="Q244" s="37"/>
      <c r="R244" s="37"/>
      <c r="S244" s="37"/>
      <c r="T244" s="37"/>
      <c r="U244" s="37"/>
      <c r="V244" s="37"/>
    </row>
    <row r="245" spans="1:22" x14ac:dyDescent="0.2">
      <c r="A245" s="37"/>
      <c r="B245" s="280" t="s">
        <v>458</v>
      </c>
      <c r="C245" s="656"/>
      <c r="D245" s="265">
        <v>22</v>
      </c>
      <c r="E245" s="281" t="s">
        <v>513</v>
      </c>
      <c r="F245" s="282" t="s">
        <v>405</v>
      </c>
      <c r="G245" s="246" t="s">
        <v>20</v>
      </c>
      <c r="H245" s="3188"/>
      <c r="I245" s="37"/>
      <c r="J245" s="37"/>
      <c r="K245" s="37"/>
      <c r="L245" s="37"/>
      <c r="M245" s="37"/>
      <c r="N245" s="37"/>
      <c r="O245" s="37"/>
      <c r="P245" s="37"/>
      <c r="Q245" s="37"/>
      <c r="R245" s="37"/>
      <c r="S245" s="37"/>
      <c r="T245" s="37"/>
      <c r="U245" s="37"/>
      <c r="V245" s="37"/>
    </row>
    <row r="246" spans="1:22" x14ac:dyDescent="0.2">
      <c r="A246" s="37"/>
      <c r="B246" s="280" t="s">
        <v>458</v>
      </c>
      <c r="C246" s="656"/>
      <c r="D246" s="265">
        <v>23</v>
      </c>
      <c r="E246" s="281" t="s">
        <v>514</v>
      </c>
      <c r="F246" s="282" t="s">
        <v>405</v>
      </c>
      <c r="G246" s="246"/>
      <c r="H246" s="3188"/>
      <c r="I246" s="37"/>
      <c r="J246" s="37"/>
      <c r="K246" s="37"/>
      <c r="L246" s="37"/>
      <c r="M246" s="37"/>
      <c r="N246" s="37"/>
      <c r="O246" s="37"/>
      <c r="P246" s="37"/>
      <c r="Q246" s="37"/>
      <c r="R246" s="37"/>
      <c r="S246" s="37"/>
      <c r="T246" s="37"/>
      <c r="U246" s="37"/>
      <c r="V246" s="37"/>
    </row>
    <row r="247" spans="1:22" x14ac:dyDescent="0.2">
      <c r="A247" s="37"/>
      <c r="B247" s="280" t="s">
        <v>458</v>
      </c>
      <c r="C247" s="656"/>
      <c r="D247" s="265">
        <v>24</v>
      </c>
      <c r="E247" s="281" t="s">
        <v>515</v>
      </c>
      <c r="F247" s="282" t="s">
        <v>405</v>
      </c>
      <c r="G247" s="246"/>
      <c r="H247" s="3188"/>
      <c r="I247" s="37"/>
      <c r="J247" s="37"/>
      <c r="K247" s="37"/>
      <c r="L247" s="37"/>
      <c r="M247" s="37"/>
      <c r="N247" s="37"/>
      <c r="O247" s="37"/>
      <c r="P247" s="37"/>
      <c r="Q247" s="37"/>
      <c r="R247" s="37"/>
      <c r="S247" s="37"/>
      <c r="T247" s="37"/>
      <c r="U247" s="37"/>
      <c r="V247" s="37"/>
    </row>
    <row r="248" spans="1:22" x14ac:dyDescent="0.2">
      <c r="A248" s="37"/>
      <c r="B248" s="280" t="s">
        <v>458</v>
      </c>
      <c r="C248" s="656"/>
      <c r="D248" s="265">
        <v>25</v>
      </c>
      <c r="E248" s="281" t="s">
        <v>516</v>
      </c>
      <c r="F248" s="282" t="s">
        <v>405</v>
      </c>
      <c r="G248" s="246" t="s">
        <v>439</v>
      </c>
      <c r="H248" s="3188"/>
      <c r="I248" s="37"/>
      <c r="J248" s="37"/>
      <c r="K248" s="37"/>
      <c r="L248" s="37"/>
      <c r="M248" s="37"/>
      <c r="N248" s="37"/>
      <c r="O248" s="37"/>
      <c r="P248" s="37"/>
      <c r="Q248" s="37"/>
      <c r="R248" s="37"/>
      <c r="S248" s="37"/>
      <c r="T248" s="37"/>
      <c r="U248" s="37"/>
      <c r="V248" s="37"/>
    </row>
    <row r="249" spans="1:22" x14ac:dyDescent="0.2">
      <c r="A249" s="37"/>
      <c r="B249" s="280" t="s">
        <v>458</v>
      </c>
      <c r="C249" s="656"/>
      <c r="D249" s="265">
        <v>26</v>
      </c>
      <c r="E249" s="281" t="s">
        <v>517</v>
      </c>
      <c r="F249" s="282" t="s">
        <v>405</v>
      </c>
      <c r="G249" s="246" t="s">
        <v>439</v>
      </c>
      <c r="H249" s="3188"/>
      <c r="I249" s="37"/>
      <c r="J249" s="37"/>
      <c r="K249" s="37"/>
      <c r="L249" s="37"/>
      <c r="M249" s="37"/>
      <c r="N249" s="37"/>
      <c r="O249" s="37"/>
      <c r="P249" s="37"/>
      <c r="Q249" s="37"/>
      <c r="R249" s="37"/>
      <c r="S249" s="37"/>
      <c r="T249" s="37"/>
      <c r="U249" s="37"/>
      <c r="V249" s="37"/>
    </row>
    <row r="250" spans="1:22" x14ac:dyDescent="0.2">
      <c r="A250" s="37"/>
      <c r="B250" s="280" t="s">
        <v>458</v>
      </c>
      <c r="C250" s="656"/>
      <c r="D250" s="265">
        <v>27</v>
      </c>
      <c r="E250" s="281" t="s">
        <v>518</v>
      </c>
      <c r="F250" s="282" t="s">
        <v>405</v>
      </c>
      <c r="G250" s="246"/>
      <c r="H250" s="3188"/>
      <c r="I250" s="37"/>
      <c r="J250" s="37"/>
      <c r="K250" s="37"/>
      <c r="L250" s="37"/>
      <c r="M250" s="37"/>
      <c r="N250" s="37"/>
      <c r="O250" s="37"/>
      <c r="P250" s="37"/>
      <c r="Q250" s="37"/>
      <c r="R250" s="37"/>
      <c r="S250" s="37"/>
      <c r="T250" s="37"/>
      <c r="U250" s="37"/>
      <c r="V250" s="37"/>
    </row>
    <row r="251" spans="1:22" x14ac:dyDescent="0.2">
      <c r="A251" s="37"/>
      <c r="B251" s="280" t="s">
        <v>458</v>
      </c>
      <c r="C251" s="656"/>
      <c r="D251" s="265">
        <v>28</v>
      </c>
      <c r="E251" s="281" t="s">
        <v>519</v>
      </c>
      <c r="F251" s="282" t="s">
        <v>405</v>
      </c>
      <c r="G251" s="246" t="s">
        <v>453</v>
      </c>
      <c r="H251" s="3188"/>
      <c r="I251" s="37"/>
      <c r="J251" s="37"/>
      <c r="K251" s="37"/>
      <c r="L251" s="37"/>
      <c r="M251" s="37"/>
      <c r="N251" s="37"/>
      <c r="O251" s="37"/>
      <c r="P251" s="37"/>
      <c r="Q251" s="37"/>
      <c r="R251" s="37"/>
      <c r="S251" s="37"/>
      <c r="T251" s="37"/>
      <c r="U251" s="37"/>
      <c r="V251" s="37"/>
    </row>
    <row r="252" spans="1:22" x14ac:dyDescent="0.2">
      <c r="A252" s="37"/>
      <c r="B252" s="280" t="s">
        <v>458</v>
      </c>
      <c r="C252" s="656"/>
      <c r="D252" s="265">
        <v>30</v>
      </c>
      <c r="E252" s="281" t="s">
        <v>520</v>
      </c>
      <c r="F252" s="282" t="s">
        <v>405</v>
      </c>
      <c r="G252" s="246" t="s">
        <v>439</v>
      </c>
      <c r="H252" s="3188"/>
      <c r="I252" s="37"/>
      <c r="J252" s="37"/>
      <c r="K252" s="37"/>
      <c r="L252" s="37"/>
      <c r="M252" s="37"/>
      <c r="N252" s="37"/>
      <c r="O252" s="37"/>
      <c r="P252" s="37"/>
      <c r="Q252" s="37"/>
      <c r="R252" s="37"/>
      <c r="S252" s="37"/>
      <c r="T252" s="37"/>
      <c r="U252" s="37"/>
      <c r="V252" s="37"/>
    </row>
    <row r="253" spans="1:22" x14ac:dyDescent="0.2">
      <c r="A253" s="37"/>
      <c r="B253" s="280" t="s">
        <v>458</v>
      </c>
      <c r="C253" s="656"/>
      <c r="D253" s="265">
        <v>31</v>
      </c>
      <c r="E253" s="281" t="s">
        <v>521</v>
      </c>
      <c r="F253" s="282" t="s">
        <v>405</v>
      </c>
      <c r="G253" s="246" t="s">
        <v>20</v>
      </c>
      <c r="H253" s="3188"/>
      <c r="I253" s="37"/>
      <c r="J253" s="37"/>
      <c r="K253" s="37"/>
      <c r="L253" s="37"/>
      <c r="M253" s="37"/>
      <c r="N253" s="37"/>
      <c r="O253" s="37"/>
      <c r="P253" s="37"/>
      <c r="Q253" s="37"/>
      <c r="R253" s="37"/>
      <c r="S253" s="37"/>
      <c r="T253" s="37"/>
      <c r="U253" s="37"/>
      <c r="V253" s="37"/>
    </row>
    <row r="254" spans="1:22" x14ac:dyDescent="0.2">
      <c r="A254" s="37"/>
      <c r="B254" s="280" t="s">
        <v>458</v>
      </c>
      <c r="C254" s="656"/>
      <c r="D254" s="265">
        <v>33</v>
      </c>
      <c r="E254" s="281" t="s">
        <v>522</v>
      </c>
      <c r="F254" s="282" t="s">
        <v>405</v>
      </c>
      <c r="G254" s="246" t="s">
        <v>20</v>
      </c>
      <c r="H254" s="3188"/>
      <c r="I254" s="37"/>
      <c r="J254" s="37"/>
      <c r="K254" s="37"/>
      <c r="L254" s="37"/>
      <c r="M254" s="37"/>
      <c r="N254" s="37"/>
      <c r="O254" s="37"/>
      <c r="P254" s="37"/>
      <c r="Q254" s="37"/>
      <c r="R254" s="37"/>
      <c r="S254" s="37"/>
      <c r="T254" s="37"/>
      <c r="U254" s="37"/>
      <c r="V254" s="37"/>
    </row>
    <row r="255" spans="1:22" x14ac:dyDescent="0.2">
      <c r="A255" s="37"/>
      <c r="B255" s="280" t="s">
        <v>458</v>
      </c>
      <c r="C255" s="656"/>
      <c r="D255" s="265">
        <v>34</v>
      </c>
      <c r="E255" s="281" t="s">
        <v>523</v>
      </c>
      <c r="F255" s="282" t="s">
        <v>405</v>
      </c>
      <c r="G255" s="246" t="s">
        <v>20</v>
      </c>
      <c r="H255" s="3188"/>
      <c r="I255" s="37"/>
      <c r="J255" s="37"/>
      <c r="K255" s="37"/>
      <c r="L255" s="37"/>
      <c r="M255" s="37"/>
      <c r="N255" s="37"/>
      <c r="O255" s="37"/>
      <c r="P255" s="37"/>
      <c r="Q255" s="37"/>
      <c r="R255" s="37"/>
      <c r="S255" s="37"/>
      <c r="T255" s="37"/>
      <c r="U255" s="37"/>
      <c r="V255" s="37"/>
    </row>
    <row r="256" spans="1:22" x14ac:dyDescent="0.2">
      <c r="A256" s="37"/>
      <c r="B256" s="280" t="s">
        <v>458</v>
      </c>
      <c r="C256" s="656"/>
      <c r="D256" s="265">
        <v>35</v>
      </c>
      <c r="E256" s="281" t="s">
        <v>496</v>
      </c>
      <c r="F256" s="282" t="s">
        <v>405</v>
      </c>
      <c r="G256" s="246" t="s">
        <v>439</v>
      </c>
      <c r="H256" s="3188"/>
      <c r="I256" s="37"/>
      <c r="J256" s="37"/>
      <c r="K256" s="37"/>
      <c r="L256" s="37"/>
      <c r="M256" s="37"/>
      <c r="N256" s="37"/>
      <c r="O256" s="37"/>
      <c r="P256" s="37"/>
      <c r="Q256" s="37"/>
      <c r="R256" s="37"/>
      <c r="S256" s="37"/>
      <c r="T256" s="37"/>
      <c r="U256" s="37"/>
      <c r="V256" s="37"/>
    </row>
    <row r="257" spans="1:22" x14ac:dyDescent="0.2">
      <c r="A257" s="37"/>
      <c r="B257" s="280" t="s">
        <v>458</v>
      </c>
      <c r="C257" s="656"/>
      <c r="D257" s="265">
        <v>36</v>
      </c>
      <c r="E257" s="281" t="s">
        <v>524</v>
      </c>
      <c r="F257" s="282" t="s">
        <v>405</v>
      </c>
      <c r="G257" s="246" t="s">
        <v>439</v>
      </c>
      <c r="H257" s="3188"/>
      <c r="I257" s="37"/>
      <c r="J257" s="37"/>
      <c r="K257" s="37"/>
      <c r="L257" s="37"/>
      <c r="M257" s="37"/>
      <c r="N257" s="37"/>
      <c r="O257" s="37"/>
      <c r="P257" s="37"/>
      <c r="Q257" s="37"/>
      <c r="R257" s="37"/>
      <c r="S257" s="37"/>
      <c r="T257" s="37"/>
      <c r="U257" s="37"/>
      <c r="V257" s="37"/>
    </row>
    <row r="258" spans="1:22" x14ac:dyDescent="0.2">
      <c r="A258" s="37"/>
      <c r="B258" s="280" t="s">
        <v>458</v>
      </c>
      <c r="C258" s="656"/>
      <c r="D258" s="265">
        <v>37</v>
      </c>
      <c r="E258" s="281" t="s">
        <v>525</v>
      </c>
      <c r="F258" s="282" t="s">
        <v>405</v>
      </c>
      <c r="G258" s="246"/>
      <c r="H258" s="3188"/>
      <c r="I258" s="37"/>
      <c r="J258" s="37"/>
      <c r="K258" s="37"/>
      <c r="L258" s="37"/>
      <c r="M258" s="37"/>
      <c r="N258" s="37"/>
      <c r="O258" s="37"/>
      <c r="P258" s="37"/>
      <c r="Q258" s="37"/>
      <c r="R258" s="37"/>
      <c r="S258" s="37"/>
      <c r="T258" s="37"/>
      <c r="U258" s="37"/>
      <c r="V258" s="37"/>
    </row>
    <row r="259" spans="1:22" x14ac:dyDescent="0.2">
      <c r="A259" s="37"/>
      <c r="B259" s="280" t="s">
        <v>458</v>
      </c>
      <c r="C259" s="656"/>
      <c r="D259" s="265">
        <v>38</v>
      </c>
      <c r="E259" s="281" t="s">
        <v>526</v>
      </c>
      <c r="F259" s="282" t="s">
        <v>405</v>
      </c>
      <c r="G259" s="246" t="s">
        <v>455</v>
      </c>
      <c r="H259" s="3188"/>
      <c r="I259" s="37"/>
      <c r="J259" s="37"/>
      <c r="K259" s="37"/>
      <c r="L259" s="37"/>
      <c r="M259" s="37"/>
      <c r="N259" s="37"/>
      <c r="O259" s="37"/>
      <c r="P259" s="37"/>
      <c r="Q259" s="37"/>
      <c r="R259" s="37"/>
      <c r="S259" s="37"/>
      <c r="T259" s="37"/>
      <c r="U259" s="37"/>
      <c r="V259" s="37"/>
    </row>
    <row r="260" spans="1:22" x14ac:dyDescent="0.2">
      <c r="A260" s="37"/>
      <c r="B260" s="280" t="s">
        <v>458</v>
      </c>
      <c r="C260" s="656"/>
      <c r="D260" s="265">
        <v>39</v>
      </c>
      <c r="E260" s="281" t="s">
        <v>527</v>
      </c>
      <c r="F260" s="282" t="s">
        <v>405</v>
      </c>
      <c r="G260" s="246"/>
      <c r="H260" s="3188"/>
      <c r="I260" s="37"/>
      <c r="J260" s="37"/>
      <c r="K260" s="37"/>
      <c r="L260" s="37"/>
      <c r="M260" s="37"/>
      <c r="N260" s="37"/>
      <c r="O260" s="37"/>
      <c r="P260" s="37"/>
      <c r="Q260" s="37"/>
      <c r="R260" s="37"/>
      <c r="S260" s="37"/>
      <c r="T260" s="37"/>
      <c r="U260" s="37"/>
      <c r="V260" s="37"/>
    </row>
    <row r="261" spans="1:22" x14ac:dyDescent="0.2">
      <c r="A261" s="37"/>
      <c r="B261" s="280" t="s">
        <v>458</v>
      </c>
      <c r="C261" s="656"/>
      <c r="D261" s="265">
        <v>40</v>
      </c>
      <c r="E261" s="281" t="s">
        <v>528</v>
      </c>
      <c r="F261" s="282" t="s">
        <v>405</v>
      </c>
      <c r="G261" s="246" t="s">
        <v>453</v>
      </c>
      <c r="H261" s="3188"/>
      <c r="I261" s="37"/>
      <c r="J261" s="37"/>
      <c r="K261" s="37"/>
      <c r="L261" s="37"/>
      <c r="M261" s="37"/>
      <c r="N261" s="37"/>
      <c r="O261" s="37"/>
      <c r="P261" s="37"/>
      <c r="Q261" s="37"/>
      <c r="R261" s="37"/>
      <c r="S261" s="37"/>
      <c r="T261" s="37"/>
      <c r="U261" s="37"/>
      <c r="V261" s="37"/>
    </row>
    <row r="262" spans="1:22" x14ac:dyDescent="0.2">
      <c r="A262" s="37"/>
      <c r="B262" s="280" t="s">
        <v>458</v>
      </c>
      <c r="C262" s="656"/>
      <c r="D262" s="265">
        <v>41</v>
      </c>
      <c r="E262" s="281" t="s">
        <v>529</v>
      </c>
      <c r="F262" s="282" t="s">
        <v>405</v>
      </c>
      <c r="G262" s="246" t="s">
        <v>439</v>
      </c>
      <c r="H262" s="3188"/>
      <c r="I262" s="37"/>
      <c r="J262" s="37"/>
      <c r="K262" s="37"/>
      <c r="L262" s="37"/>
      <c r="M262" s="37"/>
      <c r="N262" s="37"/>
      <c r="O262" s="37"/>
      <c r="P262" s="37"/>
      <c r="Q262" s="37"/>
      <c r="R262" s="37"/>
      <c r="S262" s="37"/>
      <c r="T262" s="37"/>
      <c r="U262" s="37"/>
      <c r="V262" s="37"/>
    </row>
    <row r="263" spans="1:22" x14ac:dyDescent="0.2">
      <c r="A263" s="37"/>
      <c r="B263" s="280" t="s">
        <v>458</v>
      </c>
      <c r="C263" s="656"/>
      <c r="D263" s="265">
        <v>42</v>
      </c>
      <c r="E263" s="281" t="s">
        <v>530</v>
      </c>
      <c r="F263" s="282" t="s">
        <v>405</v>
      </c>
      <c r="G263" s="246" t="s">
        <v>454</v>
      </c>
      <c r="H263" s="3188"/>
      <c r="I263" s="37"/>
      <c r="J263" s="37"/>
      <c r="K263" s="37"/>
      <c r="L263" s="37"/>
      <c r="M263" s="37"/>
      <c r="N263" s="37"/>
      <c r="O263" s="37"/>
      <c r="P263" s="37"/>
      <c r="Q263" s="37"/>
      <c r="R263" s="37"/>
      <c r="S263" s="37"/>
      <c r="T263" s="37"/>
      <c r="U263" s="37"/>
      <c r="V263" s="37"/>
    </row>
    <row r="264" spans="1:22" x14ac:dyDescent="0.2">
      <c r="A264" s="37"/>
      <c r="B264" s="280" t="s">
        <v>458</v>
      </c>
      <c r="C264" s="656"/>
      <c r="D264" s="265">
        <v>43</v>
      </c>
      <c r="E264" s="281" t="s">
        <v>531</v>
      </c>
      <c r="F264" s="282" t="s">
        <v>405</v>
      </c>
      <c r="G264" s="246" t="s">
        <v>455</v>
      </c>
      <c r="H264" s="3188"/>
      <c r="I264" s="37"/>
      <c r="J264" s="37"/>
      <c r="K264" s="37"/>
      <c r="L264" s="37"/>
      <c r="M264" s="37"/>
      <c r="N264" s="37"/>
      <c r="O264" s="37"/>
      <c r="P264" s="37"/>
      <c r="Q264" s="37"/>
      <c r="R264" s="37"/>
      <c r="S264" s="37"/>
      <c r="T264" s="37"/>
      <c r="U264" s="37"/>
      <c r="V264" s="37"/>
    </row>
    <row r="265" spans="1:22" x14ac:dyDescent="0.2">
      <c r="A265" s="37"/>
      <c r="B265" s="280" t="s">
        <v>458</v>
      </c>
      <c r="C265" s="656"/>
      <c r="D265" s="265">
        <v>44</v>
      </c>
      <c r="E265" s="281" t="s">
        <v>532</v>
      </c>
      <c r="F265" s="282" t="s">
        <v>405</v>
      </c>
      <c r="G265" s="246"/>
      <c r="H265" s="3188"/>
      <c r="I265" s="37"/>
      <c r="J265" s="37"/>
      <c r="K265" s="37"/>
      <c r="L265" s="37"/>
      <c r="M265" s="37"/>
      <c r="N265" s="37"/>
      <c r="O265" s="37"/>
      <c r="P265" s="37"/>
      <c r="Q265" s="37"/>
      <c r="R265" s="37"/>
      <c r="S265" s="37"/>
      <c r="T265" s="37"/>
      <c r="U265" s="37"/>
      <c r="V265" s="37"/>
    </row>
    <row r="266" spans="1:22" x14ac:dyDescent="0.2">
      <c r="A266" s="37"/>
      <c r="B266" s="280" t="s">
        <v>458</v>
      </c>
      <c r="C266" s="656"/>
      <c r="D266" s="265">
        <v>45</v>
      </c>
      <c r="E266" s="281" t="s">
        <v>533</v>
      </c>
      <c r="F266" s="282" t="s">
        <v>405</v>
      </c>
      <c r="G266" s="246"/>
      <c r="H266" s="3188"/>
      <c r="I266" s="37"/>
      <c r="J266" s="37"/>
      <c r="K266" s="37"/>
      <c r="L266" s="37"/>
      <c r="M266" s="37"/>
      <c r="N266" s="37"/>
      <c r="O266" s="37"/>
      <c r="P266" s="37"/>
      <c r="Q266" s="37"/>
      <c r="R266" s="37"/>
      <c r="S266" s="37"/>
      <c r="T266" s="37"/>
      <c r="U266" s="37"/>
      <c r="V266" s="37"/>
    </row>
    <row r="267" spans="1:22" x14ac:dyDescent="0.2">
      <c r="A267" s="37"/>
      <c r="B267" s="280" t="s">
        <v>458</v>
      </c>
      <c r="C267" s="656"/>
      <c r="D267" s="265">
        <v>47</v>
      </c>
      <c r="E267" s="281" t="s">
        <v>534</v>
      </c>
      <c r="F267" s="282" t="s">
        <v>405</v>
      </c>
      <c r="G267" s="246" t="s">
        <v>20</v>
      </c>
      <c r="H267" s="3188"/>
      <c r="I267" s="37"/>
      <c r="J267" s="37"/>
      <c r="K267" s="37"/>
      <c r="L267" s="37"/>
      <c r="M267" s="37"/>
      <c r="N267" s="37"/>
      <c r="O267" s="37"/>
      <c r="P267" s="37"/>
      <c r="Q267" s="37"/>
      <c r="R267" s="37"/>
      <c r="S267" s="37"/>
      <c r="T267" s="37"/>
      <c r="U267" s="37"/>
      <c r="V267" s="37"/>
    </row>
    <row r="268" spans="1:22" x14ac:dyDescent="0.2">
      <c r="A268" s="37"/>
      <c r="B268" s="280" t="s">
        <v>458</v>
      </c>
      <c r="C268" s="656"/>
      <c r="D268" s="265">
        <v>48</v>
      </c>
      <c r="E268" s="281" t="s">
        <v>535</v>
      </c>
      <c r="F268" s="282" t="s">
        <v>405</v>
      </c>
      <c r="G268" s="246" t="s">
        <v>439</v>
      </c>
      <c r="H268" s="3188"/>
      <c r="I268" s="37"/>
      <c r="J268" s="37"/>
      <c r="K268" s="37"/>
      <c r="L268" s="37"/>
      <c r="M268" s="37"/>
      <c r="N268" s="37"/>
      <c r="O268" s="37"/>
      <c r="P268" s="37"/>
      <c r="Q268" s="37"/>
      <c r="R268" s="37"/>
      <c r="S268" s="37"/>
      <c r="T268" s="37"/>
      <c r="U268" s="37"/>
      <c r="V268" s="37"/>
    </row>
    <row r="269" spans="1:22" x14ac:dyDescent="0.2">
      <c r="A269" s="37"/>
      <c r="B269" s="280" t="s">
        <v>458</v>
      </c>
      <c r="C269" s="656"/>
      <c r="D269" s="265">
        <v>49</v>
      </c>
      <c r="E269" s="281" t="s">
        <v>535</v>
      </c>
      <c r="F269" s="282" t="s">
        <v>405</v>
      </c>
      <c r="G269" s="246"/>
      <c r="H269" s="3188"/>
      <c r="I269" s="37"/>
      <c r="J269" s="37"/>
      <c r="K269" s="37"/>
      <c r="L269" s="37"/>
      <c r="M269" s="37"/>
      <c r="N269" s="37"/>
      <c r="O269" s="37"/>
      <c r="P269" s="37"/>
      <c r="Q269" s="37"/>
      <c r="R269" s="37"/>
      <c r="S269" s="37"/>
      <c r="T269" s="37"/>
      <c r="U269" s="37"/>
      <c r="V269" s="37"/>
    </row>
    <row r="270" spans="1:22" x14ac:dyDescent="0.2">
      <c r="A270" s="37"/>
      <c r="B270" s="280" t="s">
        <v>458</v>
      </c>
      <c r="C270" s="656"/>
      <c r="D270" s="265">
        <v>50</v>
      </c>
      <c r="E270" s="281" t="s">
        <v>536</v>
      </c>
      <c r="F270" s="282" t="s">
        <v>405</v>
      </c>
      <c r="G270" s="246"/>
      <c r="H270" s="3188"/>
      <c r="I270" s="37"/>
      <c r="J270" s="37"/>
      <c r="K270" s="37"/>
      <c r="L270" s="37"/>
      <c r="M270" s="37"/>
      <c r="N270" s="37"/>
      <c r="O270" s="37"/>
      <c r="P270" s="37"/>
      <c r="Q270" s="37"/>
      <c r="R270" s="37"/>
      <c r="S270" s="37"/>
      <c r="T270" s="37"/>
      <c r="U270" s="37"/>
      <c r="V270" s="37"/>
    </row>
    <row r="271" spans="1:22" x14ac:dyDescent="0.2">
      <c r="A271" s="37"/>
      <c r="B271" s="280" t="s">
        <v>458</v>
      </c>
      <c r="C271" s="656"/>
      <c r="D271" s="265">
        <v>51</v>
      </c>
      <c r="E271" s="281" t="s">
        <v>537</v>
      </c>
      <c r="F271" s="282" t="s">
        <v>405</v>
      </c>
      <c r="G271" s="246"/>
      <c r="H271" s="3188"/>
      <c r="I271" s="37"/>
      <c r="J271" s="37"/>
      <c r="K271" s="37"/>
      <c r="L271" s="37"/>
      <c r="M271" s="37"/>
      <c r="N271" s="37"/>
      <c r="O271" s="37"/>
      <c r="P271" s="37"/>
      <c r="Q271" s="37"/>
      <c r="R271" s="37"/>
      <c r="S271" s="37"/>
      <c r="T271" s="37"/>
      <c r="U271" s="37"/>
      <c r="V271" s="37"/>
    </row>
    <row r="272" spans="1:22" x14ac:dyDescent="0.2">
      <c r="A272" s="37"/>
      <c r="B272" s="280" t="s">
        <v>458</v>
      </c>
      <c r="C272" s="656"/>
      <c r="D272" s="265">
        <v>52</v>
      </c>
      <c r="E272" s="281" t="s">
        <v>538</v>
      </c>
      <c r="F272" s="282" t="s">
        <v>405</v>
      </c>
      <c r="G272" s="246"/>
      <c r="H272" s="3188"/>
      <c r="I272" s="37"/>
      <c r="J272" s="37"/>
      <c r="K272" s="37"/>
      <c r="L272" s="37"/>
      <c r="M272" s="37"/>
      <c r="N272" s="37"/>
      <c r="O272" s="37"/>
      <c r="P272" s="37"/>
      <c r="Q272" s="37"/>
      <c r="R272" s="37"/>
      <c r="S272" s="37"/>
      <c r="T272" s="37"/>
      <c r="U272" s="37"/>
      <c r="V272" s="37"/>
    </row>
    <row r="273" spans="1:22" x14ac:dyDescent="0.2">
      <c r="A273" s="37"/>
      <c r="B273" s="280" t="s">
        <v>458</v>
      </c>
      <c r="C273" s="656"/>
      <c r="D273" s="265">
        <v>53</v>
      </c>
      <c r="E273" s="281" t="s">
        <v>539</v>
      </c>
      <c r="F273" s="282" t="s">
        <v>405</v>
      </c>
      <c r="G273" s="246"/>
      <c r="H273" s="3188"/>
      <c r="I273" s="37"/>
      <c r="J273" s="37"/>
      <c r="K273" s="37"/>
      <c r="L273" s="37"/>
      <c r="M273" s="37"/>
      <c r="N273" s="37"/>
      <c r="O273" s="37"/>
      <c r="P273" s="37"/>
      <c r="Q273" s="37"/>
      <c r="R273" s="37"/>
      <c r="S273" s="37"/>
      <c r="T273" s="37"/>
      <c r="U273" s="37"/>
      <c r="V273" s="37"/>
    </row>
    <row r="274" spans="1:22" x14ac:dyDescent="0.2">
      <c r="A274" s="37"/>
      <c r="B274" s="280" t="s">
        <v>458</v>
      </c>
      <c r="C274" s="656"/>
      <c r="D274" s="265">
        <v>65</v>
      </c>
      <c r="E274" s="281" t="s">
        <v>540</v>
      </c>
      <c r="F274" s="282" t="s">
        <v>405</v>
      </c>
      <c r="G274" s="246" t="s">
        <v>20</v>
      </c>
      <c r="H274" s="3188"/>
      <c r="I274" s="37"/>
      <c r="J274" s="37"/>
      <c r="K274" s="37"/>
      <c r="L274" s="37"/>
      <c r="M274" s="37"/>
      <c r="N274" s="37"/>
      <c r="O274" s="37"/>
      <c r="P274" s="37"/>
      <c r="Q274" s="37"/>
      <c r="R274" s="37"/>
      <c r="S274" s="37"/>
      <c r="T274" s="37"/>
      <c r="U274" s="37"/>
      <c r="V274" s="37"/>
    </row>
    <row r="275" spans="1:22" x14ac:dyDescent="0.2">
      <c r="A275" s="37"/>
      <c r="B275" s="280" t="s">
        <v>458</v>
      </c>
      <c r="C275" s="656"/>
      <c r="D275" s="265">
        <v>66</v>
      </c>
      <c r="E275" s="281" t="s">
        <v>541</v>
      </c>
      <c r="F275" s="282" t="s">
        <v>405</v>
      </c>
      <c r="G275" s="246" t="s">
        <v>439</v>
      </c>
      <c r="H275" s="3188"/>
      <c r="I275" s="37"/>
      <c r="J275" s="37"/>
      <c r="K275" s="37"/>
      <c r="L275" s="37"/>
      <c r="M275" s="37"/>
      <c r="N275" s="37"/>
      <c r="O275" s="37"/>
      <c r="P275" s="37"/>
      <c r="Q275" s="37"/>
      <c r="R275" s="37"/>
      <c r="S275" s="37"/>
      <c r="T275" s="37"/>
      <c r="U275" s="37"/>
      <c r="V275" s="37"/>
    </row>
    <row r="276" spans="1:22" x14ac:dyDescent="0.2">
      <c r="A276" s="37"/>
      <c r="B276" s="280" t="s">
        <v>458</v>
      </c>
      <c r="C276" s="656"/>
      <c r="D276" s="265">
        <v>68</v>
      </c>
      <c r="E276" s="281" t="s">
        <v>542</v>
      </c>
      <c r="F276" s="282" t="s">
        <v>405</v>
      </c>
      <c r="G276" s="246" t="s">
        <v>20</v>
      </c>
      <c r="H276" s="3188"/>
      <c r="I276" s="37"/>
      <c r="J276" s="37"/>
      <c r="K276" s="37"/>
      <c r="L276" s="37"/>
      <c r="M276" s="37"/>
      <c r="N276" s="37"/>
      <c r="O276" s="37"/>
      <c r="P276" s="37"/>
      <c r="Q276" s="37"/>
      <c r="R276" s="37"/>
      <c r="S276" s="37"/>
      <c r="T276" s="37"/>
      <c r="U276" s="37"/>
      <c r="V276" s="37"/>
    </row>
    <row r="277" spans="1:22" x14ac:dyDescent="0.2">
      <c r="A277" s="37"/>
      <c r="B277" s="280" t="s">
        <v>458</v>
      </c>
      <c r="C277" s="656"/>
      <c r="D277" s="265">
        <v>70</v>
      </c>
      <c r="E277" s="281" t="s">
        <v>543</v>
      </c>
      <c r="F277" s="282" t="s">
        <v>405</v>
      </c>
      <c r="G277" s="246" t="s">
        <v>439</v>
      </c>
      <c r="H277" s="3188"/>
      <c r="I277" s="37"/>
      <c r="J277" s="37"/>
      <c r="K277" s="37"/>
      <c r="L277" s="37"/>
      <c r="M277" s="37"/>
      <c r="N277" s="37"/>
      <c r="O277" s="37"/>
      <c r="P277" s="37"/>
      <c r="Q277" s="37"/>
      <c r="R277" s="37"/>
      <c r="S277" s="37"/>
      <c r="T277" s="37"/>
      <c r="U277" s="37"/>
      <c r="V277" s="37"/>
    </row>
    <row r="278" spans="1:22" x14ac:dyDescent="0.2">
      <c r="A278" s="37"/>
      <c r="B278" s="280" t="s">
        <v>458</v>
      </c>
      <c r="C278" s="656"/>
      <c r="D278" s="265">
        <v>71</v>
      </c>
      <c r="E278" s="281" t="s">
        <v>544</v>
      </c>
      <c r="F278" s="282" t="s">
        <v>405</v>
      </c>
      <c r="G278" s="246" t="s">
        <v>439</v>
      </c>
      <c r="H278" s="3188"/>
      <c r="I278" s="37"/>
      <c r="J278" s="37"/>
      <c r="K278" s="37"/>
      <c r="L278" s="37"/>
      <c r="M278" s="37"/>
      <c r="N278" s="37"/>
      <c r="O278" s="37"/>
      <c r="P278" s="37"/>
      <c r="Q278" s="37"/>
      <c r="R278" s="37"/>
      <c r="S278" s="37"/>
      <c r="T278" s="37"/>
      <c r="U278" s="37"/>
      <c r="V278" s="37"/>
    </row>
    <row r="279" spans="1:22" x14ac:dyDescent="0.2">
      <c r="A279" s="37"/>
      <c r="B279" s="280" t="s">
        <v>458</v>
      </c>
      <c r="C279" s="656"/>
      <c r="D279" s="265">
        <v>72</v>
      </c>
      <c r="E279" s="281" t="s">
        <v>545</v>
      </c>
      <c r="F279" s="282" t="s">
        <v>405</v>
      </c>
      <c r="G279" s="246" t="s">
        <v>20</v>
      </c>
      <c r="H279" s="3188"/>
      <c r="I279" s="37"/>
      <c r="J279" s="37"/>
      <c r="K279" s="37"/>
      <c r="L279" s="37"/>
      <c r="M279" s="37"/>
      <c r="N279" s="37"/>
      <c r="O279" s="37"/>
      <c r="P279" s="37"/>
      <c r="Q279" s="37"/>
      <c r="R279" s="37"/>
      <c r="S279" s="37"/>
      <c r="T279" s="37"/>
      <c r="U279" s="37"/>
      <c r="V279" s="37"/>
    </row>
    <row r="280" spans="1:22" x14ac:dyDescent="0.2">
      <c r="A280" s="37"/>
      <c r="B280" s="280" t="s">
        <v>458</v>
      </c>
      <c r="C280" s="656"/>
      <c r="D280" s="265">
        <v>73</v>
      </c>
      <c r="E280" s="281" t="s">
        <v>546</v>
      </c>
      <c r="F280" s="282" t="s">
        <v>405</v>
      </c>
      <c r="G280" s="246"/>
      <c r="H280" s="3188"/>
      <c r="I280" s="37"/>
      <c r="J280" s="37"/>
      <c r="K280" s="37"/>
      <c r="L280" s="37"/>
      <c r="M280" s="37"/>
      <c r="N280" s="37"/>
      <c r="O280" s="37"/>
      <c r="P280" s="37"/>
      <c r="Q280" s="37"/>
      <c r="R280" s="37"/>
      <c r="S280" s="37"/>
      <c r="T280" s="37"/>
      <c r="U280" s="37"/>
      <c r="V280" s="37"/>
    </row>
    <row r="281" spans="1:22" x14ac:dyDescent="0.2">
      <c r="A281" s="37"/>
      <c r="B281" s="280" t="s">
        <v>458</v>
      </c>
      <c r="C281" s="656"/>
      <c r="D281" s="265">
        <v>74</v>
      </c>
      <c r="E281" s="281" t="s">
        <v>547</v>
      </c>
      <c r="F281" s="282" t="s">
        <v>405</v>
      </c>
      <c r="G281" s="246"/>
      <c r="H281" s="3188"/>
      <c r="I281" s="37"/>
      <c r="J281" s="37"/>
      <c r="K281" s="37"/>
      <c r="L281" s="37"/>
      <c r="M281" s="37"/>
      <c r="N281" s="37"/>
      <c r="O281" s="37"/>
      <c r="P281" s="37"/>
      <c r="Q281" s="37"/>
      <c r="R281" s="37"/>
      <c r="S281" s="37"/>
      <c r="T281" s="37"/>
      <c r="U281" s="37"/>
      <c r="V281" s="37"/>
    </row>
    <row r="282" spans="1:22" x14ac:dyDescent="0.2">
      <c r="A282" s="37"/>
      <c r="B282" s="280" t="s">
        <v>458</v>
      </c>
      <c r="C282" s="656"/>
      <c r="D282" s="265">
        <v>85</v>
      </c>
      <c r="E282" s="281" t="s">
        <v>548</v>
      </c>
      <c r="F282" s="282" t="s">
        <v>405</v>
      </c>
      <c r="G282" s="246" t="s">
        <v>439</v>
      </c>
      <c r="H282" s="3188"/>
      <c r="I282" s="37"/>
      <c r="J282" s="37"/>
      <c r="K282" s="37"/>
      <c r="L282" s="37"/>
      <c r="M282" s="37"/>
      <c r="N282" s="37"/>
      <c r="O282" s="37"/>
      <c r="P282" s="37"/>
      <c r="Q282" s="37"/>
      <c r="R282" s="37"/>
      <c r="S282" s="37"/>
      <c r="T282" s="37"/>
      <c r="U282" s="37"/>
      <c r="V282" s="37"/>
    </row>
    <row r="283" spans="1:22" x14ac:dyDescent="0.2">
      <c r="A283" s="37"/>
      <c r="B283" s="280" t="s">
        <v>458</v>
      </c>
      <c r="C283" s="656"/>
      <c r="D283" s="265">
        <v>87</v>
      </c>
      <c r="E283" s="281" t="s">
        <v>549</v>
      </c>
      <c r="F283" s="282" t="s">
        <v>405</v>
      </c>
      <c r="G283" s="246" t="s">
        <v>20</v>
      </c>
      <c r="H283" s="3188"/>
      <c r="I283" s="37"/>
      <c r="J283" s="37"/>
      <c r="K283" s="37"/>
      <c r="L283" s="37"/>
      <c r="M283" s="37"/>
      <c r="N283" s="37"/>
      <c r="O283" s="37"/>
      <c r="P283" s="37"/>
      <c r="Q283" s="37"/>
      <c r="R283" s="37"/>
      <c r="S283" s="37"/>
      <c r="T283" s="37"/>
      <c r="U283" s="37"/>
      <c r="V283" s="37"/>
    </row>
    <row r="284" spans="1:22" x14ac:dyDescent="0.2">
      <c r="A284" s="37"/>
      <c r="B284" s="280" t="s">
        <v>458</v>
      </c>
      <c r="C284" s="656"/>
      <c r="D284" s="281">
        <v>88</v>
      </c>
      <c r="E284" s="326" t="s">
        <v>550</v>
      </c>
      <c r="F284" s="327" t="s">
        <v>405</v>
      </c>
      <c r="G284" s="246" t="s">
        <v>20</v>
      </c>
      <c r="H284" s="3188"/>
      <c r="I284" s="37"/>
      <c r="J284" s="37"/>
      <c r="K284" s="37"/>
      <c r="L284" s="37"/>
      <c r="M284" s="37"/>
      <c r="N284" s="37"/>
      <c r="O284" s="37"/>
      <c r="P284" s="37"/>
      <c r="Q284" s="37"/>
      <c r="R284" s="37"/>
      <c r="S284" s="37"/>
      <c r="T284" s="37"/>
      <c r="U284" s="37"/>
      <c r="V284" s="37"/>
    </row>
    <row r="285" spans="1:22" x14ac:dyDescent="0.2">
      <c r="A285" s="37"/>
      <c r="B285" s="328" t="s">
        <v>459</v>
      </c>
      <c r="C285" s="657"/>
      <c r="D285" s="329" t="s">
        <v>407</v>
      </c>
      <c r="E285" s="330" t="s">
        <v>497</v>
      </c>
      <c r="F285" s="331" t="s">
        <v>405</v>
      </c>
      <c r="G285" s="253" t="s">
        <v>20</v>
      </c>
      <c r="H285" s="3188"/>
      <c r="I285" s="37"/>
      <c r="J285" s="37"/>
      <c r="K285" s="37"/>
      <c r="L285" s="37"/>
      <c r="M285" s="37"/>
      <c r="N285" s="37"/>
      <c r="O285" s="37"/>
      <c r="P285" s="37"/>
      <c r="Q285" s="37"/>
      <c r="R285" s="37"/>
      <c r="S285" s="37"/>
      <c r="T285" s="37"/>
      <c r="U285" s="37"/>
      <c r="V285" s="37"/>
    </row>
    <row r="286" spans="1:22" x14ac:dyDescent="0.2">
      <c r="A286" s="37"/>
      <c r="B286" s="296" t="s">
        <v>459</v>
      </c>
      <c r="C286" s="646"/>
      <c r="D286" s="294" t="s">
        <v>409</v>
      </c>
      <c r="E286" s="297" t="s">
        <v>496</v>
      </c>
      <c r="F286" s="298" t="s">
        <v>405</v>
      </c>
      <c r="G286" s="246" t="s">
        <v>439</v>
      </c>
      <c r="H286" s="3188"/>
      <c r="I286" s="37"/>
      <c r="J286" s="37"/>
      <c r="K286" s="37"/>
      <c r="L286" s="37"/>
      <c r="M286" s="37"/>
      <c r="N286" s="37"/>
      <c r="O286" s="37"/>
      <c r="P286" s="37"/>
      <c r="Q286" s="37"/>
      <c r="R286" s="37"/>
      <c r="S286" s="37"/>
      <c r="T286" s="37"/>
      <c r="U286" s="37"/>
      <c r="V286" s="37"/>
    </row>
    <row r="287" spans="1:22" x14ac:dyDescent="0.2">
      <c r="A287" s="37"/>
      <c r="B287" s="296" t="s">
        <v>459</v>
      </c>
      <c r="C287" s="646"/>
      <c r="D287" s="294" t="s">
        <v>460</v>
      </c>
      <c r="E287" s="297" t="s">
        <v>495</v>
      </c>
      <c r="F287" s="298" t="s">
        <v>405</v>
      </c>
      <c r="G287" s="246" t="s">
        <v>20</v>
      </c>
      <c r="H287" s="3188"/>
      <c r="I287" s="37"/>
      <c r="J287" s="37"/>
      <c r="K287" s="37"/>
      <c r="L287" s="37"/>
      <c r="M287" s="37"/>
      <c r="N287" s="37"/>
      <c r="O287" s="37"/>
      <c r="P287" s="37"/>
      <c r="Q287" s="37"/>
      <c r="R287" s="37"/>
      <c r="S287" s="37"/>
      <c r="T287" s="37"/>
      <c r="U287" s="37"/>
      <c r="V287" s="37"/>
    </row>
    <row r="288" spans="1:22" x14ac:dyDescent="0.2">
      <c r="A288" s="37"/>
      <c r="B288" s="296" t="s">
        <v>459</v>
      </c>
      <c r="C288" s="646"/>
      <c r="D288" s="294" t="s">
        <v>461</v>
      </c>
      <c r="E288" s="297" t="s">
        <v>493</v>
      </c>
      <c r="F288" s="298" t="s">
        <v>405</v>
      </c>
      <c r="G288" s="246" t="s">
        <v>439</v>
      </c>
      <c r="H288" s="3188"/>
      <c r="I288" s="37"/>
      <c r="J288" s="37"/>
      <c r="K288" s="37"/>
      <c r="L288" s="37"/>
      <c r="M288" s="37"/>
      <c r="N288" s="37"/>
      <c r="O288" s="37"/>
      <c r="P288" s="37"/>
      <c r="Q288" s="37"/>
      <c r="R288" s="37"/>
      <c r="S288" s="37"/>
      <c r="T288" s="37"/>
      <c r="U288" s="37"/>
      <c r="V288" s="37"/>
    </row>
    <row r="289" spans="1:22" x14ac:dyDescent="0.2">
      <c r="A289" s="37"/>
      <c r="B289" s="296" t="s">
        <v>459</v>
      </c>
      <c r="C289" s="646"/>
      <c r="D289" s="294" t="s">
        <v>462</v>
      </c>
      <c r="E289" s="297" t="s">
        <v>500</v>
      </c>
      <c r="F289" s="298" t="s">
        <v>405</v>
      </c>
      <c r="G289" s="246" t="s">
        <v>455</v>
      </c>
      <c r="H289" s="3188"/>
      <c r="I289" s="37"/>
      <c r="J289" s="37"/>
      <c r="K289" s="37"/>
      <c r="L289" s="37"/>
      <c r="M289" s="37"/>
      <c r="N289" s="37"/>
      <c r="O289" s="37"/>
      <c r="P289" s="37"/>
      <c r="Q289" s="37"/>
      <c r="R289" s="37"/>
      <c r="S289" s="37"/>
      <c r="T289" s="37"/>
      <c r="U289" s="37"/>
      <c r="V289" s="37"/>
    </row>
    <row r="290" spans="1:22" x14ac:dyDescent="0.2">
      <c r="A290" s="37"/>
      <c r="B290" s="296" t="s">
        <v>459</v>
      </c>
      <c r="C290" s="646"/>
      <c r="D290" s="294" t="s">
        <v>463</v>
      </c>
      <c r="E290" s="297" t="s">
        <v>501</v>
      </c>
      <c r="F290" s="298" t="s">
        <v>405</v>
      </c>
      <c r="G290" s="246" t="s">
        <v>20</v>
      </c>
      <c r="H290" s="3188"/>
      <c r="I290" s="37"/>
      <c r="J290" s="37"/>
      <c r="K290" s="37"/>
      <c r="L290" s="1501"/>
      <c r="M290" s="37"/>
      <c r="N290" s="37"/>
      <c r="O290" s="37"/>
      <c r="P290" s="37"/>
      <c r="Q290" s="37"/>
      <c r="R290" s="37"/>
      <c r="S290" s="37"/>
      <c r="T290" s="37"/>
      <c r="U290" s="37"/>
      <c r="V290" s="37"/>
    </row>
    <row r="291" spans="1:22" x14ac:dyDescent="0.2">
      <c r="A291" s="37"/>
      <c r="B291" s="296" t="s">
        <v>459</v>
      </c>
      <c r="C291" s="646"/>
      <c r="D291" s="294" t="s">
        <v>464</v>
      </c>
      <c r="E291" s="297" t="s">
        <v>506</v>
      </c>
      <c r="F291" s="298" t="s">
        <v>405</v>
      </c>
      <c r="G291" s="246" t="s">
        <v>439</v>
      </c>
      <c r="H291" s="3188"/>
      <c r="I291" s="37" t="s">
        <v>1210</v>
      </c>
      <c r="J291" s="37"/>
      <c r="K291" s="37"/>
      <c r="L291" s="37"/>
      <c r="M291" s="37"/>
      <c r="N291" s="37"/>
      <c r="O291" s="37"/>
      <c r="P291" s="37"/>
      <c r="Q291" s="37"/>
      <c r="R291" s="37"/>
      <c r="S291" s="37"/>
      <c r="T291" s="37"/>
      <c r="U291" s="37"/>
      <c r="V291" s="37"/>
    </row>
    <row r="292" spans="1:22" x14ac:dyDescent="0.2">
      <c r="A292" s="37"/>
      <c r="B292" s="296" t="s">
        <v>459</v>
      </c>
      <c r="C292" s="646"/>
      <c r="D292" s="294" t="s">
        <v>465</v>
      </c>
      <c r="E292" s="297" t="s">
        <v>508</v>
      </c>
      <c r="F292" s="298" t="s">
        <v>405</v>
      </c>
      <c r="G292" s="246" t="s">
        <v>439</v>
      </c>
      <c r="H292" s="3188"/>
      <c r="I292" s="37" t="s">
        <v>1210</v>
      </c>
      <c r="J292" s="37"/>
      <c r="K292" s="37"/>
      <c r="L292" s="37"/>
      <c r="M292" s="37"/>
      <c r="N292" s="37"/>
      <c r="O292" s="37"/>
      <c r="P292" s="37"/>
      <c r="Q292" s="37"/>
      <c r="R292" s="37"/>
      <c r="S292" s="37"/>
      <c r="T292" s="37"/>
      <c r="U292" s="37"/>
      <c r="V292" s="37"/>
    </row>
    <row r="293" spans="1:22" x14ac:dyDescent="0.2">
      <c r="A293" s="37"/>
      <c r="B293" s="296" t="s">
        <v>459</v>
      </c>
      <c r="C293" s="646"/>
      <c r="D293" s="294" t="s">
        <v>466</v>
      </c>
      <c r="E293" s="297" t="s">
        <v>511</v>
      </c>
      <c r="F293" s="298" t="s">
        <v>405</v>
      </c>
      <c r="G293" s="246" t="s">
        <v>20</v>
      </c>
      <c r="H293" s="3188"/>
      <c r="I293" s="37"/>
      <c r="J293" s="37"/>
      <c r="K293" s="37"/>
      <c r="L293" s="37"/>
      <c r="M293" s="37"/>
      <c r="N293" s="37"/>
      <c r="O293" s="37"/>
      <c r="P293" s="37"/>
      <c r="Q293" s="37"/>
      <c r="R293" s="37"/>
      <c r="S293" s="37"/>
      <c r="T293" s="37"/>
      <c r="U293" s="37"/>
      <c r="V293" s="37"/>
    </row>
    <row r="294" spans="1:22" x14ac:dyDescent="0.2">
      <c r="A294" s="37"/>
      <c r="B294" s="296" t="s">
        <v>459</v>
      </c>
      <c r="C294" s="646"/>
      <c r="D294" s="294" t="s">
        <v>467</v>
      </c>
      <c r="E294" s="297" t="s">
        <v>516</v>
      </c>
      <c r="F294" s="298" t="s">
        <v>405</v>
      </c>
      <c r="G294" s="246" t="s">
        <v>439</v>
      </c>
      <c r="H294" s="3188"/>
      <c r="I294" s="37"/>
      <c r="J294" s="37"/>
      <c r="K294" s="37"/>
      <c r="L294" s="37"/>
      <c r="M294" s="37"/>
      <c r="N294" s="37"/>
      <c r="O294" s="37"/>
      <c r="P294" s="37"/>
      <c r="Q294" s="37"/>
      <c r="R294" s="37"/>
      <c r="S294" s="37"/>
      <c r="T294" s="37"/>
      <c r="U294" s="37"/>
      <c r="V294" s="37"/>
    </row>
    <row r="295" spans="1:22" x14ac:dyDescent="0.2">
      <c r="A295" s="37"/>
      <c r="B295" s="296" t="s">
        <v>459</v>
      </c>
      <c r="C295" s="646"/>
      <c r="D295" s="294" t="s">
        <v>468</v>
      </c>
      <c r="E295" s="297" t="s">
        <v>516</v>
      </c>
      <c r="F295" s="298" t="s">
        <v>405</v>
      </c>
      <c r="G295" s="246" t="s">
        <v>439</v>
      </c>
      <c r="H295" s="3188"/>
      <c r="I295" s="37"/>
      <c r="J295" s="37"/>
      <c r="K295" s="37"/>
      <c r="L295" s="37"/>
      <c r="M295" s="37"/>
      <c r="N295" s="37"/>
      <c r="O295" s="37"/>
      <c r="P295" s="37"/>
      <c r="Q295" s="37"/>
      <c r="R295" s="37"/>
      <c r="S295" s="37"/>
      <c r="T295" s="37"/>
      <c r="U295" s="37"/>
      <c r="V295" s="37"/>
    </row>
    <row r="296" spans="1:22" x14ac:dyDescent="0.2">
      <c r="A296" s="37"/>
      <c r="B296" s="296" t="s">
        <v>459</v>
      </c>
      <c r="C296" s="646"/>
      <c r="D296" s="294" t="s">
        <v>469</v>
      </c>
      <c r="E296" s="297" t="s">
        <v>519</v>
      </c>
      <c r="F296" s="298" t="s">
        <v>405</v>
      </c>
      <c r="G296" s="246" t="s">
        <v>20</v>
      </c>
      <c r="H296" s="3188"/>
      <c r="I296" s="37"/>
      <c r="J296" s="37"/>
      <c r="K296" s="37"/>
      <c r="L296" s="37"/>
      <c r="M296" s="37"/>
      <c r="N296" s="37"/>
      <c r="O296" s="37"/>
      <c r="P296" s="37"/>
      <c r="Q296" s="37"/>
      <c r="R296" s="37"/>
      <c r="S296" s="37"/>
      <c r="T296" s="37"/>
      <c r="U296" s="37"/>
      <c r="V296" s="37"/>
    </row>
    <row r="297" spans="1:22" x14ac:dyDescent="0.2">
      <c r="A297" s="37"/>
      <c r="B297" s="296" t="s">
        <v>459</v>
      </c>
      <c r="C297" s="646"/>
      <c r="D297" s="294" t="s">
        <v>470</v>
      </c>
      <c r="E297" s="297" t="s">
        <v>520</v>
      </c>
      <c r="F297" s="298" t="s">
        <v>405</v>
      </c>
      <c r="G297" s="246" t="s">
        <v>439</v>
      </c>
      <c r="H297" s="3188"/>
      <c r="I297" s="37" t="s">
        <v>1210</v>
      </c>
      <c r="J297" s="37"/>
      <c r="K297" s="37"/>
      <c r="L297" s="37"/>
      <c r="M297" s="37"/>
      <c r="N297" s="37"/>
      <c r="O297" s="37"/>
      <c r="P297" s="37"/>
      <c r="Q297" s="37"/>
      <c r="R297" s="37"/>
      <c r="S297" s="37"/>
      <c r="T297" s="37"/>
      <c r="U297" s="37"/>
      <c r="V297" s="37"/>
    </row>
    <row r="298" spans="1:22" x14ac:dyDescent="0.2">
      <c r="A298" s="37"/>
      <c r="B298" s="296" t="s">
        <v>459</v>
      </c>
      <c r="C298" s="646"/>
      <c r="D298" s="294" t="s">
        <v>471</v>
      </c>
      <c r="E298" s="297" t="s">
        <v>523</v>
      </c>
      <c r="F298" s="298" t="s">
        <v>405</v>
      </c>
      <c r="G298" s="246" t="s">
        <v>20</v>
      </c>
      <c r="H298" s="3188"/>
      <c r="I298" s="37"/>
      <c r="J298" s="37"/>
      <c r="K298" s="37"/>
      <c r="L298" s="37"/>
      <c r="M298" s="37"/>
      <c r="N298" s="37"/>
      <c r="O298" s="37"/>
      <c r="P298" s="37"/>
      <c r="Q298" s="37"/>
      <c r="R298" s="37"/>
      <c r="S298" s="37"/>
      <c r="T298" s="37"/>
      <c r="U298" s="37"/>
      <c r="V298" s="37"/>
    </row>
    <row r="299" spans="1:22" x14ac:dyDescent="0.2">
      <c r="A299" s="37"/>
      <c r="B299" s="296" t="s">
        <v>459</v>
      </c>
      <c r="C299" s="646"/>
      <c r="D299" s="294" t="s">
        <v>472</v>
      </c>
      <c r="E299" s="297" t="s">
        <v>526</v>
      </c>
      <c r="F299" s="298" t="s">
        <v>405</v>
      </c>
      <c r="G299" s="246" t="s">
        <v>455</v>
      </c>
      <c r="H299" s="3188"/>
      <c r="I299" s="37"/>
      <c r="J299" s="37"/>
      <c r="K299" s="37"/>
      <c r="L299" s="37"/>
      <c r="M299" s="37"/>
      <c r="N299" s="37"/>
      <c r="O299" s="37"/>
      <c r="P299" s="37"/>
      <c r="Q299" s="37"/>
      <c r="R299" s="37"/>
      <c r="S299" s="37"/>
      <c r="T299" s="37"/>
      <c r="U299" s="37"/>
      <c r="V299" s="37"/>
    </row>
    <row r="300" spans="1:22" x14ac:dyDescent="0.2">
      <c r="A300" s="37"/>
      <c r="B300" s="296" t="s">
        <v>459</v>
      </c>
      <c r="C300" s="646"/>
      <c r="D300" s="294" t="s">
        <v>473</v>
      </c>
      <c r="E300" s="297" t="s">
        <v>528</v>
      </c>
      <c r="F300" s="298" t="s">
        <v>405</v>
      </c>
      <c r="G300" s="246" t="s">
        <v>20</v>
      </c>
      <c r="H300" s="3188"/>
      <c r="I300" s="37"/>
      <c r="J300" s="37"/>
      <c r="K300" s="37"/>
      <c r="L300" s="37"/>
      <c r="M300" s="37"/>
      <c r="N300" s="37"/>
      <c r="O300" s="37"/>
      <c r="P300" s="37"/>
      <c r="Q300" s="37"/>
      <c r="R300" s="37"/>
      <c r="S300" s="37"/>
      <c r="T300" s="37"/>
      <c r="U300" s="37"/>
      <c r="V300" s="37"/>
    </row>
    <row r="301" spans="1:22" x14ac:dyDescent="0.2">
      <c r="A301" s="37"/>
      <c r="B301" s="296" t="s">
        <v>459</v>
      </c>
      <c r="C301" s="646"/>
      <c r="D301" s="294" t="s">
        <v>474</v>
      </c>
      <c r="E301" s="297" t="s">
        <v>529</v>
      </c>
      <c r="F301" s="298" t="s">
        <v>405</v>
      </c>
      <c r="G301" s="246" t="s">
        <v>455</v>
      </c>
      <c r="H301" s="3188"/>
      <c r="I301" s="37"/>
      <c r="J301" s="37"/>
      <c r="K301" s="37"/>
      <c r="L301" s="37"/>
      <c r="M301" s="37"/>
      <c r="N301" s="37"/>
      <c r="O301" s="37"/>
      <c r="P301" s="37"/>
      <c r="Q301" s="37"/>
      <c r="R301" s="37"/>
      <c r="S301" s="37"/>
      <c r="T301" s="37"/>
      <c r="U301" s="37"/>
      <c r="V301" s="37"/>
    </row>
    <row r="302" spans="1:22" x14ac:dyDescent="0.2">
      <c r="A302" s="37"/>
      <c r="B302" s="296" t="s">
        <v>459</v>
      </c>
      <c r="C302" s="646"/>
      <c r="D302" s="294" t="s">
        <v>475</v>
      </c>
      <c r="E302" s="297" t="s">
        <v>534</v>
      </c>
      <c r="F302" s="298" t="s">
        <v>405</v>
      </c>
      <c r="G302" s="246" t="s">
        <v>20</v>
      </c>
      <c r="H302" s="3188"/>
      <c r="I302" s="37"/>
      <c r="J302" s="37"/>
      <c r="K302" s="37"/>
      <c r="L302" s="37"/>
      <c r="M302" s="37"/>
      <c r="N302" s="37"/>
      <c r="O302" s="37"/>
      <c r="P302" s="37"/>
      <c r="Q302" s="37"/>
      <c r="R302" s="37"/>
      <c r="S302" s="37"/>
      <c r="T302" s="37"/>
      <c r="U302" s="37"/>
      <c r="V302" s="37"/>
    </row>
    <row r="303" spans="1:22" x14ac:dyDescent="0.2">
      <c r="A303" s="37"/>
      <c r="B303" s="296" t="s">
        <v>459</v>
      </c>
      <c r="C303" s="646"/>
      <c r="D303" s="294" t="s">
        <v>476</v>
      </c>
      <c r="E303" s="297" t="s">
        <v>535</v>
      </c>
      <c r="F303" s="298" t="s">
        <v>405</v>
      </c>
      <c r="G303" s="246" t="s">
        <v>439</v>
      </c>
      <c r="H303" s="3188"/>
      <c r="I303" s="37" t="s">
        <v>1210</v>
      </c>
      <c r="J303" s="37"/>
      <c r="K303" s="37"/>
      <c r="L303" s="37"/>
      <c r="M303" s="37"/>
      <c r="N303" s="37"/>
      <c r="O303" s="37"/>
      <c r="P303" s="37"/>
      <c r="Q303" s="37"/>
      <c r="R303" s="37"/>
      <c r="S303" s="37"/>
      <c r="T303" s="37"/>
      <c r="U303" s="37"/>
      <c r="V303" s="37"/>
    </row>
    <row r="304" spans="1:22" x14ac:dyDescent="0.2">
      <c r="A304" s="37"/>
      <c r="B304" s="296" t="s">
        <v>459</v>
      </c>
      <c r="C304" s="646"/>
      <c r="D304" s="294" t="s">
        <v>477</v>
      </c>
      <c r="E304" s="297" t="s">
        <v>536</v>
      </c>
      <c r="F304" s="298" t="s">
        <v>405</v>
      </c>
      <c r="G304" s="246" t="s">
        <v>20</v>
      </c>
      <c r="H304" s="3188"/>
      <c r="I304" s="37"/>
      <c r="J304" s="37"/>
      <c r="K304" s="37"/>
      <c r="L304" s="37"/>
      <c r="M304" s="37"/>
      <c r="N304" s="37"/>
      <c r="O304" s="37"/>
      <c r="P304" s="37"/>
      <c r="Q304" s="37"/>
      <c r="R304" s="37"/>
      <c r="S304" s="37"/>
      <c r="T304" s="37"/>
      <c r="U304" s="37"/>
      <c r="V304" s="37"/>
    </row>
    <row r="305" spans="1:22" x14ac:dyDescent="0.2">
      <c r="A305" s="37"/>
      <c r="B305" s="296" t="s">
        <v>459</v>
      </c>
      <c r="C305" s="646"/>
      <c r="D305" s="294" t="s">
        <v>478</v>
      </c>
      <c r="E305" s="297" t="s">
        <v>537</v>
      </c>
      <c r="F305" s="298" t="s">
        <v>405</v>
      </c>
      <c r="G305" s="246" t="s">
        <v>20</v>
      </c>
      <c r="H305" s="3188"/>
      <c r="I305" s="37"/>
      <c r="J305" s="37"/>
      <c r="K305" s="37"/>
      <c r="L305" s="37"/>
      <c r="M305" s="37"/>
      <c r="N305" s="37"/>
      <c r="O305" s="37"/>
      <c r="P305" s="37"/>
      <c r="Q305" s="37"/>
      <c r="R305" s="37"/>
      <c r="S305" s="37"/>
      <c r="T305" s="37"/>
      <c r="U305" s="37"/>
      <c r="V305" s="37"/>
    </row>
    <row r="306" spans="1:22" x14ac:dyDescent="0.2">
      <c r="A306" s="37"/>
      <c r="B306" s="296" t="s">
        <v>459</v>
      </c>
      <c r="C306" s="646"/>
      <c r="D306" s="294" t="s">
        <v>479</v>
      </c>
      <c r="E306" s="297" t="s">
        <v>540</v>
      </c>
      <c r="F306" s="298" t="s">
        <v>405</v>
      </c>
      <c r="G306" s="246" t="s">
        <v>20</v>
      </c>
      <c r="H306" s="3188"/>
      <c r="I306" s="37"/>
      <c r="J306" s="37"/>
      <c r="K306" s="37"/>
      <c r="L306" s="37"/>
      <c r="M306" s="37"/>
      <c r="N306" s="37"/>
      <c r="O306" s="37"/>
      <c r="P306" s="37"/>
      <c r="Q306" s="37"/>
      <c r="R306" s="37"/>
      <c r="S306" s="37"/>
      <c r="T306" s="37"/>
      <c r="U306" s="37"/>
      <c r="V306" s="37"/>
    </row>
    <row r="307" spans="1:22" x14ac:dyDescent="0.2">
      <c r="A307" s="37"/>
      <c r="B307" s="296" t="s">
        <v>459</v>
      </c>
      <c r="C307" s="646"/>
      <c r="D307" s="294" t="s">
        <v>480</v>
      </c>
      <c r="E307" s="297" t="s">
        <v>541</v>
      </c>
      <c r="F307" s="298" t="s">
        <v>405</v>
      </c>
      <c r="G307" s="246" t="s">
        <v>439</v>
      </c>
      <c r="H307" s="3188"/>
      <c r="I307" s="37"/>
      <c r="J307" s="37"/>
      <c r="K307" s="37"/>
      <c r="L307" s="37"/>
      <c r="M307" s="37"/>
      <c r="N307" s="37"/>
      <c r="O307" s="37"/>
      <c r="P307" s="37"/>
      <c r="Q307" s="37"/>
      <c r="R307" s="37"/>
      <c r="S307" s="37"/>
      <c r="T307" s="37"/>
      <c r="U307" s="37"/>
      <c r="V307" s="37"/>
    </row>
    <row r="308" spans="1:22" x14ac:dyDescent="0.2">
      <c r="A308" s="37"/>
      <c r="B308" s="296" t="s">
        <v>459</v>
      </c>
      <c r="C308" s="646"/>
      <c r="D308" s="294" t="s">
        <v>481</v>
      </c>
      <c r="E308" s="297" t="s">
        <v>543</v>
      </c>
      <c r="F308" s="298" t="s">
        <v>405</v>
      </c>
      <c r="G308" s="246" t="s">
        <v>439</v>
      </c>
      <c r="H308" s="3188"/>
      <c r="I308" s="37" t="s">
        <v>1210</v>
      </c>
      <c r="J308" s="37"/>
      <c r="K308" s="37"/>
      <c r="L308" s="37"/>
      <c r="M308" s="37"/>
      <c r="N308" s="37"/>
      <c r="O308" s="37"/>
      <c r="P308" s="37"/>
      <c r="Q308" s="37"/>
      <c r="R308" s="37"/>
      <c r="S308" s="37"/>
      <c r="T308" s="37"/>
      <c r="U308" s="37"/>
      <c r="V308" s="37"/>
    </row>
    <row r="309" spans="1:22" x14ac:dyDescent="0.2">
      <c r="A309" s="37"/>
      <c r="B309" s="296" t="s">
        <v>459</v>
      </c>
      <c r="C309" s="646"/>
      <c r="D309" s="294" t="s">
        <v>482</v>
      </c>
      <c r="E309" s="297" t="s">
        <v>544</v>
      </c>
      <c r="F309" s="298" t="s">
        <v>405</v>
      </c>
      <c r="G309" s="246" t="s">
        <v>439</v>
      </c>
      <c r="H309" s="3188"/>
      <c r="I309" s="37" t="s">
        <v>1210</v>
      </c>
      <c r="J309" s="37"/>
      <c r="K309" s="37"/>
      <c r="L309" s="37"/>
      <c r="M309" s="37"/>
      <c r="N309" s="37"/>
      <c r="O309" s="37"/>
      <c r="P309" s="37"/>
      <c r="Q309" s="37"/>
      <c r="R309" s="37"/>
      <c r="S309" s="37"/>
      <c r="T309" s="37"/>
      <c r="U309" s="37"/>
      <c r="V309" s="37"/>
    </row>
    <row r="310" spans="1:22" x14ac:dyDescent="0.2">
      <c r="A310" s="37"/>
      <c r="B310" s="296" t="s">
        <v>459</v>
      </c>
      <c r="C310" s="646"/>
      <c r="D310" s="297" t="s">
        <v>483</v>
      </c>
      <c r="E310" s="297" t="s">
        <v>551</v>
      </c>
      <c r="F310" s="297" t="s">
        <v>405</v>
      </c>
      <c r="G310" s="246" t="s">
        <v>20</v>
      </c>
      <c r="H310" s="3188"/>
      <c r="I310" s="37"/>
      <c r="J310" s="37"/>
      <c r="K310" s="37"/>
      <c r="L310" s="37"/>
      <c r="M310" s="37"/>
      <c r="N310" s="37"/>
      <c r="O310" s="37"/>
      <c r="P310" s="37"/>
      <c r="Q310" s="37"/>
      <c r="R310" s="37"/>
      <c r="S310" s="37"/>
      <c r="T310" s="37"/>
      <c r="U310" s="37"/>
      <c r="V310" s="37"/>
    </row>
    <row r="311" spans="1:22" x14ac:dyDescent="0.2">
      <c r="A311" s="37"/>
      <c r="B311" s="296" t="s">
        <v>459</v>
      </c>
      <c r="C311" s="646"/>
      <c r="D311" s="297" t="s">
        <v>1214</v>
      </c>
      <c r="E311" s="297" t="s">
        <v>553</v>
      </c>
      <c r="F311" s="297" t="s">
        <v>405</v>
      </c>
      <c r="G311" s="246" t="s">
        <v>439</v>
      </c>
      <c r="H311" s="3188"/>
      <c r="I311" s="1501"/>
      <c r="J311" s="1501"/>
      <c r="K311" s="37"/>
      <c r="L311" s="37"/>
      <c r="M311" s="37"/>
      <c r="N311" s="37"/>
      <c r="O311" s="37"/>
      <c r="P311" s="37"/>
      <c r="Q311" s="37"/>
      <c r="R311" s="37"/>
      <c r="S311" s="37"/>
      <c r="T311" s="37"/>
      <c r="U311" s="37"/>
      <c r="V311" s="37"/>
    </row>
    <row r="312" spans="1:22" x14ac:dyDescent="0.2">
      <c r="A312" s="37"/>
      <c r="B312" s="296" t="s">
        <v>484</v>
      </c>
      <c r="C312" s="646"/>
      <c r="D312" s="297" t="s">
        <v>1215</v>
      </c>
      <c r="E312" s="297" t="s">
        <v>552</v>
      </c>
      <c r="F312" s="297" t="s">
        <v>405</v>
      </c>
      <c r="G312" s="246" t="s">
        <v>439</v>
      </c>
      <c r="H312" s="3188"/>
      <c r="I312" s="37"/>
      <c r="J312" s="37"/>
      <c r="K312" s="37"/>
      <c r="L312" s="37"/>
      <c r="M312" s="37"/>
      <c r="N312" s="37"/>
      <c r="O312" s="37"/>
      <c r="P312" s="37"/>
      <c r="Q312" s="37"/>
      <c r="R312" s="37"/>
      <c r="S312" s="37"/>
      <c r="T312" s="37"/>
      <c r="U312" s="37"/>
      <c r="V312" s="37"/>
    </row>
    <row r="313" spans="1:22" x14ac:dyDescent="0.2">
      <c r="A313" s="37"/>
      <c r="B313" s="296" t="s">
        <v>484</v>
      </c>
      <c r="C313" s="646"/>
      <c r="D313" s="297" t="s">
        <v>1472</v>
      </c>
      <c r="E313" s="297" t="s">
        <v>1473</v>
      </c>
      <c r="F313" s="297" t="s">
        <v>405</v>
      </c>
      <c r="G313" s="246" t="s">
        <v>439</v>
      </c>
      <c r="H313" s="3188"/>
      <c r="I313" s="1501"/>
      <c r="J313" s="37"/>
      <c r="K313" s="37"/>
      <c r="L313" s="37"/>
      <c r="M313" s="37"/>
      <c r="N313" s="37"/>
      <c r="O313" s="37"/>
      <c r="P313" s="37"/>
      <c r="Q313" s="37"/>
      <c r="R313" s="37"/>
      <c r="S313" s="37"/>
      <c r="T313" s="37"/>
      <c r="U313" s="37"/>
      <c r="V313" s="37"/>
    </row>
    <row r="314" spans="1:22" x14ac:dyDescent="0.2">
      <c r="A314" s="37"/>
      <c r="B314" s="296" t="s">
        <v>459</v>
      </c>
      <c r="C314" s="646"/>
      <c r="D314" s="297" t="s">
        <v>485</v>
      </c>
      <c r="E314" s="297" t="s">
        <v>1477</v>
      </c>
      <c r="F314" s="297" t="s">
        <v>405</v>
      </c>
      <c r="G314" s="246" t="s">
        <v>20</v>
      </c>
      <c r="H314" s="3188"/>
      <c r="I314" s="37"/>
      <c r="J314" s="37"/>
      <c r="K314" s="37"/>
      <c r="L314" s="37"/>
      <c r="M314" s="37"/>
      <c r="N314" s="37"/>
      <c r="O314" s="37"/>
      <c r="P314" s="37"/>
      <c r="Q314" s="37"/>
      <c r="R314" s="37"/>
      <c r="S314" s="37"/>
      <c r="T314" s="37"/>
      <c r="U314" s="37"/>
      <c r="V314" s="37"/>
    </row>
    <row r="315" spans="1:22" x14ac:dyDescent="0.2">
      <c r="A315" s="37"/>
      <c r="B315" s="296" t="s">
        <v>459</v>
      </c>
      <c r="C315" s="646"/>
      <c r="D315" s="297" t="s">
        <v>1475</v>
      </c>
      <c r="E315" s="297" t="s">
        <v>1479</v>
      </c>
      <c r="F315" s="297" t="s">
        <v>405</v>
      </c>
      <c r="G315" s="246" t="s">
        <v>439</v>
      </c>
      <c r="H315" s="3188"/>
      <c r="I315" s="37"/>
      <c r="J315" s="37"/>
      <c r="K315" s="37"/>
      <c r="L315" s="37"/>
      <c r="M315" s="37"/>
      <c r="N315" s="37"/>
      <c r="O315" s="37"/>
      <c r="P315" s="37"/>
      <c r="Q315" s="37"/>
      <c r="R315" s="37"/>
      <c r="S315" s="37"/>
      <c r="T315" s="37"/>
      <c r="U315" s="37"/>
      <c r="V315" s="37"/>
    </row>
    <row r="316" spans="1:22" x14ac:dyDescent="0.2">
      <c r="A316" s="37"/>
      <c r="B316" s="296" t="s">
        <v>459</v>
      </c>
      <c r="C316" s="646"/>
      <c r="D316" s="297" t="s">
        <v>1476</v>
      </c>
      <c r="E316" s="297" t="s">
        <v>1478</v>
      </c>
      <c r="F316" s="297" t="s">
        <v>405</v>
      </c>
      <c r="G316" s="246" t="s">
        <v>439</v>
      </c>
      <c r="H316" s="3188"/>
      <c r="I316" s="37"/>
      <c r="J316" s="37"/>
      <c r="K316" s="37"/>
      <c r="L316" s="37"/>
      <c r="M316" s="37"/>
      <c r="N316" s="37"/>
      <c r="O316" s="37"/>
      <c r="P316" s="37"/>
      <c r="Q316" s="37"/>
      <c r="R316" s="37"/>
      <c r="S316" s="37"/>
      <c r="T316" s="37"/>
      <c r="U316" s="37"/>
      <c r="V316" s="37"/>
    </row>
    <row r="317" spans="1:22" x14ac:dyDescent="0.2">
      <c r="A317" s="37"/>
      <c r="B317" s="296" t="s">
        <v>459</v>
      </c>
      <c r="C317" s="646"/>
      <c r="D317" s="297" t="s">
        <v>1480</v>
      </c>
      <c r="E317" s="297" t="s">
        <v>1481</v>
      </c>
      <c r="F317" s="297" t="s">
        <v>405</v>
      </c>
      <c r="G317" s="246" t="s">
        <v>439</v>
      </c>
      <c r="H317" s="3188"/>
      <c r="I317" s="37"/>
      <c r="J317" s="37"/>
      <c r="K317" s="37"/>
      <c r="L317" s="37"/>
      <c r="M317" s="37"/>
      <c r="N317" s="37"/>
      <c r="O317" s="37"/>
      <c r="P317" s="37"/>
      <c r="Q317" s="37"/>
      <c r="R317" s="37"/>
      <c r="S317" s="37"/>
      <c r="T317" s="37"/>
      <c r="U317" s="37"/>
      <c r="V317" s="37"/>
    </row>
    <row r="318" spans="1:22" x14ac:dyDescent="0.2">
      <c r="A318" s="37"/>
      <c r="B318" s="296" t="s">
        <v>459</v>
      </c>
      <c r="C318" s="646"/>
      <c r="D318" s="294" t="s">
        <v>486</v>
      </c>
      <c r="E318" s="297" t="s">
        <v>555</v>
      </c>
      <c r="F318" s="298" t="s">
        <v>405</v>
      </c>
      <c r="G318" s="246"/>
      <c r="H318" s="3188"/>
      <c r="I318" s="37"/>
      <c r="J318" s="37"/>
      <c r="K318" s="37"/>
      <c r="L318" s="37"/>
      <c r="M318" s="37"/>
      <c r="N318" s="37"/>
      <c r="O318" s="37"/>
      <c r="P318" s="37"/>
      <c r="Q318" s="37"/>
      <c r="R318" s="37"/>
      <c r="S318" s="37"/>
      <c r="T318" s="37"/>
      <c r="U318" s="37"/>
      <c r="V318" s="37"/>
    </row>
    <row r="319" spans="1:22" x14ac:dyDescent="0.2">
      <c r="A319" s="37"/>
      <c r="B319" s="296" t="s">
        <v>459</v>
      </c>
      <c r="C319" s="646"/>
      <c r="D319" s="297" t="s">
        <v>487</v>
      </c>
      <c r="E319" s="297" t="s">
        <v>529</v>
      </c>
      <c r="F319" s="297" t="s">
        <v>405</v>
      </c>
      <c r="G319" s="246" t="s">
        <v>439</v>
      </c>
      <c r="H319" s="3188"/>
      <c r="I319" s="1501" t="s">
        <v>1210</v>
      </c>
      <c r="J319" s="37"/>
      <c r="K319" s="37"/>
      <c r="L319" s="37"/>
      <c r="M319" s="37"/>
      <c r="N319" s="37"/>
      <c r="O319" s="37"/>
      <c r="P319" s="37"/>
      <c r="Q319" s="37"/>
      <c r="R319" s="37"/>
      <c r="S319" s="37"/>
      <c r="T319" s="37"/>
      <c r="U319" s="37"/>
      <c r="V319" s="37"/>
    </row>
    <row r="320" spans="1:22" x14ac:dyDescent="0.2">
      <c r="A320" s="37"/>
      <c r="B320" s="332" t="s">
        <v>459</v>
      </c>
      <c r="C320" s="658"/>
      <c r="D320" s="333" t="s">
        <v>407</v>
      </c>
      <c r="E320" s="333" t="s">
        <v>497</v>
      </c>
      <c r="F320" s="333" t="s">
        <v>456</v>
      </c>
      <c r="G320" s="253" t="s">
        <v>20</v>
      </c>
      <c r="H320" s="3188"/>
      <c r="I320" s="37"/>
      <c r="J320" s="37"/>
      <c r="K320" s="37"/>
      <c r="L320" s="37"/>
      <c r="M320" s="37"/>
      <c r="N320" s="37"/>
      <c r="O320" s="37"/>
      <c r="P320" s="37"/>
      <c r="Q320" s="37"/>
      <c r="R320" s="37"/>
      <c r="S320" s="37"/>
      <c r="T320" s="37"/>
      <c r="U320" s="37"/>
      <c r="V320" s="37"/>
    </row>
    <row r="321" spans="1:22" x14ac:dyDescent="0.2">
      <c r="A321" s="37"/>
      <c r="B321" s="288" t="s">
        <v>459</v>
      </c>
      <c r="C321" s="659"/>
      <c r="D321" s="268" t="s">
        <v>409</v>
      </c>
      <c r="E321" s="289" t="s">
        <v>496</v>
      </c>
      <c r="F321" s="334" t="s">
        <v>456</v>
      </c>
      <c r="G321" s="246" t="s">
        <v>439</v>
      </c>
      <c r="H321" s="3188"/>
      <c r="I321" s="37"/>
      <c r="J321" s="37"/>
      <c r="K321" s="37"/>
      <c r="L321" s="37"/>
      <c r="M321" s="37"/>
      <c r="N321" s="37"/>
      <c r="O321" s="37"/>
      <c r="P321" s="37"/>
      <c r="Q321" s="37"/>
      <c r="R321" s="37"/>
      <c r="S321" s="37"/>
      <c r="T321" s="37"/>
      <c r="U321" s="37"/>
      <c r="V321" s="37"/>
    </row>
    <row r="322" spans="1:22" x14ac:dyDescent="0.2">
      <c r="A322" s="37"/>
      <c r="B322" s="288" t="s">
        <v>459</v>
      </c>
      <c r="C322" s="659"/>
      <c r="D322" s="268" t="s">
        <v>460</v>
      </c>
      <c r="E322" s="289" t="s">
        <v>495</v>
      </c>
      <c r="F322" s="334" t="s">
        <v>456</v>
      </c>
      <c r="G322" s="246" t="s">
        <v>20</v>
      </c>
      <c r="H322" s="3188"/>
      <c r="I322" s="37"/>
      <c r="J322" s="37"/>
      <c r="K322" s="37"/>
      <c r="L322" s="37"/>
      <c r="M322" s="37"/>
      <c r="N322" s="37"/>
      <c r="O322" s="37"/>
      <c r="P322" s="37"/>
      <c r="Q322" s="37"/>
      <c r="R322" s="37"/>
      <c r="S322" s="37"/>
      <c r="T322" s="37"/>
      <c r="U322" s="37"/>
      <c r="V322" s="37"/>
    </row>
    <row r="323" spans="1:22" x14ac:dyDescent="0.2">
      <c r="A323" s="37"/>
      <c r="B323" s="288" t="s">
        <v>459</v>
      </c>
      <c r="C323" s="659"/>
      <c r="D323" s="268" t="s">
        <v>461</v>
      </c>
      <c r="E323" s="289" t="s">
        <v>493</v>
      </c>
      <c r="F323" s="334" t="s">
        <v>456</v>
      </c>
      <c r="G323" s="246" t="s">
        <v>439</v>
      </c>
      <c r="H323" s="3188"/>
      <c r="I323" s="37"/>
      <c r="J323" s="37"/>
      <c r="K323" s="37"/>
      <c r="L323" s="37"/>
      <c r="M323" s="37"/>
      <c r="N323" s="37"/>
      <c r="O323" s="37"/>
      <c r="P323" s="37"/>
      <c r="Q323" s="37"/>
      <c r="R323" s="37"/>
      <c r="S323" s="37"/>
      <c r="T323" s="37"/>
      <c r="U323" s="37"/>
      <c r="V323" s="37"/>
    </row>
    <row r="324" spans="1:22" x14ac:dyDescent="0.2">
      <c r="A324" s="37"/>
      <c r="B324" s="288" t="s">
        <v>459</v>
      </c>
      <c r="C324" s="659"/>
      <c r="D324" s="268" t="s">
        <v>462</v>
      </c>
      <c r="E324" s="289" t="s">
        <v>500</v>
      </c>
      <c r="F324" s="334" t="s">
        <v>456</v>
      </c>
      <c r="G324" s="246" t="s">
        <v>455</v>
      </c>
      <c r="H324" s="3188"/>
      <c r="I324" s="37"/>
      <c r="J324" s="37"/>
      <c r="K324" s="37"/>
      <c r="L324" s="37"/>
      <c r="M324" s="37"/>
      <c r="N324" s="37"/>
      <c r="O324" s="37"/>
      <c r="P324" s="37"/>
      <c r="Q324" s="37"/>
      <c r="R324" s="37"/>
      <c r="S324" s="37"/>
      <c r="T324" s="37"/>
      <c r="U324" s="37"/>
      <c r="V324" s="37"/>
    </row>
    <row r="325" spans="1:22" x14ac:dyDescent="0.2">
      <c r="A325" s="37"/>
      <c r="B325" s="288" t="s">
        <v>459</v>
      </c>
      <c r="C325" s="659"/>
      <c r="D325" s="268" t="s">
        <v>463</v>
      </c>
      <c r="E325" s="289" t="s">
        <v>501</v>
      </c>
      <c r="F325" s="334" t="s">
        <v>456</v>
      </c>
      <c r="G325" s="246" t="s">
        <v>20</v>
      </c>
      <c r="H325" s="3188"/>
      <c r="I325" s="37"/>
      <c r="J325" s="37"/>
      <c r="K325" s="37"/>
      <c r="L325" s="37"/>
      <c r="M325" s="37"/>
      <c r="N325" s="37"/>
      <c r="O325" s="37"/>
      <c r="P325" s="37"/>
      <c r="Q325" s="37"/>
      <c r="R325" s="37"/>
      <c r="S325" s="37"/>
      <c r="T325" s="37"/>
      <c r="U325" s="37"/>
      <c r="V325" s="37"/>
    </row>
    <row r="326" spans="1:22" x14ac:dyDescent="0.2">
      <c r="A326" s="37"/>
      <c r="B326" s="288" t="s">
        <v>459</v>
      </c>
      <c r="C326" s="659"/>
      <c r="D326" s="268" t="s">
        <v>464</v>
      </c>
      <c r="E326" s="289" t="s">
        <v>506</v>
      </c>
      <c r="F326" s="334" t="s">
        <v>456</v>
      </c>
      <c r="G326" s="246" t="s">
        <v>439</v>
      </c>
      <c r="H326" s="3188"/>
      <c r="I326" s="37"/>
      <c r="J326" s="37"/>
      <c r="K326" s="37"/>
      <c r="L326" s="37"/>
      <c r="M326" s="37"/>
      <c r="N326" s="37"/>
      <c r="O326" s="37"/>
      <c r="P326" s="37"/>
      <c r="Q326" s="37"/>
      <c r="R326" s="37"/>
      <c r="S326" s="37"/>
      <c r="T326" s="37"/>
      <c r="U326" s="37"/>
      <c r="V326" s="37"/>
    </row>
    <row r="327" spans="1:22" x14ac:dyDescent="0.2">
      <c r="A327" s="37"/>
      <c r="B327" s="288" t="s">
        <v>459</v>
      </c>
      <c r="C327" s="659"/>
      <c r="D327" s="268" t="s">
        <v>465</v>
      </c>
      <c r="E327" s="289" t="s">
        <v>508</v>
      </c>
      <c r="F327" s="334" t="s">
        <v>456</v>
      </c>
      <c r="G327" s="246" t="s">
        <v>439</v>
      </c>
      <c r="H327" s="3188"/>
      <c r="I327" s="37"/>
      <c r="J327" s="37"/>
      <c r="K327" s="37"/>
      <c r="L327" s="37"/>
      <c r="M327" s="37"/>
      <c r="N327" s="37"/>
      <c r="O327" s="37"/>
      <c r="P327" s="37"/>
      <c r="Q327" s="37"/>
      <c r="R327" s="37"/>
      <c r="S327" s="37"/>
      <c r="T327" s="37"/>
      <c r="U327" s="37"/>
      <c r="V327" s="37"/>
    </row>
    <row r="328" spans="1:22" x14ac:dyDescent="0.2">
      <c r="A328" s="37"/>
      <c r="B328" s="288" t="s">
        <v>459</v>
      </c>
      <c r="C328" s="659"/>
      <c r="D328" s="268" t="s">
        <v>466</v>
      </c>
      <c r="E328" s="289" t="s">
        <v>511</v>
      </c>
      <c r="F328" s="334" t="s">
        <v>456</v>
      </c>
      <c r="G328" s="246" t="s">
        <v>20</v>
      </c>
      <c r="H328" s="3188"/>
      <c r="I328" s="37"/>
      <c r="J328" s="37"/>
      <c r="K328" s="37"/>
      <c r="L328" s="37"/>
      <c r="M328" s="37"/>
      <c r="N328" s="37"/>
      <c r="O328" s="37"/>
      <c r="P328" s="37"/>
      <c r="Q328" s="37"/>
      <c r="R328" s="37"/>
      <c r="S328" s="37"/>
      <c r="T328" s="37"/>
      <c r="U328" s="37"/>
      <c r="V328" s="37"/>
    </row>
    <row r="329" spans="1:22" x14ac:dyDescent="0.2">
      <c r="A329" s="37"/>
      <c r="B329" s="288" t="s">
        <v>459</v>
      </c>
      <c r="C329" s="659"/>
      <c r="D329" s="268" t="s">
        <v>467</v>
      </c>
      <c r="E329" s="289" t="s">
        <v>516</v>
      </c>
      <c r="F329" s="334" t="s">
        <v>456</v>
      </c>
      <c r="G329" s="246" t="s">
        <v>439</v>
      </c>
      <c r="H329" s="3188"/>
      <c r="I329" s="37"/>
      <c r="J329" s="37"/>
      <c r="K329" s="37"/>
      <c r="L329" s="37"/>
      <c r="M329" s="37"/>
      <c r="N329" s="37"/>
      <c r="O329" s="37"/>
      <c r="P329" s="37"/>
      <c r="Q329" s="37"/>
      <c r="R329" s="37"/>
      <c r="S329" s="37"/>
      <c r="T329" s="37"/>
      <c r="U329" s="37"/>
      <c r="V329" s="37"/>
    </row>
    <row r="330" spans="1:22" x14ac:dyDescent="0.2">
      <c r="A330" s="37"/>
      <c r="B330" s="288" t="s">
        <v>459</v>
      </c>
      <c r="C330" s="659"/>
      <c r="D330" s="268" t="s">
        <v>468</v>
      </c>
      <c r="E330" s="289" t="s">
        <v>516</v>
      </c>
      <c r="F330" s="334" t="s">
        <v>456</v>
      </c>
      <c r="G330" s="246" t="s">
        <v>439</v>
      </c>
      <c r="H330" s="3188"/>
      <c r="I330" s="37"/>
      <c r="J330" s="37"/>
      <c r="K330" s="37"/>
      <c r="L330" s="37"/>
      <c r="M330" s="37"/>
      <c r="N330" s="37"/>
      <c r="O330" s="37"/>
      <c r="P330" s="37"/>
      <c r="Q330" s="37"/>
      <c r="R330" s="37"/>
      <c r="S330" s="37"/>
      <c r="T330" s="37"/>
      <c r="U330" s="37"/>
      <c r="V330" s="37"/>
    </row>
    <row r="331" spans="1:22" x14ac:dyDescent="0.2">
      <c r="A331" s="37"/>
      <c r="B331" s="288" t="s">
        <v>459</v>
      </c>
      <c r="C331" s="659"/>
      <c r="D331" s="268" t="s">
        <v>469</v>
      </c>
      <c r="E331" s="289" t="s">
        <v>519</v>
      </c>
      <c r="F331" s="334" t="s">
        <v>456</v>
      </c>
      <c r="G331" s="246" t="s">
        <v>20</v>
      </c>
      <c r="H331" s="3188"/>
      <c r="I331" s="37"/>
      <c r="J331" s="37"/>
      <c r="K331" s="37"/>
      <c r="L331" s="37"/>
      <c r="M331" s="37"/>
      <c r="N331" s="37"/>
      <c r="O331" s="37"/>
      <c r="P331" s="37"/>
      <c r="Q331" s="37"/>
      <c r="R331" s="37"/>
      <c r="S331" s="37"/>
      <c r="T331" s="37"/>
      <c r="U331" s="37"/>
      <c r="V331" s="37"/>
    </row>
    <row r="332" spans="1:22" x14ac:dyDescent="0.2">
      <c r="A332" s="37"/>
      <c r="B332" s="288" t="s">
        <v>459</v>
      </c>
      <c r="C332" s="659"/>
      <c r="D332" s="268" t="s">
        <v>470</v>
      </c>
      <c r="E332" s="289" t="s">
        <v>520</v>
      </c>
      <c r="F332" s="334" t="s">
        <v>456</v>
      </c>
      <c r="G332" s="246" t="s">
        <v>439</v>
      </c>
      <c r="H332" s="3188"/>
      <c r="I332" s="37"/>
      <c r="J332" s="37"/>
      <c r="K332" s="37"/>
      <c r="L332" s="37"/>
      <c r="M332" s="37"/>
      <c r="N332" s="37"/>
      <c r="O332" s="37"/>
      <c r="P332" s="37"/>
      <c r="Q332" s="37"/>
      <c r="R332" s="37"/>
      <c r="S332" s="37"/>
      <c r="T332" s="37"/>
      <c r="U332" s="37"/>
      <c r="V332" s="37"/>
    </row>
    <row r="333" spans="1:22" x14ac:dyDescent="0.2">
      <c r="A333" s="37"/>
      <c r="B333" s="288" t="s">
        <v>459</v>
      </c>
      <c r="C333" s="659"/>
      <c r="D333" s="268" t="s">
        <v>471</v>
      </c>
      <c r="E333" s="289" t="s">
        <v>523</v>
      </c>
      <c r="F333" s="334" t="s">
        <v>456</v>
      </c>
      <c r="G333" s="246" t="s">
        <v>20</v>
      </c>
      <c r="H333" s="3188"/>
      <c r="I333" s="37"/>
      <c r="J333" s="37"/>
      <c r="K333" s="37"/>
      <c r="L333" s="37"/>
      <c r="M333" s="37"/>
      <c r="N333" s="37"/>
      <c r="O333" s="37"/>
      <c r="P333" s="37"/>
      <c r="Q333" s="37"/>
      <c r="R333" s="37"/>
      <c r="S333" s="37"/>
      <c r="T333" s="37"/>
      <c r="U333" s="37"/>
      <c r="V333" s="37"/>
    </row>
    <row r="334" spans="1:22" x14ac:dyDescent="0.2">
      <c r="A334" s="37"/>
      <c r="B334" s="288" t="s">
        <v>459</v>
      </c>
      <c r="C334" s="659"/>
      <c r="D334" s="268" t="s">
        <v>472</v>
      </c>
      <c r="E334" s="289" t="s">
        <v>526</v>
      </c>
      <c r="F334" s="334" t="s">
        <v>456</v>
      </c>
      <c r="G334" s="246" t="s">
        <v>455</v>
      </c>
      <c r="H334" s="3188"/>
      <c r="I334" s="37"/>
      <c r="J334" s="37"/>
      <c r="K334" s="37"/>
      <c r="L334" s="37"/>
      <c r="M334" s="37"/>
      <c r="N334" s="37"/>
      <c r="O334" s="37"/>
      <c r="P334" s="37"/>
      <c r="Q334" s="37"/>
      <c r="R334" s="37"/>
      <c r="S334" s="37"/>
      <c r="T334" s="37"/>
      <c r="U334" s="37"/>
      <c r="V334" s="37"/>
    </row>
    <row r="335" spans="1:22" x14ac:dyDescent="0.2">
      <c r="A335" s="37"/>
      <c r="B335" s="288" t="s">
        <v>459</v>
      </c>
      <c r="C335" s="659"/>
      <c r="D335" s="268" t="s">
        <v>473</v>
      </c>
      <c r="E335" s="289" t="s">
        <v>528</v>
      </c>
      <c r="F335" s="334" t="s">
        <v>456</v>
      </c>
      <c r="G335" s="246" t="s">
        <v>20</v>
      </c>
      <c r="H335" s="3188"/>
      <c r="I335" s="37"/>
      <c r="J335" s="37"/>
      <c r="K335" s="37"/>
      <c r="L335" s="37"/>
      <c r="M335" s="37"/>
      <c r="N335" s="37"/>
      <c r="O335" s="37"/>
      <c r="P335" s="37"/>
      <c r="Q335" s="37"/>
      <c r="R335" s="37"/>
      <c r="S335" s="37"/>
      <c r="T335" s="37"/>
      <c r="U335" s="37"/>
      <c r="V335" s="37"/>
    </row>
    <row r="336" spans="1:22" x14ac:dyDescent="0.2">
      <c r="A336" s="37"/>
      <c r="B336" s="288" t="s">
        <v>459</v>
      </c>
      <c r="C336" s="659"/>
      <c r="D336" s="268" t="s">
        <v>474</v>
      </c>
      <c r="E336" s="289" t="s">
        <v>529</v>
      </c>
      <c r="F336" s="334" t="s">
        <v>456</v>
      </c>
      <c r="G336" s="246" t="s">
        <v>455</v>
      </c>
      <c r="H336" s="3188"/>
      <c r="I336" s="37"/>
      <c r="J336" s="37"/>
      <c r="K336" s="37"/>
      <c r="L336" s="37"/>
      <c r="M336" s="37"/>
      <c r="N336" s="37"/>
      <c r="O336" s="37"/>
      <c r="P336" s="37"/>
      <c r="Q336" s="37"/>
      <c r="R336" s="37"/>
      <c r="S336" s="37"/>
      <c r="T336" s="37"/>
      <c r="U336" s="37"/>
      <c r="V336" s="37"/>
    </row>
    <row r="337" spans="1:22" x14ac:dyDescent="0.2">
      <c r="A337" s="37"/>
      <c r="B337" s="288" t="s">
        <v>459</v>
      </c>
      <c r="C337" s="659"/>
      <c r="D337" s="268" t="s">
        <v>475</v>
      </c>
      <c r="E337" s="289" t="s">
        <v>534</v>
      </c>
      <c r="F337" s="334" t="s">
        <v>456</v>
      </c>
      <c r="G337" s="246" t="s">
        <v>20</v>
      </c>
      <c r="H337" s="3188"/>
      <c r="I337" s="37"/>
      <c r="J337" s="37"/>
      <c r="K337" s="37"/>
      <c r="L337" s="37"/>
      <c r="M337" s="37"/>
      <c r="N337" s="37"/>
      <c r="O337" s="37"/>
      <c r="P337" s="37"/>
      <c r="Q337" s="37"/>
      <c r="R337" s="37"/>
      <c r="S337" s="37"/>
      <c r="T337" s="37"/>
      <c r="U337" s="37"/>
      <c r="V337" s="37"/>
    </row>
    <row r="338" spans="1:22" x14ac:dyDescent="0.2">
      <c r="A338" s="37"/>
      <c r="B338" s="288" t="s">
        <v>459</v>
      </c>
      <c r="C338" s="659"/>
      <c r="D338" s="268" t="s">
        <v>476</v>
      </c>
      <c r="E338" s="289" t="s">
        <v>535</v>
      </c>
      <c r="F338" s="334" t="s">
        <v>456</v>
      </c>
      <c r="G338" s="246" t="s">
        <v>439</v>
      </c>
      <c r="H338" s="3188"/>
      <c r="I338" s="37"/>
      <c r="J338" s="37"/>
      <c r="K338" s="37"/>
      <c r="L338" s="37"/>
      <c r="M338" s="37"/>
      <c r="N338" s="37"/>
      <c r="O338" s="37"/>
      <c r="P338" s="37"/>
      <c r="Q338" s="37"/>
      <c r="R338" s="37"/>
      <c r="S338" s="37"/>
      <c r="T338" s="37"/>
      <c r="U338" s="37"/>
      <c r="V338" s="37"/>
    </row>
    <row r="339" spans="1:22" x14ac:dyDescent="0.2">
      <c r="A339" s="37"/>
      <c r="B339" s="288" t="s">
        <v>459</v>
      </c>
      <c r="C339" s="659"/>
      <c r="D339" s="268" t="s">
        <v>477</v>
      </c>
      <c r="E339" s="289" t="s">
        <v>536</v>
      </c>
      <c r="F339" s="334" t="s">
        <v>456</v>
      </c>
      <c r="G339" s="246" t="s">
        <v>20</v>
      </c>
      <c r="H339" s="3188"/>
      <c r="I339" s="37"/>
      <c r="J339" s="37"/>
      <c r="K339" s="37"/>
      <c r="L339" s="37"/>
      <c r="M339" s="37"/>
      <c r="N339" s="37"/>
      <c r="O339" s="37"/>
      <c r="P339" s="37"/>
      <c r="Q339" s="37"/>
      <c r="R339" s="37"/>
      <c r="S339" s="37"/>
      <c r="T339" s="37"/>
      <c r="U339" s="37"/>
      <c r="V339" s="37"/>
    </row>
    <row r="340" spans="1:22" x14ac:dyDescent="0.2">
      <c r="A340" s="37"/>
      <c r="B340" s="288" t="s">
        <v>459</v>
      </c>
      <c r="C340" s="659"/>
      <c r="D340" s="268" t="s">
        <v>478</v>
      </c>
      <c r="E340" s="289" t="s">
        <v>537</v>
      </c>
      <c r="F340" s="334" t="s">
        <v>456</v>
      </c>
      <c r="G340" s="246" t="s">
        <v>20</v>
      </c>
      <c r="H340" s="3188"/>
      <c r="I340" s="37"/>
      <c r="J340" s="37"/>
      <c r="K340" s="37"/>
      <c r="L340" s="37"/>
      <c r="M340" s="37"/>
      <c r="N340" s="37"/>
      <c r="O340" s="37"/>
      <c r="P340" s="37"/>
      <c r="Q340" s="37"/>
      <c r="R340" s="37"/>
      <c r="S340" s="37"/>
      <c r="T340" s="37"/>
      <c r="U340" s="37"/>
      <c r="V340" s="37"/>
    </row>
    <row r="341" spans="1:22" x14ac:dyDescent="0.2">
      <c r="A341" s="37"/>
      <c r="B341" s="288" t="s">
        <v>459</v>
      </c>
      <c r="C341" s="659"/>
      <c r="D341" s="268" t="s">
        <v>479</v>
      </c>
      <c r="E341" s="289" t="s">
        <v>540</v>
      </c>
      <c r="F341" s="334" t="s">
        <v>456</v>
      </c>
      <c r="G341" s="246" t="s">
        <v>20</v>
      </c>
      <c r="H341" s="3188"/>
      <c r="I341" s="37"/>
      <c r="J341" s="37"/>
      <c r="K341" s="37"/>
      <c r="L341" s="37"/>
      <c r="M341" s="37"/>
      <c r="N341" s="37"/>
      <c r="O341" s="37"/>
      <c r="P341" s="37"/>
      <c r="Q341" s="37"/>
      <c r="R341" s="37"/>
      <c r="S341" s="37"/>
      <c r="T341" s="37"/>
      <c r="U341" s="37"/>
      <c r="V341" s="37"/>
    </row>
    <row r="342" spans="1:22" x14ac:dyDescent="0.2">
      <c r="A342" s="37"/>
      <c r="B342" s="288" t="s">
        <v>459</v>
      </c>
      <c r="C342" s="659"/>
      <c r="D342" s="268" t="s">
        <v>480</v>
      </c>
      <c r="E342" s="289" t="s">
        <v>541</v>
      </c>
      <c r="F342" s="334" t="s">
        <v>456</v>
      </c>
      <c r="G342" s="246" t="s">
        <v>439</v>
      </c>
      <c r="H342" s="3188"/>
      <c r="I342" s="37"/>
      <c r="J342" s="37"/>
      <c r="K342" s="37"/>
      <c r="L342" s="37"/>
      <c r="M342" s="37"/>
      <c r="N342" s="37"/>
      <c r="O342" s="37"/>
      <c r="P342" s="37"/>
      <c r="Q342" s="37"/>
      <c r="R342" s="37"/>
      <c r="S342" s="37"/>
      <c r="T342" s="37"/>
      <c r="U342" s="37"/>
      <c r="V342" s="37"/>
    </row>
    <row r="343" spans="1:22" x14ac:dyDescent="0.2">
      <c r="A343" s="37"/>
      <c r="B343" s="288" t="s">
        <v>459</v>
      </c>
      <c r="C343" s="659"/>
      <c r="D343" s="268" t="s">
        <v>481</v>
      </c>
      <c r="E343" s="289" t="s">
        <v>543</v>
      </c>
      <c r="F343" s="334" t="s">
        <v>456</v>
      </c>
      <c r="G343" s="246" t="s">
        <v>439</v>
      </c>
      <c r="H343" s="3188"/>
      <c r="I343" s="37"/>
      <c r="J343" s="37"/>
      <c r="K343" s="37"/>
      <c r="L343" s="37"/>
      <c r="M343" s="37"/>
      <c r="N343" s="37"/>
      <c r="O343" s="37"/>
      <c r="P343" s="37"/>
      <c r="Q343" s="37"/>
      <c r="R343" s="37"/>
      <c r="S343" s="37"/>
      <c r="T343" s="37"/>
      <c r="U343" s="37"/>
      <c r="V343" s="37"/>
    </row>
    <row r="344" spans="1:22" x14ac:dyDescent="0.2">
      <c r="A344" s="37"/>
      <c r="B344" s="288" t="s">
        <v>459</v>
      </c>
      <c r="C344" s="659"/>
      <c r="D344" s="268" t="s">
        <v>482</v>
      </c>
      <c r="E344" s="289" t="s">
        <v>544</v>
      </c>
      <c r="F344" s="334" t="s">
        <v>456</v>
      </c>
      <c r="G344" s="246" t="s">
        <v>439</v>
      </c>
      <c r="H344" s="3188"/>
      <c r="I344" s="37"/>
      <c r="J344" s="37"/>
      <c r="K344" s="37"/>
      <c r="L344" s="37"/>
      <c r="M344" s="37"/>
      <c r="N344" s="37"/>
      <c r="O344" s="37"/>
      <c r="P344" s="37"/>
      <c r="Q344" s="37"/>
      <c r="R344" s="37"/>
      <c r="S344" s="37"/>
      <c r="T344" s="37"/>
      <c r="U344" s="37"/>
      <c r="V344" s="37"/>
    </row>
    <row r="345" spans="1:22" x14ac:dyDescent="0.2">
      <c r="A345" s="37"/>
      <c r="B345" s="288" t="s">
        <v>459</v>
      </c>
      <c r="C345" s="659"/>
      <c r="D345" s="289" t="s">
        <v>483</v>
      </c>
      <c r="E345" s="289" t="s">
        <v>551</v>
      </c>
      <c r="F345" s="289" t="s">
        <v>456</v>
      </c>
      <c r="G345" s="246" t="s">
        <v>20</v>
      </c>
      <c r="H345" s="3188"/>
      <c r="I345" s="37"/>
      <c r="J345" s="37"/>
      <c r="K345" s="37"/>
      <c r="L345" s="37"/>
      <c r="M345" s="37"/>
      <c r="N345" s="37"/>
      <c r="O345" s="37"/>
      <c r="P345" s="37"/>
      <c r="Q345" s="37"/>
      <c r="R345" s="37"/>
      <c r="S345" s="37"/>
      <c r="T345" s="37"/>
      <c r="U345" s="37"/>
      <c r="V345" s="37"/>
    </row>
    <row r="346" spans="1:22" x14ac:dyDescent="0.2">
      <c r="A346" s="37"/>
      <c r="B346" s="288" t="s">
        <v>459</v>
      </c>
      <c r="C346" s="659"/>
      <c r="D346" s="289" t="s">
        <v>483</v>
      </c>
      <c r="E346" s="289"/>
      <c r="F346" s="289" t="s">
        <v>456</v>
      </c>
      <c r="G346" s="246" t="s">
        <v>439</v>
      </c>
      <c r="H346" s="3188"/>
      <c r="I346" s="37"/>
      <c r="J346" s="37"/>
      <c r="K346" s="37"/>
      <c r="L346" s="37"/>
      <c r="M346" s="37"/>
      <c r="N346" s="37"/>
      <c r="O346" s="37"/>
      <c r="P346" s="37"/>
      <c r="Q346" s="37"/>
      <c r="R346" s="37"/>
      <c r="S346" s="37"/>
      <c r="T346" s="37"/>
      <c r="U346" s="37"/>
      <c r="V346" s="37"/>
    </row>
    <row r="347" spans="1:22" x14ac:dyDescent="0.2">
      <c r="A347" s="37"/>
      <c r="B347" s="288" t="s">
        <v>484</v>
      </c>
      <c r="C347" s="659"/>
      <c r="D347" s="289" t="s">
        <v>483</v>
      </c>
      <c r="E347" s="289"/>
      <c r="F347" s="289" t="s">
        <v>456</v>
      </c>
      <c r="G347" s="246" t="s">
        <v>439</v>
      </c>
      <c r="H347" s="3188"/>
      <c r="I347" s="37"/>
      <c r="J347" s="37"/>
      <c r="K347" s="37"/>
      <c r="L347" s="37"/>
      <c r="M347" s="37"/>
      <c r="N347" s="37"/>
      <c r="O347" s="37"/>
      <c r="P347" s="37"/>
      <c r="Q347" s="37"/>
      <c r="R347" s="37"/>
      <c r="S347" s="37"/>
      <c r="T347" s="37"/>
      <c r="U347" s="37"/>
      <c r="V347" s="37"/>
    </row>
    <row r="348" spans="1:22" x14ac:dyDescent="0.2">
      <c r="A348" s="37"/>
      <c r="B348" s="288" t="s">
        <v>459</v>
      </c>
      <c r="C348" s="659"/>
      <c r="D348" s="289" t="s">
        <v>485</v>
      </c>
      <c r="E348" s="289" t="s">
        <v>554</v>
      </c>
      <c r="F348" s="289" t="s">
        <v>456</v>
      </c>
      <c r="G348" s="246" t="s">
        <v>20</v>
      </c>
      <c r="H348" s="3188"/>
      <c r="I348" s="37"/>
      <c r="J348" s="37"/>
      <c r="K348" s="37"/>
      <c r="L348" s="37"/>
      <c r="M348" s="37"/>
      <c r="N348" s="37"/>
      <c r="O348" s="37"/>
      <c r="P348" s="37"/>
      <c r="Q348" s="37"/>
      <c r="R348" s="37"/>
      <c r="S348" s="37"/>
      <c r="T348" s="37"/>
      <c r="U348" s="37"/>
      <c r="V348" s="37"/>
    </row>
    <row r="349" spans="1:22" x14ac:dyDescent="0.2">
      <c r="A349" s="37"/>
      <c r="B349" s="288" t="s">
        <v>459</v>
      </c>
      <c r="C349" s="659"/>
      <c r="D349" s="289" t="s">
        <v>485</v>
      </c>
      <c r="E349" s="289"/>
      <c r="F349" s="289" t="s">
        <v>456</v>
      </c>
      <c r="G349" s="246" t="s">
        <v>439</v>
      </c>
      <c r="H349" s="3188"/>
      <c r="I349" s="37"/>
      <c r="J349" s="37"/>
      <c r="K349" s="37"/>
      <c r="L349" s="37"/>
      <c r="M349" s="37"/>
      <c r="N349" s="37"/>
      <c r="O349" s="37"/>
      <c r="P349" s="37"/>
      <c r="Q349" s="37"/>
      <c r="R349" s="37"/>
      <c r="S349" s="37"/>
      <c r="T349" s="37"/>
      <c r="U349" s="37"/>
      <c r="V349" s="37"/>
    </row>
    <row r="350" spans="1:22" x14ac:dyDescent="0.2">
      <c r="A350" s="37"/>
      <c r="B350" s="288" t="s">
        <v>459</v>
      </c>
      <c r="C350" s="659"/>
      <c r="D350" s="289" t="s">
        <v>485</v>
      </c>
      <c r="E350" s="289"/>
      <c r="F350" s="289" t="s">
        <v>456</v>
      </c>
      <c r="G350" s="246" t="s">
        <v>439</v>
      </c>
      <c r="H350" s="3188"/>
      <c r="I350" s="37"/>
      <c r="J350" s="37"/>
      <c r="K350" s="37"/>
      <c r="L350" s="37"/>
      <c r="M350" s="37"/>
      <c r="N350" s="37"/>
      <c r="O350" s="37"/>
      <c r="P350" s="37"/>
      <c r="Q350" s="37"/>
      <c r="R350" s="37"/>
      <c r="S350" s="37"/>
      <c r="T350" s="37"/>
      <c r="U350" s="37"/>
      <c r="V350" s="37"/>
    </row>
    <row r="351" spans="1:22" x14ac:dyDescent="0.2">
      <c r="A351" s="37"/>
      <c r="B351" s="288" t="s">
        <v>459</v>
      </c>
      <c r="C351" s="659"/>
      <c r="D351" s="268" t="s">
        <v>486</v>
      </c>
      <c r="E351" s="289" t="s">
        <v>555</v>
      </c>
      <c r="F351" s="334" t="s">
        <v>456</v>
      </c>
      <c r="G351" s="246"/>
      <c r="H351" s="3188"/>
      <c r="I351" s="37"/>
      <c r="J351" s="37"/>
      <c r="K351" s="37"/>
      <c r="L351" s="37"/>
      <c r="M351" s="37"/>
      <c r="N351" s="37"/>
      <c r="O351" s="37"/>
      <c r="P351" s="37"/>
      <c r="Q351" s="37"/>
      <c r="R351" s="37"/>
      <c r="S351" s="37"/>
      <c r="T351" s="37"/>
      <c r="U351" s="37"/>
      <c r="V351" s="37"/>
    </row>
    <row r="352" spans="1:22" x14ac:dyDescent="0.2">
      <c r="A352" s="37"/>
      <c r="B352" s="288" t="s">
        <v>459</v>
      </c>
      <c r="C352" s="659"/>
      <c r="D352" s="289" t="s">
        <v>487</v>
      </c>
      <c r="E352" s="289" t="s">
        <v>529</v>
      </c>
      <c r="F352" s="334" t="s">
        <v>456</v>
      </c>
      <c r="G352" s="246" t="s">
        <v>439</v>
      </c>
      <c r="H352" s="3188"/>
      <c r="I352" s="37"/>
      <c r="J352" s="37"/>
      <c r="K352" s="37"/>
      <c r="L352" s="37"/>
      <c r="M352" s="37"/>
      <c r="N352" s="37"/>
      <c r="O352" s="37"/>
      <c r="P352" s="37"/>
      <c r="Q352" s="37"/>
      <c r="R352" s="37"/>
      <c r="S352" s="37"/>
      <c r="T352" s="37"/>
      <c r="U352" s="37"/>
      <c r="V352" s="37"/>
    </row>
    <row r="353" spans="1:22" x14ac:dyDescent="0.2">
      <c r="A353" s="37"/>
      <c r="B353" s="338" t="s">
        <v>488</v>
      </c>
      <c r="C353" s="660"/>
      <c r="D353" s="339" t="s">
        <v>79</v>
      </c>
      <c r="E353" s="339" t="s">
        <v>556</v>
      </c>
      <c r="F353" s="340" t="s">
        <v>405</v>
      </c>
      <c r="G353" s="253" t="s">
        <v>454</v>
      </c>
      <c r="H353" s="3188"/>
      <c r="I353" s="37"/>
      <c r="J353" s="37"/>
      <c r="K353" s="37"/>
      <c r="L353" s="37"/>
      <c r="M353" s="37"/>
      <c r="N353" s="37"/>
      <c r="O353" s="37"/>
      <c r="P353" s="37"/>
      <c r="Q353" s="37"/>
      <c r="R353" s="37"/>
      <c r="S353" s="37"/>
      <c r="T353" s="37"/>
      <c r="U353" s="37"/>
      <c r="V353" s="37"/>
    </row>
    <row r="354" spans="1:22" x14ac:dyDescent="0.2">
      <c r="A354" s="37"/>
      <c r="B354" s="341" t="s">
        <v>488</v>
      </c>
      <c r="C354" s="661"/>
      <c r="D354" s="342" t="s">
        <v>79</v>
      </c>
      <c r="E354" s="342" t="s">
        <v>556</v>
      </c>
      <c r="F354" s="343" t="s">
        <v>456</v>
      </c>
      <c r="G354" s="246" t="s">
        <v>454</v>
      </c>
      <c r="H354" s="3188"/>
      <c r="I354" s="37"/>
      <c r="J354" s="37"/>
      <c r="K354" s="37"/>
      <c r="L354" s="37"/>
      <c r="M354" s="37"/>
      <c r="N354" s="37"/>
      <c r="O354" s="37"/>
      <c r="P354" s="37"/>
      <c r="Q354" s="37"/>
      <c r="R354" s="37"/>
      <c r="S354" s="37"/>
      <c r="T354" s="37"/>
      <c r="U354" s="37"/>
      <c r="V354" s="37"/>
    </row>
    <row r="355" spans="1:22" x14ac:dyDescent="0.2">
      <c r="A355" s="37"/>
      <c r="B355" s="344" t="s">
        <v>489</v>
      </c>
      <c r="C355" s="662"/>
      <c r="D355" s="337" t="s">
        <v>614</v>
      </c>
      <c r="E355" s="336" t="s">
        <v>613</v>
      </c>
      <c r="F355" s="337" t="s">
        <v>405</v>
      </c>
      <c r="G355" s="246" t="s">
        <v>454</v>
      </c>
      <c r="H355" s="3188"/>
      <c r="I355" s="37"/>
      <c r="J355" s="37"/>
      <c r="K355" s="37"/>
      <c r="L355" s="37"/>
      <c r="M355" s="37"/>
      <c r="N355" s="37"/>
      <c r="O355" s="37"/>
      <c r="P355" s="37"/>
      <c r="Q355" s="37"/>
      <c r="R355" s="37"/>
      <c r="S355" s="37"/>
      <c r="T355" s="37"/>
      <c r="U355" s="37"/>
      <c r="V355" s="37"/>
    </row>
    <row r="356" spans="1:22" x14ac:dyDescent="0.2">
      <c r="A356" s="37"/>
      <c r="B356" s="344" t="s">
        <v>489</v>
      </c>
      <c r="C356" s="662"/>
      <c r="D356" s="337" t="s">
        <v>7</v>
      </c>
      <c r="E356" s="336" t="s">
        <v>558</v>
      </c>
      <c r="F356" s="337" t="s">
        <v>405</v>
      </c>
      <c r="G356" s="246" t="s">
        <v>454</v>
      </c>
      <c r="H356" s="3188"/>
      <c r="I356" s="37"/>
      <c r="J356" s="37"/>
      <c r="K356" s="37"/>
      <c r="L356" s="37"/>
      <c r="M356" s="37"/>
      <c r="N356" s="37"/>
      <c r="O356" s="37"/>
      <c r="P356" s="37"/>
      <c r="Q356" s="37"/>
      <c r="R356" s="37"/>
      <c r="S356" s="37"/>
      <c r="T356" s="37"/>
      <c r="U356" s="37"/>
      <c r="V356" s="37"/>
    </row>
    <row r="357" spans="1:22" x14ac:dyDescent="0.2">
      <c r="A357" s="37"/>
      <c r="B357" s="344" t="s">
        <v>489</v>
      </c>
      <c r="C357" s="662"/>
      <c r="D357" s="337" t="s">
        <v>9</v>
      </c>
      <c r="E357" s="336" t="s">
        <v>559</v>
      </c>
      <c r="F357" s="337" t="s">
        <v>405</v>
      </c>
      <c r="G357" s="246" t="s">
        <v>454</v>
      </c>
      <c r="H357" s="3188"/>
      <c r="I357" s="37"/>
      <c r="J357" s="37"/>
      <c r="K357" s="37"/>
      <c r="L357" s="37"/>
      <c r="M357" s="37"/>
      <c r="N357" s="37"/>
      <c r="O357" s="37"/>
      <c r="P357" s="37"/>
      <c r="Q357" s="37"/>
      <c r="R357" s="37"/>
      <c r="S357" s="37"/>
      <c r="T357" s="37"/>
      <c r="U357" s="37"/>
      <c r="V357" s="37"/>
    </row>
    <row r="358" spans="1:22" x14ac:dyDescent="0.2">
      <c r="A358" s="37"/>
      <c r="B358" s="344" t="s">
        <v>489</v>
      </c>
      <c r="C358" s="662"/>
      <c r="D358" s="337" t="s">
        <v>84</v>
      </c>
      <c r="E358" s="336" t="s">
        <v>557</v>
      </c>
      <c r="F358" s="337" t="s">
        <v>405</v>
      </c>
      <c r="G358" s="246" t="s">
        <v>454</v>
      </c>
      <c r="H358" s="3188"/>
      <c r="I358" s="37"/>
      <c r="J358" s="37"/>
      <c r="K358" s="37"/>
      <c r="L358" s="37"/>
      <c r="M358" s="37"/>
      <c r="N358" s="37"/>
      <c r="O358" s="37"/>
      <c r="P358" s="37"/>
      <c r="Q358" s="37"/>
      <c r="R358" s="37"/>
      <c r="S358" s="37"/>
      <c r="T358" s="37"/>
      <c r="U358" s="37"/>
      <c r="V358" s="37"/>
    </row>
    <row r="359" spans="1:22" x14ac:dyDescent="0.2">
      <c r="A359" s="37"/>
      <c r="B359" s="344" t="s">
        <v>489</v>
      </c>
      <c r="C359" s="662"/>
      <c r="D359" s="337" t="s">
        <v>85</v>
      </c>
      <c r="E359" s="336" t="s">
        <v>558</v>
      </c>
      <c r="F359" s="337" t="s">
        <v>405</v>
      </c>
      <c r="G359" s="246" t="s">
        <v>454</v>
      </c>
      <c r="H359" s="3188"/>
      <c r="I359" s="37"/>
      <c r="J359" s="37"/>
      <c r="K359" s="37"/>
      <c r="L359" s="37"/>
      <c r="M359" s="37"/>
      <c r="N359" s="37"/>
      <c r="O359" s="37"/>
      <c r="P359" s="37"/>
      <c r="Q359" s="37"/>
      <c r="R359" s="37"/>
      <c r="S359" s="37"/>
      <c r="T359" s="37"/>
      <c r="U359" s="37"/>
      <c r="V359" s="37"/>
    </row>
    <row r="360" spans="1:22" x14ac:dyDescent="0.2">
      <c r="A360" s="37"/>
      <c r="B360" s="344" t="s">
        <v>489</v>
      </c>
      <c r="C360" s="662"/>
      <c r="D360" s="337" t="s">
        <v>83</v>
      </c>
      <c r="E360" s="336" t="s">
        <v>611</v>
      </c>
      <c r="F360" s="337" t="s">
        <v>405</v>
      </c>
      <c r="G360" s="246" t="s">
        <v>454</v>
      </c>
      <c r="H360" s="3188"/>
      <c r="I360" s="37"/>
      <c r="J360" s="37"/>
      <c r="K360" s="37"/>
      <c r="L360" s="37"/>
      <c r="M360" s="37"/>
      <c r="N360" s="37"/>
      <c r="O360" s="37"/>
      <c r="P360" s="37"/>
      <c r="Q360" s="37"/>
      <c r="R360" s="37"/>
      <c r="S360" s="37"/>
      <c r="T360" s="37"/>
      <c r="U360" s="37"/>
      <c r="V360" s="37"/>
    </row>
    <row r="361" spans="1:22" x14ac:dyDescent="0.2">
      <c r="A361" s="37"/>
      <c r="B361" s="335" t="s">
        <v>489</v>
      </c>
      <c r="C361" s="663"/>
      <c r="D361" s="336" t="s">
        <v>82</v>
      </c>
      <c r="E361" s="336" t="s">
        <v>612</v>
      </c>
      <c r="F361" s="337" t="s">
        <v>405</v>
      </c>
      <c r="G361" s="246" t="s">
        <v>454</v>
      </c>
      <c r="H361" s="3188"/>
      <c r="I361" s="37"/>
      <c r="J361" s="37"/>
      <c r="K361" s="37"/>
      <c r="L361" s="37"/>
      <c r="M361" s="37"/>
      <c r="N361" s="37"/>
      <c r="O361" s="37"/>
      <c r="P361" s="37"/>
      <c r="Q361" s="37"/>
      <c r="R361" s="37"/>
      <c r="S361" s="37"/>
      <c r="T361" s="37"/>
      <c r="U361" s="37"/>
      <c r="V361" s="37"/>
    </row>
    <row r="362" spans="1:22" x14ac:dyDescent="0.2">
      <c r="A362" s="37"/>
      <c r="B362" s="344" t="s">
        <v>489</v>
      </c>
      <c r="C362" s="662"/>
      <c r="D362" s="337" t="s">
        <v>8</v>
      </c>
      <c r="E362" s="336" t="s">
        <v>557</v>
      </c>
      <c r="F362" s="337" t="s">
        <v>456</v>
      </c>
      <c r="G362" s="246" t="s">
        <v>454</v>
      </c>
      <c r="H362" s="3188"/>
      <c r="I362" s="37"/>
      <c r="J362" s="37"/>
      <c r="K362" s="37"/>
      <c r="L362" s="37"/>
      <c r="M362" s="37"/>
      <c r="N362" s="37"/>
      <c r="O362" s="37"/>
      <c r="P362" s="37"/>
      <c r="Q362" s="37"/>
      <c r="R362" s="37"/>
      <c r="S362" s="37"/>
      <c r="T362" s="37"/>
      <c r="U362" s="37"/>
      <c r="V362" s="37"/>
    </row>
    <row r="363" spans="1:22" x14ac:dyDescent="0.2">
      <c r="A363" s="37"/>
      <c r="B363" s="344" t="s">
        <v>489</v>
      </c>
      <c r="C363" s="662"/>
      <c r="D363" s="337" t="s">
        <v>490</v>
      </c>
      <c r="E363" s="336" t="s">
        <v>558</v>
      </c>
      <c r="F363" s="337" t="s">
        <v>456</v>
      </c>
      <c r="G363" s="246" t="s">
        <v>454</v>
      </c>
      <c r="H363" s="3188"/>
      <c r="I363" s="37"/>
      <c r="J363" s="37"/>
      <c r="K363" s="37"/>
      <c r="L363" s="37"/>
      <c r="M363" s="37"/>
      <c r="N363" s="37"/>
      <c r="O363" s="37"/>
      <c r="P363" s="37"/>
      <c r="Q363" s="37"/>
      <c r="R363" s="37"/>
      <c r="S363" s="37"/>
      <c r="T363" s="37"/>
      <c r="U363" s="37"/>
      <c r="V363" s="37"/>
    </row>
    <row r="364" spans="1:22" x14ac:dyDescent="0.2">
      <c r="A364" s="37"/>
      <c r="B364" s="344" t="s">
        <v>489</v>
      </c>
      <c r="C364" s="662"/>
      <c r="D364" s="337" t="s">
        <v>7</v>
      </c>
      <c r="E364" s="336" t="s">
        <v>559</v>
      </c>
      <c r="F364" s="337" t="s">
        <v>456</v>
      </c>
      <c r="G364" s="246" t="s">
        <v>454</v>
      </c>
      <c r="H364" s="3188"/>
      <c r="I364" s="37"/>
      <c r="J364" s="37"/>
      <c r="K364" s="37"/>
      <c r="L364" s="37"/>
      <c r="M364" s="37"/>
      <c r="N364" s="37"/>
      <c r="O364" s="37"/>
      <c r="P364" s="37"/>
      <c r="Q364" s="37"/>
      <c r="R364" s="37"/>
      <c r="S364" s="37"/>
      <c r="T364" s="37"/>
      <c r="U364" s="37"/>
      <c r="V364" s="37"/>
    </row>
    <row r="365" spans="1:22" x14ac:dyDescent="0.2">
      <c r="A365" s="37"/>
      <c r="B365" s="344" t="s">
        <v>489</v>
      </c>
      <c r="C365" s="662"/>
      <c r="D365" s="337" t="s">
        <v>84</v>
      </c>
      <c r="E365" s="336" t="s">
        <v>557</v>
      </c>
      <c r="F365" s="337" t="s">
        <v>456</v>
      </c>
      <c r="G365" s="246" t="s">
        <v>454</v>
      </c>
      <c r="H365" s="3188"/>
      <c r="I365" s="37"/>
      <c r="J365" s="37"/>
      <c r="K365" s="37"/>
      <c r="L365" s="37"/>
      <c r="M365" s="37"/>
      <c r="N365" s="37"/>
      <c r="O365" s="37"/>
      <c r="P365" s="37"/>
      <c r="Q365" s="37"/>
      <c r="R365" s="37"/>
      <c r="S365" s="37"/>
      <c r="T365" s="37"/>
      <c r="U365" s="37"/>
      <c r="V365" s="37"/>
    </row>
    <row r="366" spans="1:22" x14ac:dyDescent="0.2">
      <c r="A366" s="37"/>
      <c r="B366" s="344" t="s">
        <v>489</v>
      </c>
      <c r="C366" s="662"/>
      <c r="D366" s="337" t="s">
        <v>85</v>
      </c>
      <c r="E366" s="336" t="s">
        <v>558</v>
      </c>
      <c r="F366" s="337" t="s">
        <v>456</v>
      </c>
      <c r="G366" s="246" t="s">
        <v>454</v>
      </c>
      <c r="H366" s="3188"/>
      <c r="I366" s="37"/>
      <c r="J366" s="37"/>
      <c r="K366" s="37"/>
      <c r="L366" s="37"/>
      <c r="M366" s="37"/>
      <c r="N366" s="37"/>
      <c r="O366" s="37"/>
      <c r="P366" s="37"/>
      <c r="Q366" s="37"/>
      <c r="R366" s="37"/>
      <c r="S366" s="37"/>
      <c r="T366" s="37"/>
      <c r="U366" s="37"/>
      <c r="V366" s="37"/>
    </row>
    <row r="367" spans="1:22" x14ac:dyDescent="0.2">
      <c r="A367" s="37"/>
      <c r="B367" s="344" t="s">
        <v>489</v>
      </c>
      <c r="C367" s="662"/>
      <c r="D367" s="337" t="s">
        <v>83</v>
      </c>
      <c r="E367" s="336" t="s">
        <v>611</v>
      </c>
      <c r="F367" s="337" t="s">
        <v>456</v>
      </c>
      <c r="G367" s="246" t="s">
        <v>454</v>
      </c>
      <c r="H367" s="3188"/>
      <c r="I367" s="37"/>
      <c r="J367" s="37"/>
      <c r="K367" s="37"/>
      <c r="L367" s="37"/>
      <c r="M367" s="37"/>
      <c r="N367" s="37"/>
      <c r="O367" s="37"/>
      <c r="P367" s="37"/>
      <c r="Q367" s="37"/>
      <c r="R367" s="37"/>
      <c r="S367" s="37"/>
      <c r="T367" s="37"/>
      <c r="U367" s="37"/>
      <c r="V367" s="37"/>
    </row>
    <row r="368" spans="1:22" x14ac:dyDescent="0.2">
      <c r="A368" s="37"/>
      <c r="B368" s="335" t="s">
        <v>489</v>
      </c>
      <c r="C368" s="663"/>
      <c r="D368" s="336" t="s">
        <v>82</v>
      </c>
      <c r="E368" s="336" t="s">
        <v>612</v>
      </c>
      <c r="F368" s="337" t="s">
        <v>456</v>
      </c>
      <c r="G368" s="246" t="s">
        <v>454</v>
      </c>
      <c r="H368" s="3188"/>
      <c r="I368" s="37"/>
      <c r="J368" s="37"/>
      <c r="K368" s="37"/>
      <c r="L368" s="37"/>
      <c r="M368" s="37"/>
      <c r="N368" s="37"/>
      <c r="O368" s="37"/>
      <c r="P368" s="37"/>
      <c r="Q368" s="37"/>
      <c r="R368" s="37"/>
      <c r="S368" s="37"/>
      <c r="T368" s="37"/>
      <c r="U368" s="37"/>
      <c r="V368" s="37"/>
    </row>
    <row r="369" spans="1:22" x14ac:dyDescent="0.2">
      <c r="A369" s="37"/>
      <c r="B369" s="345" t="s">
        <v>627</v>
      </c>
      <c r="C369" s="664" t="s">
        <v>572</v>
      </c>
      <c r="D369" s="346" t="s">
        <v>79</v>
      </c>
      <c r="E369" s="346" t="s">
        <v>491</v>
      </c>
      <c r="F369" s="347" t="s">
        <v>405</v>
      </c>
      <c r="G369" s="253" t="s">
        <v>454</v>
      </c>
      <c r="H369" s="3188"/>
      <c r="I369" s="37"/>
      <c r="J369" s="37"/>
      <c r="K369" s="37"/>
      <c r="L369" s="37"/>
      <c r="M369" s="37"/>
      <c r="N369" s="37"/>
      <c r="O369" s="37"/>
      <c r="P369" s="37"/>
      <c r="Q369" s="37"/>
      <c r="R369" s="37"/>
      <c r="S369" s="37"/>
      <c r="T369" s="37"/>
      <c r="U369" s="37"/>
      <c r="V369" s="37"/>
    </row>
    <row r="370" spans="1:22" x14ac:dyDescent="0.2">
      <c r="A370" s="37"/>
      <c r="B370" s="348" t="s">
        <v>628</v>
      </c>
      <c r="C370" s="665" t="s">
        <v>573</v>
      </c>
      <c r="D370" s="349" t="s">
        <v>79</v>
      </c>
      <c r="E370" s="349" t="s">
        <v>492</v>
      </c>
      <c r="F370" s="350" t="s">
        <v>405</v>
      </c>
      <c r="G370" s="246" t="s">
        <v>454</v>
      </c>
      <c r="H370" s="3188"/>
      <c r="I370" s="37"/>
      <c r="J370" s="37"/>
      <c r="K370" s="37"/>
      <c r="L370" s="37"/>
      <c r="M370" s="37"/>
      <c r="N370" s="37"/>
      <c r="O370" s="37"/>
      <c r="P370" s="37"/>
      <c r="Q370" s="37"/>
      <c r="R370" s="37"/>
      <c r="S370" s="37"/>
      <c r="T370" s="37"/>
      <c r="U370" s="37"/>
      <c r="V370" s="37"/>
    </row>
    <row r="371" spans="1:22" x14ac:dyDescent="0.2">
      <c r="A371" s="37"/>
      <c r="B371" s="351" t="s">
        <v>629</v>
      </c>
      <c r="C371" s="666" t="s">
        <v>574</v>
      </c>
      <c r="D371" s="349" t="s">
        <v>79</v>
      </c>
      <c r="E371" s="349" t="s">
        <v>491</v>
      </c>
      <c r="F371" s="350" t="s">
        <v>405</v>
      </c>
      <c r="G371" s="246" t="s">
        <v>454</v>
      </c>
      <c r="H371" s="3188"/>
      <c r="I371" s="37"/>
      <c r="J371" s="37"/>
      <c r="K371" s="37"/>
      <c r="L371" s="37"/>
      <c r="M371" s="37"/>
      <c r="N371" s="37"/>
      <c r="O371" s="37"/>
      <c r="P371" s="37"/>
      <c r="Q371" s="37"/>
      <c r="R371" s="37"/>
      <c r="S371" s="37"/>
      <c r="T371" s="37"/>
      <c r="U371" s="37"/>
      <c r="V371" s="37"/>
    </row>
    <row r="372" spans="1:22" x14ac:dyDescent="0.2">
      <c r="A372" s="37"/>
      <c r="B372" s="351" t="s">
        <v>630</v>
      </c>
      <c r="C372" s="666" t="s">
        <v>569</v>
      </c>
      <c r="D372" s="349" t="s">
        <v>79</v>
      </c>
      <c r="E372" s="349" t="s">
        <v>491</v>
      </c>
      <c r="F372" s="350" t="s">
        <v>405</v>
      </c>
      <c r="G372" s="246" t="s">
        <v>454</v>
      </c>
      <c r="H372" s="3188"/>
      <c r="I372" s="37"/>
      <c r="J372" s="37"/>
      <c r="K372" s="37"/>
      <c r="L372" s="37"/>
      <c r="M372" s="37"/>
      <c r="N372" s="37"/>
      <c r="O372" s="37"/>
      <c r="P372" s="37"/>
      <c r="Q372" s="37"/>
      <c r="R372" s="37"/>
      <c r="S372" s="37"/>
      <c r="T372" s="37"/>
      <c r="U372" s="37"/>
      <c r="V372" s="37"/>
    </row>
    <row r="373" spans="1:22" x14ac:dyDescent="0.2">
      <c r="A373" s="37"/>
      <c r="B373" s="351" t="s">
        <v>790</v>
      </c>
      <c r="C373" s="666"/>
      <c r="D373" s="349"/>
      <c r="E373" s="349"/>
      <c r="F373" s="350" t="s">
        <v>405</v>
      </c>
      <c r="G373" s="246" t="s">
        <v>454</v>
      </c>
      <c r="H373" s="3188"/>
      <c r="I373" s="37"/>
      <c r="J373" s="37"/>
      <c r="K373" s="37"/>
      <c r="L373" s="37"/>
      <c r="M373" s="37"/>
      <c r="N373" s="37"/>
      <c r="O373" s="37"/>
      <c r="P373" s="37"/>
      <c r="Q373" s="37"/>
      <c r="R373" s="37"/>
      <c r="S373" s="37"/>
      <c r="T373" s="37"/>
      <c r="U373" s="37"/>
      <c r="V373" s="37"/>
    </row>
    <row r="374" spans="1:22" x14ac:dyDescent="0.2">
      <c r="A374" s="37"/>
      <c r="B374" s="351" t="s">
        <v>791</v>
      </c>
      <c r="C374" s="666"/>
      <c r="D374" s="349"/>
      <c r="E374" s="349"/>
      <c r="F374" s="350" t="s">
        <v>405</v>
      </c>
      <c r="G374" s="246" t="s">
        <v>454</v>
      </c>
      <c r="H374" s="3188"/>
      <c r="I374" s="37"/>
      <c r="J374" s="37"/>
      <c r="K374" s="37"/>
      <c r="L374" s="37"/>
      <c r="M374" s="37"/>
      <c r="N374" s="37"/>
      <c r="O374" s="37"/>
      <c r="P374" s="37"/>
      <c r="Q374" s="37"/>
      <c r="R374" s="37"/>
      <c r="S374" s="37"/>
      <c r="T374" s="37"/>
      <c r="U374" s="37"/>
      <c r="V374" s="37"/>
    </row>
    <row r="375" spans="1:22" x14ac:dyDescent="0.2">
      <c r="A375" s="37"/>
      <c r="B375" s="351" t="s">
        <v>792</v>
      </c>
      <c r="C375" s="666"/>
      <c r="D375" s="349"/>
      <c r="E375" s="349"/>
      <c r="F375" s="350" t="s">
        <v>405</v>
      </c>
      <c r="G375" s="246" t="s">
        <v>454</v>
      </c>
      <c r="H375" s="3188"/>
      <c r="I375" s="37"/>
      <c r="J375" s="37"/>
      <c r="K375" s="37"/>
      <c r="L375" s="37"/>
      <c r="M375" s="37"/>
      <c r="N375" s="37"/>
      <c r="O375" s="37"/>
      <c r="P375" s="37"/>
      <c r="Q375" s="37"/>
      <c r="R375" s="37"/>
      <c r="S375" s="37"/>
      <c r="T375" s="37"/>
      <c r="U375" s="37"/>
      <c r="V375" s="37"/>
    </row>
    <row r="376" spans="1:22" x14ac:dyDescent="0.2">
      <c r="A376" s="37"/>
      <c r="B376" s="351" t="s">
        <v>793</v>
      </c>
      <c r="C376" s="666"/>
      <c r="D376" s="349"/>
      <c r="E376" s="349"/>
      <c r="F376" s="350" t="s">
        <v>405</v>
      </c>
      <c r="G376" s="246" t="s">
        <v>454</v>
      </c>
      <c r="H376" s="3188"/>
      <c r="I376" s="37"/>
      <c r="J376" s="37"/>
      <c r="K376" s="37"/>
      <c r="L376" s="37"/>
      <c r="M376" s="37"/>
      <c r="N376" s="37"/>
      <c r="O376" s="37"/>
      <c r="P376" s="37"/>
      <c r="Q376" s="37"/>
      <c r="R376" s="37"/>
      <c r="S376" s="37"/>
      <c r="T376" s="37"/>
      <c r="U376" s="37"/>
      <c r="V376" s="37"/>
    </row>
    <row r="377" spans="1:22" x14ac:dyDescent="0.2">
      <c r="A377" s="37"/>
      <c r="B377" s="351" t="s">
        <v>794</v>
      </c>
      <c r="C377" s="666"/>
      <c r="D377" s="349"/>
      <c r="E377" s="349"/>
      <c r="F377" s="350" t="s">
        <v>405</v>
      </c>
      <c r="G377" s="246" t="s">
        <v>454</v>
      </c>
      <c r="H377" s="3188"/>
      <c r="I377" s="37"/>
      <c r="J377" s="37"/>
      <c r="K377" s="37"/>
      <c r="L377" s="37"/>
      <c r="M377" s="37"/>
      <c r="N377" s="37"/>
      <c r="O377" s="37"/>
      <c r="P377" s="37"/>
      <c r="Q377" s="37"/>
      <c r="R377" s="37"/>
      <c r="S377" s="37"/>
      <c r="T377" s="37"/>
      <c r="U377" s="37"/>
      <c r="V377" s="37"/>
    </row>
    <row r="378" spans="1:22" x14ac:dyDescent="0.2">
      <c r="A378" s="37"/>
      <c r="B378" s="351" t="s">
        <v>795</v>
      </c>
      <c r="C378" s="666"/>
      <c r="D378" s="349"/>
      <c r="E378" s="349"/>
      <c r="F378" s="350" t="s">
        <v>405</v>
      </c>
      <c r="G378" s="246" t="s">
        <v>454</v>
      </c>
      <c r="H378" s="3188"/>
      <c r="I378" s="37"/>
      <c r="J378" s="37"/>
      <c r="K378" s="37"/>
      <c r="L378" s="37"/>
      <c r="M378" s="37"/>
      <c r="N378" s="37"/>
      <c r="O378" s="37"/>
      <c r="P378" s="37"/>
      <c r="Q378" s="37"/>
      <c r="R378" s="37"/>
      <c r="S378" s="37"/>
      <c r="T378" s="37"/>
      <c r="U378" s="37"/>
      <c r="V378" s="37"/>
    </row>
    <row r="379" spans="1:22" x14ac:dyDescent="0.2">
      <c r="A379" s="37"/>
      <c r="B379" s="351" t="s">
        <v>796</v>
      </c>
      <c r="C379" s="666"/>
      <c r="D379" s="349"/>
      <c r="E379" s="349"/>
      <c r="F379" s="350" t="s">
        <v>405</v>
      </c>
      <c r="G379" s="246" t="s">
        <v>454</v>
      </c>
      <c r="H379" s="3188"/>
      <c r="I379" s="37"/>
      <c r="J379" s="37"/>
      <c r="K379" s="37"/>
      <c r="L379" s="37"/>
      <c r="M379" s="37"/>
      <c r="N379" s="37"/>
      <c r="O379" s="37"/>
      <c r="P379" s="37"/>
      <c r="Q379" s="37"/>
      <c r="R379" s="37"/>
      <c r="S379" s="37"/>
      <c r="T379" s="37"/>
      <c r="U379" s="37"/>
      <c r="V379" s="37"/>
    </row>
    <row r="380" spans="1:22" ht="13.5" thickBot="1" x14ac:dyDescent="0.25">
      <c r="A380" s="37"/>
      <c r="B380" s="352" t="s">
        <v>797</v>
      </c>
      <c r="C380" s="667"/>
      <c r="D380" s="353"/>
      <c r="E380" s="353"/>
      <c r="F380" s="354" t="s">
        <v>405</v>
      </c>
      <c r="G380" s="251" t="s">
        <v>454</v>
      </c>
      <c r="H380" s="3191"/>
      <c r="I380" s="37"/>
      <c r="J380" s="37"/>
      <c r="K380" s="37"/>
      <c r="L380" s="37"/>
      <c r="M380" s="37"/>
      <c r="N380" s="37"/>
      <c r="O380" s="37"/>
      <c r="P380" s="37"/>
      <c r="Q380" s="37"/>
      <c r="R380" s="37"/>
      <c r="S380" s="37"/>
      <c r="T380" s="37"/>
      <c r="U380" s="37"/>
      <c r="V380" s="37"/>
    </row>
    <row r="381" spans="1:22" x14ac:dyDescent="0.2">
      <c r="A381" s="37"/>
      <c r="B381" s="37"/>
      <c r="C381" s="37"/>
      <c r="D381" s="37"/>
      <c r="E381" s="37"/>
      <c r="F381" s="37"/>
      <c r="G381" s="37"/>
      <c r="H381" s="3183"/>
      <c r="I381" s="37"/>
      <c r="J381" s="37"/>
      <c r="K381" s="37"/>
      <c r="L381" s="37"/>
      <c r="M381" s="37"/>
      <c r="N381" s="37"/>
      <c r="O381" s="37"/>
      <c r="P381" s="37"/>
      <c r="Q381" s="37"/>
      <c r="R381" s="37"/>
      <c r="S381" s="37"/>
      <c r="T381" s="37"/>
      <c r="U381" s="37"/>
      <c r="V381" s="37"/>
    </row>
    <row r="382" spans="1:22" x14ac:dyDescent="0.2">
      <c r="A382" s="37"/>
      <c r="B382" s="37"/>
      <c r="C382" s="37"/>
      <c r="D382" s="37"/>
      <c r="E382" s="37"/>
      <c r="F382" s="37"/>
      <c r="G382" s="37"/>
      <c r="H382" s="3183"/>
      <c r="I382" s="37"/>
      <c r="J382" s="37"/>
      <c r="K382" s="37"/>
      <c r="L382" s="37"/>
      <c r="M382" s="37"/>
      <c r="N382" s="37"/>
      <c r="O382" s="37"/>
      <c r="P382" s="37"/>
      <c r="Q382" s="37"/>
      <c r="R382" s="37"/>
      <c r="S382" s="37"/>
      <c r="T382" s="37"/>
      <c r="U382" s="37"/>
      <c r="V382" s="37"/>
    </row>
    <row r="383" spans="1:22" x14ac:dyDescent="0.2">
      <c r="A383" s="37"/>
      <c r="B383" s="37"/>
      <c r="C383" s="37"/>
      <c r="D383" s="37"/>
      <c r="E383" s="37"/>
      <c r="F383" s="37"/>
      <c r="G383" s="37"/>
      <c r="H383" s="3183"/>
      <c r="I383" s="37"/>
      <c r="J383" s="37"/>
      <c r="K383" s="37"/>
      <c r="L383" s="37"/>
      <c r="M383" s="37"/>
      <c r="N383" s="37"/>
      <c r="O383" s="37"/>
      <c r="P383" s="37"/>
      <c r="Q383" s="37"/>
      <c r="R383" s="37"/>
      <c r="S383" s="37"/>
      <c r="T383" s="37"/>
      <c r="U383" s="37"/>
      <c r="V383" s="37"/>
    </row>
    <row r="384" spans="1:22" x14ac:dyDescent="0.2">
      <c r="A384" s="37"/>
      <c r="B384" s="37"/>
      <c r="C384" s="37"/>
      <c r="D384" s="37"/>
      <c r="E384" s="37"/>
      <c r="F384" s="37"/>
      <c r="G384" s="37"/>
      <c r="H384" s="3183"/>
      <c r="I384" s="37"/>
      <c r="J384" s="37"/>
      <c r="K384" s="37"/>
      <c r="L384" s="37"/>
      <c r="M384" s="37"/>
      <c r="N384" s="37"/>
      <c r="O384" s="37"/>
      <c r="P384" s="37"/>
      <c r="Q384" s="37"/>
      <c r="R384" s="37"/>
      <c r="S384" s="37"/>
      <c r="T384" s="37"/>
      <c r="U384" s="37"/>
      <c r="V384" s="37"/>
    </row>
    <row r="385" spans="1:22" x14ac:dyDescent="0.2">
      <c r="A385" s="37"/>
      <c r="B385" s="37"/>
      <c r="C385" s="37"/>
      <c r="D385" s="37"/>
      <c r="E385" s="37"/>
      <c r="F385" s="37"/>
      <c r="G385" s="37"/>
      <c r="H385" s="3183"/>
      <c r="I385" s="37"/>
      <c r="J385" s="37"/>
      <c r="K385" s="37"/>
      <c r="L385" s="37"/>
      <c r="M385" s="37"/>
      <c r="N385" s="37"/>
      <c r="O385" s="37"/>
      <c r="P385" s="37"/>
      <c r="Q385" s="37"/>
      <c r="R385" s="37"/>
      <c r="S385" s="37"/>
      <c r="T385" s="37"/>
      <c r="U385" s="37"/>
      <c r="V385" s="37"/>
    </row>
    <row r="386" spans="1:22" x14ac:dyDescent="0.2">
      <c r="A386" s="37"/>
      <c r="B386" s="37"/>
      <c r="C386" s="37"/>
      <c r="D386" s="37"/>
      <c r="E386" s="37"/>
      <c r="F386" s="37"/>
      <c r="G386" s="37"/>
      <c r="H386" s="3183"/>
      <c r="I386" s="37"/>
      <c r="J386" s="37"/>
      <c r="K386" s="37"/>
      <c r="L386" s="37"/>
      <c r="M386" s="37"/>
      <c r="N386" s="37"/>
      <c r="O386" s="37"/>
      <c r="P386" s="37"/>
      <c r="Q386" s="37"/>
      <c r="R386" s="37"/>
      <c r="S386" s="37"/>
      <c r="T386" s="37"/>
      <c r="U386" s="37"/>
      <c r="V386" s="37"/>
    </row>
    <row r="387" spans="1:22" x14ac:dyDescent="0.2">
      <c r="A387" s="37"/>
      <c r="B387" s="37"/>
      <c r="C387" s="37"/>
      <c r="D387" s="37"/>
      <c r="E387" s="37"/>
      <c r="F387" s="37"/>
      <c r="G387" s="37"/>
      <c r="H387" s="3183"/>
      <c r="I387" s="37"/>
      <c r="J387" s="37"/>
      <c r="K387" s="37"/>
      <c r="L387" s="37"/>
      <c r="M387" s="37"/>
      <c r="N387" s="37"/>
      <c r="O387" s="37"/>
      <c r="P387" s="37"/>
      <c r="Q387" s="37"/>
      <c r="R387" s="37"/>
      <c r="S387" s="37"/>
      <c r="T387" s="37"/>
      <c r="U387" s="37"/>
      <c r="V387" s="37"/>
    </row>
    <row r="388" spans="1:22" x14ac:dyDescent="0.2">
      <c r="A388" s="37"/>
      <c r="B388" s="37"/>
      <c r="C388" s="37"/>
      <c r="D388" s="37"/>
      <c r="E388" s="37"/>
      <c r="F388" s="37"/>
      <c r="G388" s="37"/>
      <c r="H388" s="3183"/>
      <c r="I388" s="37"/>
      <c r="J388" s="37"/>
      <c r="K388" s="37"/>
      <c r="L388" s="37"/>
      <c r="M388" s="37"/>
      <c r="N388" s="37"/>
      <c r="O388" s="37"/>
      <c r="P388" s="37"/>
      <c r="Q388" s="37"/>
      <c r="R388" s="37"/>
      <c r="S388" s="37"/>
      <c r="T388" s="37"/>
      <c r="U388" s="37"/>
      <c r="V388" s="37"/>
    </row>
    <row r="389" spans="1:22" x14ac:dyDescent="0.2">
      <c r="A389" s="37"/>
      <c r="B389" s="37"/>
      <c r="C389" s="37"/>
      <c r="D389" s="37"/>
      <c r="E389" s="37"/>
      <c r="F389" s="37"/>
      <c r="G389" s="37"/>
      <c r="H389" s="3183"/>
      <c r="I389" s="37"/>
      <c r="J389" s="37"/>
      <c r="K389" s="37"/>
      <c r="L389" s="37"/>
      <c r="M389" s="37"/>
      <c r="N389" s="37"/>
      <c r="O389" s="37"/>
      <c r="P389" s="37"/>
      <c r="Q389" s="37"/>
      <c r="R389" s="37"/>
      <c r="S389" s="37"/>
      <c r="T389" s="37"/>
      <c r="U389" s="37"/>
      <c r="V389" s="37"/>
    </row>
    <row r="390" spans="1:22" x14ac:dyDescent="0.2">
      <c r="A390" s="37"/>
      <c r="B390" s="37"/>
      <c r="C390" s="37"/>
      <c r="D390" s="37"/>
      <c r="E390" s="37"/>
      <c r="F390" s="37"/>
      <c r="G390" s="37"/>
      <c r="H390" s="3183"/>
      <c r="I390" s="37"/>
      <c r="J390" s="37"/>
      <c r="K390" s="37"/>
      <c r="L390" s="37"/>
      <c r="M390" s="37"/>
      <c r="N390" s="37"/>
      <c r="O390" s="37"/>
      <c r="P390" s="37"/>
      <c r="Q390" s="37"/>
      <c r="R390" s="37"/>
      <c r="S390" s="37"/>
      <c r="T390" s="37"/>
      <c r="U390" s="37"/>
      <c r="V390" s="37"/>
    </row>
    <row r="391" spans="1:22" x14ac:dyDescent="0.2">
      <c r="A391" s="37"/>
      <c r="B391" s="37"/>
      <c r="C391" s="37"/>
      <c r="D391" s="37"/>
      <c r="E391" s="37"/>
      <c r="F391" s="37"/>
      <c r="G391" s="37"/>
      <c r="H391" s="3183"/>
      <c r="I391" s="37"/>
      <c r="J391" s="37"/>
      <c r="K391" s="37"/>
      <c r="L391" s="37"/>
      <c r="M391" s="37"/>
      <c r="N391" s="37"/>
      <c r="O391" s="37"/>
      <c r="P391" s="37"/>
      <c r="Q391" s="37"/>
      <c r="R391" s="37"/>
      <c r="S391" s="37"/>
      <c r="T391" s="37"/>
      <c r="U391" s="37"/>
      <c r="V391" s="37"/>
    </row>
    <row r="392" spans="1:22" x14ac:dyDescent="0.2">
      <c r="A392" s="37"/>
      <c r="B392" s="37"/>
      <c r="C392" s="37"/>
      <c r="D392" s="37"/>
      <c r="E392" s="37"/>
      <c r="F392" s="37"/>
      <c r="G392" s="37"/>
      <c r="H392" s="3183"/>
      <c r="I392" s="37"/>
      <c r="J392" s="37"/>
      <c r="K392" s="37"/>
      <c r="L392" s="37"/>
      <c r="M392" s="37"/>
      <c r="N392" s="37"/>
      <c r="O392" s="37"/>
      <c r="P392" s="37"/>
      <c r="Q392" s="37"/>
      <c r="R392" s="37"/>
      <c r="S392" s="37"/>
      <c r="T392" s="37"/>
      <c r="U392" s="37"/>
      <c r="V392" s="37"/>
    </row>
    <row r="393" spans="1:22" x14ac:dyDescent="0.2">
      <c r="A393" s="37"/>
      <c r="B393" s="37"/>
      <c r="C393" s="37"/>
      <c r="D393" s="37"/>
      <c r="E393" s="37"/>
      <c r="F393" s="37"/>
      <c r="G393" s="37"/>
      <c r="H393" s="3183"/>
      <c r="I393" s="37"/>
      <c r="J393" s="37"/>
      <c r="K393" s="37"/>
      <c r="L393" s="37"/>
      <c r="M393" s="37"/>
      <c r="N393" s="37"/>
      <c r="O393" s="37"/>
      <c r="P393" s="37"/>
      <c r="Q393" s="37"/>
      <c r="R393" s="37"/>
      <c r="S393" s="37"/>
      <c r="T393" s="37"/>
      <c r="U393" s="37"/>
      <c r="V393" s="37"/>
    </row>
    <row r="394" spans="1:22" x14ac:dyDescent="0.2">
      <c r="A394" s="37"/>
      <c r="B394" s="37"/>
      <c r="C394" s="37"/>
      <c r="D394" s="37"/>
      <c r="E394" s="37"/>
      <c r="F394" s="37"/>
      <c r="G394" s="37"/>
      <c r="H394" s="3183"/>
      <c r="I394" s="37"/>
      <c r="J394" s="37"/>
      <c r="K394" s="37"/>
      <c r="L394" s="37"/>
      <c r="M394" s="37"/>
      <c r="N394" s="37"/>
      <c r="O394" s="37"/>
      <c r="P394" s="37"/>
      <c r="Q394" s="37"/>
      <c r="R394" s="37"/>
      <c r="S394" s="37"/>
      <c r="T394" s="37"/>
      <c r="U394" s="37"/>
      <c r="V394" s="37"/>
    </row>
    <row r="395" spans="1:22" x14ac:dyDescent="0.2">
      <c r="A395" s="37"/>
      <c r="B395" s="37"/>
      <c r="C395" s="37"/>
      <c r="D395" s="37"/>
      <c r="E395" s="37"/>
      <c r="F395" s="37"/>
      <c r="G395" s="37"/>
      <c r="H395" s="3183"/>
      <c r="I395" s="37"/>
      <c r="J395" s="37"/>
      <c r="K395" s="37"/>
      <c r="L395" s="37"/>
      <c r="M395" s="37"/>
      <c r="N395" s="37"/>
      <c r="O395" s="37"/>
      <c r="P395" s="37"/>
      <c r="Q395" s="37"/>
      <c r="R395" s="37"/>
      <c r="S395" s="37"/>
      <c r="T395" s="37"/>
      <c r="U395" s="37"/>
      <c r="V395" s="37"/>
    </row>
    <row r="396" spans="1:22" x14ac:dyDescent="0.2">
      <c r="A396" s="37"/>
      <c r="B396" s="37"/>
      <c r="C396" s="37"/>
      <c r="D396" s="37"/>
      <c r="E396" s="37"/>
      <c r="F396" s="37"/>
      <c r="G396" s="37"/>
      <c r="H396" s="3183"/>
      <c r="I396" s="37"/>
      <c r="J396" s="37"/>
      <c r="K396" s="37"/>
      <c r="L396" s="37"/>
      <c r="M396" s="37"/>
      <c r="N396" s="37"/>
      <c r="O396" s="37"/>
      <c r="P396" s="37"/>
      <c r="Q396" s="37"/>
      <c r="R396" s="37"/>
      <c r="S396" s="37"/>
      <c r="T396" s="37"/>
      <c r="U396" s="37"/>
      <c r="V396" s="37"/>
    </row>
    <row r="397" spans="1:22" x14ac:dyDescent="0.2">
      <c r="A397" s="37"/>
      <c r="B397" s="37"/>
      <c r="C397" s="37"/>
      <c r="D397" s="37"/>
      <c r="E397" s="37"/>
      <c r="F397" s="37"/>
      <c r="G397" s="37"/>
      <c r="H397" s="3183"/>
      <c r="I397" s="37"/>
      <c r="J397" s="37"/>
      <c r="K397" s="37"/>
      <c r="L397" s="37"/>
      <c r="M397" s="37"/>
      <c r="N397" s="37"/>
      <c r="O397" s="37"/>
      <c r="P397" s="37"/>
      <c r="Q397" s="37"/>
      <c r="R397" s="37"/>
      <c r="S397" s="37"/>
      <c r="T397" s="37"/>
      <c r="U397" s="37"/>
      <c r="V397" s="37"/>
    </row>
    <row r="398" spans="1:22" x14ac:dyDescent="0.2">
      <c r="A398" s="37"/>
      <c r="B398" s="37"/>
      <c r="C398" s="37"/>
      <c r="D398" s="37"/>
      <c r="E398" s="37"/>
      <c r="F398" s="37"/>
      <c r="G398" s="37"/>
      <c r="H398" s="3183"/>
      <c r="I398" s="37"/>
      <c r="J398" s="37"/>
      <c r="K398" s="37"/>
      <c r="L398" s="37"/>
      <c r="M398" s="37"/>
      <c r="N398" s="37"/>
      <c r="O398" s="37"/>
      <c r="P398" s="37"/>
      <c r="Q398" s="37"/>
      <c r="R398" s="37"/>
      <c r="S398" s="37"/>
      <c r="T398" s="37"/>
      <c r="U398" s="37"/>
      <c r="V398" s="37"/>
    </row>
    <row r="399" spans="1:22" x14ac:dyDescent="0.2">
      <c r="A399" s="37"/>
      <c r="B399" s="37"/>
      <c r="C399" s="37"/>
      <c r="D399" s="37"/>
      <c r="E399" s="37"/>
      <c r="F399" s="37"/>
      <c r="G399" s="37"/>
      <c r="H399" s="3183"/>
      <c r="I399" s="37"/>
      <c r="J399" s="37"/>
      <c r="K399" s="37"/>
      <c r="L399" s="37"/>
      <c r="M399" s="37"/>
      <c r="N399" s="37"/>
      <c r="O399" s="37"/>
      <c r="P399" s="37"/>
      <c r="Q399" s="37"/>
      <c r="R399" s="37"/>
      <c r="S399" s="37"/>
      <c r="T399" s="37"/>
      <c r="U399" s="37"/>
      <c r="V399" s="37"/>
    </row>
    <row r="400" spans="1:22" x14ac:dyDescent="0.2">
      <c r="A400" s="37"/>
      <c r="B400" s="37"/>
      <c r="C400" s="37"/>
      <c r="D400" s="37"/>
      <c r="E400" s="37"/>
      <c r="F400" s="37"/>
      <c r="G400" s="37"/>
      <c r="H400" s="3183"/>
      <c r="I400" s="37"/>
      <c r="J400" s="37"/>
      <c r="K400" s="37"/>
      <c r="L400" s="37"/>
      <c r="M400" s="37"/>
      <c r="N400" s="37"/>
      <c r="O400" s="37"/>
      <c r="P400" s="37"/>
      <c r="Q400" s="37"/>
      <c r="R400" s="37"/>
      <c r="S400" s="37"/>
      <c r="T400" s="37"/>
      <c r="U400" s="37"/>
      <c r="V400" s="37"/>
    </row>
    <row r="401" spans="1:22" x14ac:dyDescent="0.2">
      <c r="A401" s="37"/>
      <c r="B401" s="37"/>
      <c r="C401" s="37"/>
      <c r="D401" s="37"/>
      <c r="E401" s="37"/>
      <c r="F401" s="37"/>
      <c r="G401" s="37"/>
      <c r="H401" s="3183"/>
      <c r="I401" s="37"/>
      <c r="J401" s="37"/>
      <c r="K401" s="37"/>
      <c r="L401" s="37"/>
      <c r="M401" s="37"/>
      <c r="N401" s="37"/>
      <c r="O401" s="37"/>
      <c r="P401" s="37"/>
      <c r="Q401" s="37"/>
      <c r="R401" s="37"/>
      <c r="S401" s="37"/>
      <c r="T401" s="37"/>
      <c r="U401" s="37"/>
      <c r="V401" s="37"/>
    </row>
    <row r="402" spans="1:22" x14ac:dyDescent="0.2">
      <c r="A402" s="37"/>
      <c r="B402" s="37"/>
      <c r="C402" s="37"/>
      <c r="D402" s="37"/>
      <c r="E402" s="37"/>
      <c r="F402" s="37"/>
      <c r="G402" s="37"/>
      <c r="H402" s="3183"/>
      <c r="I402" s="37"/>
      <c r="J402" s="37"/>
      <c r="K402" s="37"/>
      <c r="L402" s="37"/>
      <c r="M402" s="37"/>
      <c r="N402" s="37"/>
      <c r="O402" s="37"/>
      <c r="P402" s="37"/>
      <c r="Q402" s="37"/>
      <c r="R402" s="37"/>
      <c r="S402" s="37"/>
      <c r="T402" s="37"/>
      <c r="U402" s="37"/>
      <c r="V402" s="37"/>
    </row>
    <row r="403" spans="1:22" x14ac:dyDescent="0.2">
      <c r="A403" s="37"/>
      <c r="B403" s="37"/>
      <c r="C403" s="37"/>
      <c r="D403" s="37"/>
      <c r="E403" s="37"/>
      <c r="F403" s="37"/>
      <c r="G403" s="37"/>
      <c r="H403" s="3183"/>
      <c r="I403" s="37"/>
      <c r="J403" s="37"/>
      <c r="K403" s="37"/>
      <c r="L403" s="37"/>
      <c r="M403" s="37"/>
      <c r="N403" s="37"/>
      <c r="O403" s="37"/>
      <c r="P403" s="37"/>
      <c r="Q403" s="37"/>
      <c r="R403" s="37"/>
      <c r="S403" s="37"/>
      <c r="T403" s="37"/>
      <c r="U403" s="37"/>
      <c r="V403" s="37"/>
    </row>
    <row r="404" spans="1:22" x14ac:dyDescent="0.2">
      <c r="A404" s="37"/>
      <c r="B404" s="37"/>
      <c r="C404" s="37"/>
      <c r="D404" s="37"/>
      <c r="E404" s="37"/>
      <c r="F404" s="37"/>
      <c r="G404" s="37"/>
      <c r="H404" s="3183"/>
      <c r="I404" s="37"/>
      <c r="J404" s="37"/>
      <c r="K404" s="37"/>
      <c r="L404" s="37"/>
      <c r="M404" s="37"/>
      <c r="N404" s="37"/>
      <c r="O404" s="37"/>
      <c r="P404" s="37"/>
      <c r="Q404" s="37"/>
      <c r="R404" s="37"/>
      <c r="S404" s="37"/>
      <c r="T404" s="37"/>
      <c r="U404" s="37"/>
      <c r="V404" s="37"/>
    </row>
    <row r="405" spans="1:22" x14ac:dyDescent="0.2">
      <c r="A405" s="37"/>
      <c r="B405" s="37"/>
      <c r="C405" s="37"/>
      <c r="D405" s="37"/>
      <c r="E405" s="37"/>
      <c r="F405" s="37"/>
      <c r="G405" s="37"/>
      <c r="H405" s="3183"/>
      <c r="I405" s="37"/>
      <c r="J405" s="37"/>
      <c r="K405" s="37"/>
      <c r="L405" s="37"/>
      <c r="M405" s="37"/>
      <c r="N405" s="37"/>
      <c r="O405" s="37"/>
      <c r="P405" s="37"/>
      <c r="Q405" s="37"/>
      <c r="R405" s="37"/>
      <c r="S405" s="37"/>
      <c r="T405" s="37"/>
      <c r="U405" s="37"/>
      <c r="V405" s="37"/>
    </row>
    <row r="406" spans="1:22" x14ac:dyDescent="0.2">
      <c r="A406" s="37"/>
      <c r="B406" s="37"/>
      <c r="C406" s="37"/>
      <c r="D406" s="37"/>
      <c r="E406" s="37"/>
      <c r="F406" s="37"/>
      <c r="G406" s="37"/>
      <c r="H406" s="3183"/>
      <c r="I406" s="37"/>
      <c r="J406" s="37"/>
      <c r="K406" s="37"/>
      <c r="L406" s="37"/>
      <c r="M406" s="37"/>
      <c r="N406" s="37"/>
      <c r="O406" s="37"/>
      <c r="P406" s="37"/>
      <c r="Q406" s="37"/>
      <c r="R406" s="37"/>
      <c r="S406" s="37"/>
      <c r="T406" s="37"/>
      <c r="U406" s="37"/>
      <c r="V406" s="37"/>
    </row>
    <row r="407" spans="1:22" x14ac:dyDescent="0.2">
      <c r="A407" s="37"/>
      <c r="B407" s="37"/>
      <c r="C407" s="37"/>
      <c r="D407" s="37"/>
      <c r="E407" s="37"/>
      <c r="F407" s="37"/>
      <c r="G407" s="37"/>
      <c r="H407" s="3183"/>
      <c r="I407" s="37"/>
      <c r="J407" s="37"/>
      <c r="K407" s="37"/>
      <c r="L407" s="37"/>
      <c r="M407" s="37"/>
      <c r="N407" s="37"/>
      <c r="O407" s="37"/>
      <c r="P407" s="37"/>
      <c r="Q407" s="37"/>
      <c r="R407" s="37"/>
      <c r="S407" s="37"/>
      <c r="T407" s="37"/>
      <c r="U407" s="37"/>
      <c r="V407" s="37"/>
    </row>
    <row r="408" spans="1:22" x14ac:dyDescent="0.2">
      <c r="A408" s="37"/>
      <c r="B408" s="37"/>
      <c r="C408" s="37"/>
      <c r="D408" s="37"/>
      <c r="E408" s="37"/>
      <c r="F408" s="37"/>
      <c r="G408" s="37"/>
      <c r="H408" s="3183"/>
      <c r="I408" s="37"/>
      <c r="J408" s="37"/>
      <c r="K408" s="37"/>
      <c r="L408" s="37"/>
      <c r="M408" s="37"/>
      <c r="N408" s="37"/>
      <c r="O408" s="37"/>
      <c r="P408" s="37"/>
      <c r="Q408" s="37"/>
      <c r="R408" s="37"/>
      <c r="S408" s="37"/>
      <c r="T408" s="37"/>
      <c r="U408" s="37"/>
      <c r="V408" s="37"/>
    </row>
    <row r="409" spans="1:22" x14ac:dyDescent="0.2">
      <c r="A409" s="37"/>
      <c r="B409" s="37"/>
      <c r="C409" s="37"/>
      <c r="D409" s="37"/>
      <c r="E409" s="37"/>
      <c r="F409" s="37"/>
      <c r="G409" s="37"/>
      <c r="H409" s="3183"/>
      <c r="I409" s="37"/>
      <c r="J409" s="37"/>
      <c r="K409" s="37"/>
      <c r="L409" s="37"/>
      <c r="M409" s="37"/>
      <c r="N409" s="37"/>
      <c r="O409" s="37"/>
      <c r="P409" s="37"/>
      <c r="Q409" s="37"/>
      <c r="R409" s="37"/>
      <c r="S409" s="37"/>
      <c r="T409" s="37"/>
      <c r="U409" s="37"/>
      <c r="V409" s="37"/>
    </row>
    <row r="410" spans="1:22" x14ac:dyDescent="0.2">
      <c r="A410" s="37"/>
      <c r="B410" s="37"/>
      <c r="C410" s="37"/>
      <c r="D410" s="37"/>
      <c r="E410" s="37"/>
      <c r="F410" s="37"/>
      <c r="G410" s="37"/>
      <c r="H410" s="3183"/>
      <c r="I410" s="37"/>
      <c r="J410" s="37"/>
      <c r="K410" s="37"/>
      <c r="L410" s="37"/>
      <c r="M410" s="37"/>
      <c r="N410" s="37"/>
      <c r="O410" s="37"/>
      <c r="P410" s="37"/>
      <c r="Q410" s="37"/>
      <c r="R410" s="37"/>
      <c r="S410" s="37"/>
      <c r="T410" s="37"/>
      <c r="U410" s="37"/>
      <c r="V410" s="37"/>
    </row>
    <row r="411" spans="1:22" x14ac:dyDescent="0.2">
      <c r="A411" s="37"/>
      <c r="B411" s="37"/>
      <c r="C411" s="37"/>
      <c r="D411" s="37"/>
      <c r="E411" s="37"/>
      <c r="F411" s="37"/>
      <c r="G411" s="37"/>
      <c r="H411" s="3183"/>
      <c r="I411" s="37"/>
      <c r="J411" s="37"/>
      <c r="K411" s="37"/>
      <c r="L411" s="37"/>
      <c r="M411" s="37"/>
      <c r="N411" s="37"/>
      <c r="O411" s="37"/>
      <c r="P411" s="37"/>
      <c r="Q411" s="37"/>
      <c r="R411" s="37"/>
      <c r="S411" s="37"/>
      <c r="T411" s="37"/>
      <c r="U411" s="37"/>
      <c r="V411" s="37"/>
    </row>
    <row r="412" spans="1:22" x14ac:dyDescent="0.2">
      <c r="A412" s="37"/>
      <c r="B412" s="37"/>
      <c r="C412" s="37"/>
      <c r="D412" s="37"/>
      <c r="E412" s="37"/>
      <c r="F412" s="37"/>
      <c r="G412" s="37"/>
      <c r="H412" s="3183"/>
      <c r="I412" s="37"/>
      <c r="J412" s="37"/>
      <c r="K412" s="37"/>
      <c r="L412" s="37"/>
      <c r="M412" s="37"/>
      <c r="N412" s="37"/>
      <c r="O412" s="37"/>
      <c r="P412" s="37"/>
      <c r="Q412" s="37"/>
      <c r="R412" s="37"/>
      <c r="S412" s="37"/>
      <c r="T412" s="37"/>
      <c r="U412" s="37"/>
      <c r="V412" s="37"/>
    </row>
    <row r="413" spans="1:22" x14ac:dyDescent="0.2">
      <c r="A413" s="37"/>
      <c r="B413" s="37"/>
      <c r="C413" s="37"/>
      <c r="D413" s="37"/>
      <c r="E413" s="37"/>
      <c r="F413" s="37"/>
      <c r="G413" s="37"/>
      <c r="H413" s="3183"/>
      <c r="I413" s="37"/>
      <c r="J413" s="37"/>
      <c r="K413" s="37"/>
      <c r="L413" s="37"/>
      <c r="M413" s="37"/>
      <c r="N413" s="37"/>
      <c r="O413" s="37"/>
      <c r="P413" s="37"/>
      <c r="Q413" s="37"/>
      <c r="R413" s="37"/>
      <c r="S413" s="37"/>
      <c r="T413" s="37"/>
      <c r="U413" s="37"/>
      <c r="V413" s="37"/>
    </row>
    <row r="414" spans="1:22" x14ac:dyDescent="0.2">
      <c r="A414" s="37"/>
      <c r="B414" s="37"/>
      <c r="C414" s="37"/>
      <c r="D414" s="37"/>
      <c r="E414" s="37"/>
      <c r="F414" s="37"/>
      <c r="G414" s="37"/>
      <c r="H414" s="3183"/>
      <c r="I414" s="37"/>
      <c r="J414" s="37"/>
      <c r="K414" s="37"/>
      <c r="L414" s="37"/>
      <c r="M414" s="37"/>
      <c r="N414" s="37"/>
      <c r="O414" s="37"/>
      <c r="P414" s="37"/>
      <c r="Q414" s="37"/>
      <c r="R414" s="37"/>
      <c r="S414" s="37"/>
      <c r="T414" s="37"/>
      <c r="U414" s="37"/>
      <c r="V414" s="37"/>
    </row>
    <row r="415" spans="1:22" x14ac:dyDescent="0.2">
      <c r="A415" s="37"/>
      <c r="B415" s="37"/>
      <c r="C415" s="37"/>
      <c r="D415" s="37"/>
      <c r="E415" s="37"/>
      <c r="F415" s="37"/>
      <c r="G415" s="37"/>
      <c r="H415" s="3183"/>
      <c r="I415" s="37"/>
      <c r="J415" s="37"/>
      <c r="K415" s="37"/>
      <c r="L415" s="37"/>
      <c r="M415" s="37"/>
      <c r="N415" s="37"/>
      <c r="O415" s="37"/>
      <c r="P415" s="37"/>
      <c r="Q415" s="37"/>
      <c r="R415" s="37"/>
      <c r="S415" s="37"/>
      <c r="T415" s="37"/>
      <c r="U415" s="37"/>
      <c r="V415" s="37"/>
    </row>
  </sheetData>
  <sheetProtection sheet="1" objects="1" scenarios="1"/>
  <mergeCells count="1">
    <mergeCell ref="M3:P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7">
    <tabColor theme="7" tint="0.79998168889431442"/>
  </sheetPr>
  <dimension ref="A1:DC50"/>
  <sheetViews>
    <sheetView zoomScale="85" zoomScaleNormal="85" workbookViewId="0">
      <pane ySplit="2" topLeftCell="A3" activePane="bottomLeft" state="frozen"/>
      <selection pane="bottomLeft" activeCell="A3" sqref="A3"/>
    </sheetView>
  </sheetViews>
  <sheetFormatPr baseColWidth="10" defaultColWidth="10.5703125" defaultRowHeight="12.75" x14ac:dyDescent="0.2"/>
  <cols>
    <col min="1" max="1" width="1.5703125" style="37" customWidth="1"/>
    <col min="2" max="2" width="9.42578125" style="165" customWidth="1"/>
    <col min="3" max="3" width="3.140625" style="37" hidden="1" customWidth="1"/>
    <col min="4" max="4" width="33.28515625" style="37" hidden="1" customWidth="1"/>
    <col min="5" max="5" width="9.42578125" style="37" hidden="1" customWidth="1"/>
    <col min="6" max="6" width="8.7109375" style="165" hidden="1" customWidth="1"/>
    <col min="7" max="7" width="7.5703125" style="37" customWidth="1"/>
    <col min="8" max="8" width="8.140625" style="37" hidden="1" customWidth="1"/>
    <col min="9" max="9" width="15" style="37" hidden="1" customWidth="1"/>
    <col min="10" max="10" width="10.5703125" style="37"/>
    <col min="11" max="11" width="10.5703125" style="37" bestFit="1" customWidth="1"/>
    <col min="12" max="12" width="8.7109375" style="37" hidden="1" customWidth="1"/>
    <col min="13" max="13" width="15.85546875" style="37" hidden="1" customWidth="1"/>
    <col min="14" max="14" width="10.85546875" style="37" hidden="1" customWidth="1"/>
    <col min="15" max="15" width="5" style="37" hidden="1" customWidth="1"/>
    <col min="16" max="16" width="16" style="37" hidden="1" customWidth="1"/>
    <col min="17" max="17" width="15" style="37" hidden="1" customWidth="1"/>
    <col min="18" max="18" width="10.42578125" style="37" hidden="1" customWidth="1"/>
    <col min="19" max="19" width="6" style="37" hidden="1" customWidth="1"/>
    <col min="20" max="20" width="10.5703125" style="37" customWidth="1"/>
    <col min="21" max="21" width="10.5703125" style="37"/>
    <col min="22" max="22" width="9.28515625" style="37" hidden="1" customWidth="1"/>
    <col min="23" max="23" width="13.140625" style="37" hidden="1" customWidth="1"/>
    <col min="24" max="24" width="5.140625" style="37" customWidth="1"/>
    <col min="25" max="25" width="7.5703125" style="37" customWidth="1"/>
    <col min="26" max="26" width="4.85546875" style="37" customWidth="1"/>
    <col min="27" max="27" width="19.140625" style="37" hidden="1" customWidth="1"/>
    <col min="28" max="28" width="25.7109375" style="37" hidden="1" customWidth="1"/>
    <col min="29" max="29" width="18.42578125" style="37" hidden="1" customWidth="1"/>
    <col min="30" max="30" width="7.85546875" style="37" hidden="1" customWidth="1"/>
    <col min="31" max="31" width="13.28515625" style="37" hidden="1" customWidth="1"/>
    <col min="32" max="32" width="8.5703125" style="37" hidden="1" customWidth="1"/>
    <col min="33" max="33" width="11" style="37" customWidth="1"/>
    <col min="34" max="34" width="10.42578125" style="37" customWidth="1"/>
    <col min="35" max="35" width="13" style="37" customWidth="1"/>
    <col min="36" max="36" width="11" style="37" customWidth="1"/>
    <col min="37" max="37" width="23.140625" style="37" hidden="1" customWidth="1"/>
    <col min="38" max="38" width="29" style="37" hidden="1" customWidth="1"/>
    <col min="39" max="39" width="23.28515625" style="37" hidden="1" customWidth="1"/>
    <col min="40" max="40" width="23.7109375" style="37" hidden="1" customWidth="1"/>
    <col min="41" max="41" width="14.7109375" style="37" hidden="1" customWidth="1"/>
    <col min="42" max="42" width="10.85546875" style="37" hidden="1" customWidth="1"/>
    <col min="43" max="43" width="20.5703125" style="37" hidden="1" customWidth="1"/>
    <col min="44" max="44" width="18.85546875" style="37" hidden="1" customWidth="1"/>
    <col min="45" max="45" width="8.140625" style="37" hidden="1" customWidth="1"/>
    <col min="46" max="46" width="24.140625" style="37" hidden="1" customWidth="1"/>
    <col min="47" max="47" width="15" style="37" hidden="1" customWidth="1"/>
    <col min="48" max="48" width="23.140625" style="37" hidden="1" customWidth="1"/>
    <col min="49" max="49" width="13.85546875" style="37" hidden="1" customWidth="1"/>
    <col min="50" max="50" width="14" style="37" hidden="1" customWidth="1"/>
    <col min="51" max="51" width="13.140625" style="37" hidden="1" customWidth="1"/>
    <col min="52" max="52" width="23.5703125" style="37" hidden="1" customWidth="1"/>
    <col min="53" max="53" width="22.5703125" style="37" hidden="1" customWidth="1"/>
    <col min="54" max="54" width="20.85546875" style="37" hidden="1" customWidth="1"/>
    <col min="55" max="55" width="19.5703125" style="37" hidden="1" customWidth="1"/>
    <col min="56" max="56" width="10.140625" style="37" hidden="1" customWidth="1"/>
    <col min="57" max="57" width="20.5703125" style="3212" customWidth="1"/>
    <col min="58" max="58" width="8.85546875" style="1508" customWidth="1"/>
    <col min="59" max="59" width="17.85546875" style="37" hidden="1" customWidth="1"/>
    <col min="60" max="60" width="9.140625" style="1508" customWidth="1"/>
    <col min="61" max="61" width="9.140625" style="37" customWidth="1"/>
    <col min="62" max="62" width="15.140625" style="37" hidden="1" customWidth="1"/>
    <col min="63" max="63" width="12.85546875" style="37" customWidth="1"/>
    <col min="64" max="64" width="11" style="37" hidden="1" customWidth="1"/>
    <col min="65" max="65" width="17.42578125" style="37" hidden="1" customWidth="1"/>
    <col min="66" max="66" width="19" style="37" hidden="1" customWidth="1"/>
    <col min="67" max="67" width="9.140625" style="37" hidden="1" customWidth="1"/>
    <col min="68" max="68" width="15" style="37" hidden="1" customWidth="1"/>
    <col min="69" max="69" width="14.28515625" style="37" hidden="1" customWidth="1"/>
    <col min="70" max="70" width="14" style="37" hidden="1" customWidth="1"/>
    <col min="71" max="71" width="4.42578125" style="72" hidden="1" customWidth="1"/>
    <col min="72" max="72" width="2.5703125" style="72" hidden="1" customWidth="1"/>
    <col min="73" max="73" width="0.5703125" style="72" hidden="1" customWidth="1"/>
    <col min="74" max="74" width="16.5703125" style="72" hidden="1" customWidth="1"/>
    <col min="75" max="75" width="5.5703125" style="72" hidden="1" customWidth="1"/>
    <col min="76" max="76" width="6.42578125" style="74" hidden="1" customWidth="1"/>
    <col min="77" max="77" width="5.42578125" style="74" hidden="1" customWidth="1"/>
    <col min="78" max="78" width="6.42578125" style="74" hidden="1" customWidth="1"/>
    <col min="79" max="79" width="10.5703125" style="46" customWidth="1"/>
    <col min="80" max="80" width="8" style="46" customWidth="1"/>
    <col min="81" max="81" width="5.5703125" style="37" customWidth="1"/>
    <col min="82" max="89" width="10.5703125" style="37"/>
    <col min="90" max="93" width="10.5703125" style="37" hidden="1" customWidth="1"/>
    <col min="94" max="94" width="0" style="37" hidden="1" customWidth="1"/>
    <col min="95" max="16384" width="10.5703125" style="37"/>
  </cols>
  <sheetData>
    <row r="1" customHeight="1" ht="11.85" thickBot="1" x14ac:dyDescent="0.25">
      <c r="A1" s="1584"/>
      <c r="B1" s="1585"/>
      <c r="C1" s="1584"/>
      <c r="D1" s="1584"/>
      <c r="E1" s="1584"/>
      <c r="F1" s="1585"/>
      <c r="G1" s="1584"/>
      <c r="H1" s="1584"/>
      <c r="I1" s="1584"/>
      <c r="J1" s="1584"/>
      <c r="K1" s="1584"/>
      <c r="L1" s="1584"/>
      <c r="M1" s="1584"/>
      <c r="N1" s="1584"/>
      <c r="O1" s="1584"/>
      <c r="P1" s="1584"/>
      <c r="Q1" s="1584"/>
      <c r="R1" s="1584"/>
      <c r="S1" s="1584"/>
      <c r="T1" s="1584"/>
      <c r="U1" s="1584"/>
      <c r="V1" s="1584"/>
      <c r="W1" s="1584"/>
      <c r="X1" s="1584"/>
      <c r="Y1" s="1584"/>
      <c r="Z1" s="1584"/>
      <c r="AA1" s="1584"/>
      <c r="AB1" s="1584"/>
      <c r="AC1" s="1584"/>
      <c r="AD1" s="1584"/>
      <c r="AE1" s="1584"/>
      <c r="AF1" s="1584"/>
      <c r="AG1" s="1584"/>
      <c r="AH1" s="1584"/>
      <c r="AI1" s="1584"/>
      <c r="AJ1" s="1584"/>
      <c r="AK1" s="1584"/>
      <c r="AL1" s="1584"/>
      <c r="AM1" s="1584"/>
      <c r="AN1" s="1584"/>
      <c r="AO1" s="1584"/>
      <c r="AP1" s="1584"/>
      <c r="AQ1" s="1584"/>
      <c r="AR1" s="1584"/>
      <c r="AS1" s="1584"/>
      <c r="AT1" s="1584"/>
      <c r="AU1" s="1584"/>
      <c r="AV1" s="1584"/>
      <c r="AW1" s="1584"/>
      <c r="AX1" s="1584"/>
      <c r="AY1" s="1584"/>
      <c r="AZ1" s="1584"/>
      <c r="BA1" s="1584"/>
      <c r="BB1" s="1584"/>
      <c r="BC1" s="1584"/>
      <c r="BD1" s="1584"/>
      <c r="BE1" s="3211"/>
      <c r="BF1" s="1586"/>
      <c r="BG1" s="1584"/>
      <c r="BH1" s="1586"/>
      <c r="BI1" s="1587"/>
      <c r="BJ1" s="1584"/>
      <c r="BK1" s="1584"/>
      <c r="BL1" s="1584"/>
      <c r="BM1" s="1584"/>
      <c r="BN1" s="1584"/>
      <c r="BO1" s="1584"/>
      <c r="BP1" s="1584"/>
      <c r="BQ1" s="1584"/>
      <c r="BR1" s="1584"/>
      <c r="BS1" s="1588"/>
      <c r="BT1" s="1588"/>
      <c r="BU1" s="1588"/>
      <c r="BV1" s="1588"/>
      <c r="BW1" s="1588"/>
      <c r="BX1" s="1589"/>
      <c r="BY1" s="1589"/>
      <c r="BZ1" s="1589"/>
      <c r="CA1" s="1590"/>
      <c r="CB1" s="1590"/>
      <c r="CC1" s="1584"/>
      <c r="CD1" s="1584"/>
      <c r="CE1" s="1584"/>
      <c r="CF1" s="1584"/>
      <c r="CG1" s="1584"/>
      <c r="CH1" s="1584"/>
      <c r="CI1" s="1584"/>
      <c r="CJ1" s="1584"/>
      <c r="CK1" s="1584"/>
      <c r="CL1" s="1599" t="inlineStr">
        <is>
          <t>Power 1 Slot</t>
        </is>
      </c>
      <c r="CM1" s="1600" t="inlineStr">
        <is>
          <t>Power 2 Slot</t>
        </is>
      </c>
      <c r="CN1" s="1600" t="inlineStr">
        <is>
          <t>Power 3Slot</t>
        </is>
      </c>
      <c r="CO1" s="1600" t="inlineStr">
        <is>
          <t>Power 4 Slot</t>
        </is>
      </c>
      <c r="CP1" s="1584"/>
      <c r="CQ1" s="1584"/>
      <c r="CR1" s="1584"/>
      <c r="CS1" s="1584"/>
      <c r="CT1" s="1584"/>
      <c r="CU1" s="1584"/>
      <c r="CV1" s="1584"/>
      <c r="CW1" s="1584"/>
      <c r="CX1" s="1584"/>
      <c r="CY1" s="1584"/>
      <c r="CZ1" s="1584"/>
      <c r="DA1" s="1584"/>
      <c r="DB1" s="1584"/>
      <c r="DC1" s="1584"/>
    </row>
    <row r="2" customHeight="1" ht="69.599999999999994" thickBot="1" x14ac:dyDescent="0.25">
      <c r="A2" s="1584"/>
      <c r="B2" s="226" t="inlineStr">
        <is>
          <t xml:space="preserve">Cert.
[EN/FCC/ISED]</t>
        </is>
      </c>
      <c r="C2" s="123" t="inlineStr">
        <is>
          <t>TR</t>
        </is>
      </c>
      <c r="D2" s="123" t="inlineStr">
        <is>
          <t>Test specification</t>
        </is>
      </c>
      <c r="E2" s="123" t="inlineStr">
        <is>
          <t>Version</t>
        </is>
      </c>
      <c r="F2" s="1494" t="inlineStr">
        <is>
          <t>Test case</t>
        </is>
      </c>
      <c r="G2" s="10" t="inlineStr">
        <is>
          <t xml:space="preserve">Module
port</t>
        </is>
      </c>
      <c r="H2" s="1494" t="inlineStr">
        <is>
          <t>Antenna</t>
        </is>
      </c>
      <c r="I2" s="123" t="inlineStr">
        <is>
          <t>TX Configuration</t>
        </is>
      </c>
      <c r="J2" s="9" t="inlineStr">
        <is>
          <t>Technology</t>
        </is>
      </c>
      <c r="K2" s="10" t="inlineStr">
        <is>
          <t>Band</t>
        </is>
      </c>
      <c r="L2" s="123" t="inlineStr">
        <is>
          <t>SCS (kHz)</t>
        </is>
      </c>
      <c r="M2" s="123" t="inlineStr">
        <is>
          <t>Bandwidth (MHz)</t>
        </is>
      </c>
      <c r="N2" s="123" t="inlineStr">
        <is>
          <t>Modulation</t>
        </is>
      </c>
      <c r="O2" s="123" t="inlineStr">
        <is>
          <t>MPR</t>
        </is>
      </c>
      <c r="P2" s="6060" t="inlineStr">
        <is>
          <t>Narrowband Index</t>
        </is>
      </c>
      <c r="Q2" s="123" t="inlineStr">
        <is>
          <t>UL RB Allocation</t>
        </is>
      </c>
      <c r="R2" s="123" t="inlineStr">
        <is>
          <t>UL RB Start</t>
        </is>
      </c>
      <c r="S2" s="123" t="inlineStr">
        <is>
          <t>Mode</t>
        </is>
      </c>
      <c r="T2" s="10" t="inlineStr">
        <is>
          <t>Channel</t>
        </is>
      </c>
      <c r="U2" s="10" t="inlineStr">
        <is>
          <t>Frequency</t>
        </is>
      </c>
      <c r="V2" s="123" t="inlineStr">
        <is>
          <t>Data Rate</t>
        </is>
      </c>
      <c r="W2" s="1489" t="inlineStr">
        <is>
          <t>Duty Cycle (%)</t>
        </is>
      </c>
      <c r="X2" s="10" t="inlineStr">
        <is>
          <t xml:space="preserve">UL
Slots</t>
        </is>
      </c>
      <c r="Y2" s="10" t="inlineStr">
        <is>
          <t xml:space="preserve">Sub
Test
</t>
        </is>
      </c>
      <c r="Z2" s="10"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s="10" t="inlineStr">
        <is>
          <t>Verdict</t>
        </is>
      </c>
      <c r="AH2" s="10" t="inlineStr">
        <is>
          <t xml:space="preserve"> Average Output Power (dBm) </t>
        </is>
      </c>
      <c r="AI2" s="10" t="inlineStr">
        <is>
          <t xml:space="preserve"> Frame Average Output Power (dBm)</t>
        </is>
      </c>
      <c r="AJ2" s="10"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3354" t="inlineStr">
        <is>
          <t>Date (yyyy-mm-dd hh:mm:ss)</t>
        </is>
      </c>
      <c r="BF2" s="3355" t="inlineStr">
        <is>
          <t xml:space="preserve">Test duration
(sec)</t>
        </is>
      </c>
      <c r="BG2" s="3363" t="inlineStr">
        <is>
          <t>Date of Setup</t>
        </is>
      </c>
      <c r="BH2" s="3355" t="inlineStr">
        <is>
          <t xml:space="preserve">Setup duration
(sec)</t>
        </is>
      </c>
      <c r="BI2" s="3357" t="inlineStr">
        <is>
          <t xml:space="preserve">Sample
(S/01-S/02,...)</t>
        </is>
      </c>
      <c r="BJ2" s="3364" t="inlineStr">
        <is>
          <t>Operation Mode</t>
        </is>
      </c>
      <c r="BK2" s="3364" t="inlineStr">
        <is>
          <t>Test Operator</t>
        </is>
      </c>
      <c r="BL2" s="3364" t="inlineStr">
        <is>
          <t>Uncertainty</t>
        </is>
      </c>
      <c r="BM2" s="3357" t="inlineStr">
        <is>
          <t>Room</t>
        </is>
      </c>
      <c r="BN2" s="127" t="inlineStr">
        <is>
          <t>Used Test Equipment</t>
        </is>
      </c>
      <c r="BO2" s="127" t="inlineStr">
        <is>
          <t>Comment</t>
        </is>
      </c>
      <c r="BP2" s="127" t="inlineStr">
        <is>
          <t>Bug tracking link</t>
        </is>
      </c>
      <c r="BQ2" s="127" t="inlineStr">
        <is>
          <t>Result filename</t>
        </is>
      </c>
      <c r="BR2" s="127" t="inlineStr">
        <is>
          <t>Env. Conditions</t>
        </is>
      </c>
      <c r="BT2" s="7537" t="inlineStr">
        <is>
          <t>Channels with maximum and minimum power values for calculation in SAR sheet</t>
        </is>
      </c>
      <c r="BU2" s="7537"/>
      <c r="BV2" s="7537"/>
      <c r="BW2" s="10" t="inlineStr">
        <is>
          <t>Low/ Mid/ High</t>
        </is>
      </c>
      <c r="BX2" s="10" t="inlineStr">
        <is>
          <t>Ch</t>
        </is>
      </c>
      <c r="BY2" s="10" t="inlineStr">
        <is>
          <t>Frq</t>
        </is>
      </c>
      <c r="BZ2" s="10" t="inlineStr">
        <is>
          <t>Value</t>
        </is>
      </c>
      <c r="CA2" s="1597"/>
      <c r="CB2" s="1597"/>
      <c r="CC2" s="1593"/>
      <c r="CD2" s="1593"/>
      <c r="CE2" s="1593"/>
      <c r="CF2" s="1593"/>
      <c r="CG2" s="1593"/>
      <c r="CH2" s="1593"/>
      <c r="CI2" s="1593"/>
      <c r="CJ2" s="1593"/>
      <c r="CK2" s="1593"/>
      <c r="CL2" s="1601">
        <f>10*LOG(8)</f>
        <v/>
      </c>
      <c r="CM2" s="1601">
        <f>10*LOG(8/2)</f>
        <v/>
      </c>
      <c r="CN2" s="1601">
        <f>10*LOG(8/3)</f>
        <v/>
      </c>
      <c r="CO2" s="1602">
        <f>10*LOG(8/4)</f>
        <v/>
      </c>
      <c r="CP2" s="1584"/>
      <c r="CQ2" s="1584"/>
      <c r="CR2" s="1584"/>
      <c r="CS2" s="1584"/>
      <c r="CT2" s="1584"/>
      <c r="CU2" s="1584"/>
      <c r="CV2" s="1584"/>
      <c r="CW2" s="1584"/>
      <c r="CX2" s="1584"/>
      <c r="CY2" s="1584"/>
      <c r="CZ2" s="1584"/>
      <c r="DA2" s="1584"/>
      <c r="DB2" s="1584"/>
      <c r="DC2" s="1584"/>
    </row>
    <row r="3" x14ac:dyDescent="0.2">
      <c r="A3" s="1584"/>
      <c r="B3" s="2821" t="inlineStr">
        <is>
          <t>FCC/ISED</t>
        </is>
      </c>
      <c r="C3" s="3393"/>
      <c r="D3" s="812">
        <f>IF(ISNUMBER(FIND("EN",B3)),IF(ISNUMBER(FIND("FCC",B3)),IF(ISNUMBER(FIND("ISED",B3)),CONCATENATE(Overview!$V$10,";",Overview!$S$11,";",Overview!$S$12),CONCATENATE(Overview!$V$10,";",Overview!$S$11)),IF(ISNUMBER(FIND("ISED",B3)),CONCATENATE(Overview!$V$10,";",Overview!$S$12),Overview!$V$10)),IF(ISNUMBER(FIND("FCC",B3)),IF(ISNUMBER(FIND("ISED",B3)),CONCATENATE(Overview!$S$11,";",Overview!$S$12),"IEEE Std 1528™"),Overview!$S$12))</f>
        <v/>
      </c>
      <c r="E3" s="812">
        <f>IF(ISNUMBER(FIND("EN",B3)),IF(ISNUMBER(FIND("FCC",B3)),IF(ISNUMBER(FIND("ISED",B3)),CONCATENATE(Overview!$AB$10,";",Overview!$Y$11,";",Overview!$Y$12),CONCATENATE(Overview!$AB$10,";",Overview!$Y$11)),IF(ISNUMBER(FIND("ISED",B3)),CONCATENATE(Overview!$AB$10,";",Overview!$Y$12),Overview!$AB$10)),IF(ISNUMBER(FIND("FCC",B3)),IF(ISNUMBER(FIND("ISED",B3)),CONCATENATE(Overview!$Y$11,";",Overview!$Y$12),"IEEE Std 1528™"),Overview!$Y$12))</f>
        <v/>
      </c>
      <c r="F3" s="3394" t="inlineStr">
        <is>
          <t>2.1</t>
        </is>
      </c>
      <c r="G3" s="2822">
        <f>Overview!$E$28</f>
        <v/>
      </c>
      <c r="H3" s="3395"/>
      <c r="I3" s="3396"/>
      <c r="J3" s="2821" t="inlineStr">
        <is>
          <t>GSM</t>
        </is>
      </c>
      <c r="K3" s="2822">
        <v>850</v>
      </c>
      <c r="L3" s="3396"/>
      <c r="M3" s="117"/>
      <c r="N3" s="117"/>
      <c r="O3" s="3397"/>
      <c r="P3" s="6061"/>
      <c r="Q3" s="3397"/>
      <c r="R3" s="3397"/>
      <c r="S3" s="117"/>
      <c r="T3" s="2823">
        <v>128</v>
      </c>
      <c r="U3" s="2823">
        <v>824.2</v>
      </c>
      <c r="V3" s="117"/>
      <c r="W3" s="3398"/>
      <c r="X3" s="2822">
        <v>1</v>
      </c>
      <c r="Y3" s="2824"/>
      <c r="Z3" s="2822">
        <v>5</v>
      </c>
      <c r="AA3" s="3396"/>
      <c r="AB3" s="3396"/>
      <c r="AC3" s="3396"/>
      <c r="AD3" s="3396"/>
      <c r="AE3" s="3396"/>
      <c r="AF3" s="3396"/>
      <c r="AG3" s="3399" t="inlineStr">
        <is>
          <t>N/A</t>
        </is>
      </c>
      <c r="AH3" s="2964"/>
      <c r="AI3" s="7154"/>
      <c r="AJ3" s="7168">
        <f>AI3+$CL$2</f>
        <v/>
      </c>
      <c r="AK3" s="7146"/>
      <c r="AL3" s="3396"/>
      <c r="AM3" s="117"/>
      <c r="AN3" s="117"/>
      <c r="AO3" s="117"/>
      <c r="AP3" s="117"/>
      <c r="AQ3" s="3400"/>
      <c r="AR3" s="117"/>
      <c r="AS3" s="117"/>
      <c r="AT3" s="3400"/>
      <c r="AU3" s="117"/>
      <c r="AV3" s="117"/>
      <c r="AW3" s="117"/>
      <c r="AX3" s="117"/>
      <c r="AY3" s="117"/>
      <c r="AZ3" s="117"/>
      <c r="BA3" s="117"/>
      <c r="BB3" s="117"/>
      <c r="BC3" s="117"/>
      <c r="BD3" s="117"/>
      <c r="BE3" s="2831">
        <f>MyTimestamp(AI3)</f>
        <v/>
      </c>
      <c r="BF3" s="2825">
        <v>60</v>
      </c>
      <c r="BG3" s="121">
        <f>BE3</f>
        <v/>
      </c>
      <c r="BH3" s="2825">
        <v>60</v>
      </c>
      <c r="BI3" s="2826" t="inlineStr">
        <is>
          <t>S/01</t>
        </is>
      </c>
      <c r="BJ3" s="117"/>
      <c r="BK3" s="120">
        <f>Overview!$E$7</f>
        <v/>
      </c>
      <c r="BL3" s="117"/>
      <c r="BM3" s="2826" t="inlineStr">
        <is>
          <t>ANT-SAR Conducted</t>
        </is>
      </c>
      <c r="BN3" s="812">
        <f>Overview!$P$153</f>
        <v/>
      </c>
      <c r="BO3" s="117"/>
      <c r="BP3" s="117"/>
      <c r="BQ3" s="115"/>
      <c r="BR3" s="1478" t="inlineStr">
        <is>
          <t>N/A</t>
        </is>
      </c>
      <c r="BS3" s="37"/>
      <c r="BT3" s="234">
        <f>IF(COUNT(AI3:AI5)=0,"",MAX(AI3:AI5))</f>
        <v/>
      </c>
      <c r="BU3" s="37"/>
      <c r="BV3" s="230" t="inlineStr">
        <is>
          <t>1º Max GSM:</t>
        </is>
      </c>
      <c r="BW3" s="228">
        <f>IF(COUNT(AI3:AI5)=0,"",IF(MAX(AI3:AI5)=AI3,"Low",IF(MAX(AI3:AI5)=AI4,"Mid","High")))</f>
        <v/>
      </c>
      <c r="BX3" s="228">
        <f>IF(BW3="",T4,IF(BW3="Low",T3,IF(BW3="Mid",T4,T5)))</f>
        <v>190</v>
      </c>
      <c r="BY3" s="228">
        <f>IF(BW3="",U4,IF(BW3="Low",U3,IF(BW3="Mid",U4,U5)))</f>
        <v>836.6</v>
      </c>
      <c r="BZ3" s="228">
        <f>IF(BW3="","",IF(BW3="Low",AI3,IF(BW3="Mid",AI4,AI5)))</f>
        <v/>
      </c>
      <c r="CA3" s="1593"/>
      <c r="CB3" s="1593"/>
      <c r="CC3" s="1593"/>
      <c r="CD3" s="1593"/>
      <c r="CE3" s="1593"/>
      <c r="CF3" s="1593"/>
      <c r="CG3" s="1593"/>
      <c r="CH3" s="1593"/>
      <c r="CI3" s="1593"/>
      <c r="CJ3" s="1593"/>
      <c r="CK3" s="1593"/>
      <c r="CL3" s="1593"/>
      <c r="CM3" s="1593"/>
      <c r="CN3" s="1593"/>
      <c r="CO3" s="1593"/>
      <c r="CP3" s="1584"/>
      <c r="CQ3" s="1584"/>
      <c r="CR3" s="1584"/>
      <c r="CS3" s="1584"/>
      <c r="CT3" s="1584"/>
      <c r="CU3" s="1584"/>
      <c r="CV3" s="1584"/>
      <c r="CW3" s="1584"/>
      <c r="CX3" s="1584"/>
      <c r="CY3" s="1584"/>
      <c r="CZ3" s="1584"/>
      <c r="DA3" s="1584"/>
      <c r="DB3" s="1584"/>
      <c r="DC3" s="1584"/>
    </row>
    <row r="4" x14ac:dyDescent="0.2">
      <c r="A4" s="1584"/>
      <c r="B4" s="2827" t="inlineStr">
        <is>
          <t>FCC/ISED</t>
        </is>
      </c>
      <c r="C4" s="3393"/>
      <c r="D4" s="812">
        <f>IF(ISNUMBER(FIND("EN",B4)),IF(ISNUMBER(FIND("FCC",B4)),IF(ISNUMBER(FIND("ISED",B4)),CONCATENATE(Overview!$V$10,";",Overview!$S$11,";",Overview!$S$12),CONCATENATE(Overview!$V$10,";",Overview!$S$11)),IF(ISNUMBER(FIND("ISED",B4)),CONCATENATE(Overview!$V$10,";",Overview!$S$12),Overview!$V$10)),IF(ISNUMBER(FIND("FCC",B4)),IF(ISNUMBER(FIND("ISED",B4)),CONCATENATE(Overview!$S$11,";",Overview!$S$12),"IEEE Std 1528™"),Overview!$S$12))</f>
        <v/>
      </c>
      <c r="E4" s="812">
        <f>IF(ISNUMBER(FIND("EN",B4)),IF(ISNUMBER(FIND("FCC",B4)),IF(ISNUMBER(FIND("ISED",B4)),CONCATENATE(Overview!$AB$10,";",Overview!$Y$11,";",Overview!$Y$12),CONCATENATE(Overview!$AB$10,";",Overview!$Y$11)),IF(ISNUMBER(FIND("ISED",B4)),CONCATENATE(Overview!$AB$10,";",Overview!$Y$12),Overview!$AB$10)),IF(ISNUMBER(FIND("FCC",B4)),IF(ISNUMBER(FIND("ISED",B4)),CONCATENATE(Overview!$Y$11,";",Overview!$Y$12),"IEEE Std 1528™"),Overview!$Y$12))</f>
        <v/>
      </c>
      <c r="F4" s="3394" t="inlineStr">
        <is>
          <t>2.1</t>
        </is>
      </c>
      <c r="G4" s="2828">
        <f>Overview!$E$28</f>
        <v/>
      </c>
      <c r="H4" s="3395"/>
      <c r="I4" s="3396"/>
      <c r="J4" s="2827" t="inlineStr">
        <is>
          <t>GSM</t>
        </is>
      </c>
      <c r="K4" s="2828">
        <v>850</v>
      </c>
      <c r="L4" s="3396"/>
      <c r="M4" s="117"/>
      <c r="N4" s="117"/>
      <c r="O4" s="3397"/>
      <c r="P4" s="6061"/>
      <c r="Q4" s="3397"/>
      <c r="R4" s="3397"/>
      <c r="S4" s="117"/>
      <c r="T4" s="2829">
        <v>190</v>
      </c>
      <c r="U4" s="2829">
        <v>836.6</v>
      </c>
      <c r="V4" s="117"/>
      <c r="W4" s="3398"/>
      <c r="X4" s="2828">
        <v>1</v>
      </c>
      <c r="Y4" s="2830"/>
      <c r="Z4" s="2828">
        <v>5</v>
      </c>
      <c r="AA4" s="3396"/>
      <c r="AB4" s="3396"/>
      <c r="AC4" s="3396"/>
      <c r="AD4" s="3396"/>
      <c r="AE4" s="3396"/>
      <c r="AF4" s="3396"/>
      <c r="AG4" s="3399" t="inlineStr">
        <is>
          <t>N/A</t>
        </is>
      </c>
      <c r="AH4" s="2970"/>
      <c r="AI4" s="7155"/>
      <c r="AJ4" s="7169">
        <f>AI4+$CL$2</f>
        <v/>
      </c>
      <c r="AK4" s="7146"/>
      <c r="AL4" s="3396"/>
      <c r="AM4" s="117"/>
      <c r="AN4" s="117"/>
      <c r="AO4" s="117"/>
      <c r="AP4" s="117"/>
      <c r="AQ4" s="3400"/>
      <c r="AR4" s="117"/>
      <c r="AS4" s="117"/>
      <c r="AT4" s="3400"/>
      <c r="AU4" s="117"/>
      <c r="AV4" s="117"/>
      <c r="AW4" s="117"/>
      <c r="AX4" s="117"/>
      <c r="AY4" s="117"/>
      <c r="AZ4" s="117"/>
      <c r="BA4" s="117"/>
      <c r="BB4" s="117"/>
      <c r="BC4" s="117"/>
      <c r="BD4" s="117"/>
      <c r="BE4" s="2831">
        <f>MyTimestamp(AI4)</f>
        <v/>
      </c>
      <c r="BF4" s="2832">
        <v>60</v>
      </c>
      <c r="BG4" s="121">
        <f>BE4</f>
        <v/>
      </c>
      <c r="BH4" s="2832">
        <v>60</v>
      </c>
      <c r="BI4" s="2833" t="inlineStr">
        <is>
          <t>S/01</t>
        </is>
      </c>
      <c r="BJ4" s="117"/>
      <c r="BK4" s="120">
        <f>Overview!$E$7</f>
        <v/>
      </c>
      <c r="BL4" s="117"/>
      <c r="BM4" s="2833" t="inlineStr">
        <is>
          <t>ANT-SAR Conducted</t>
        </is>
      </c>
      <c r="BN4" s="812">
        <f>Overview!$P$153</f>
        <v/>
      </c>
      <c r="BO4" s="117"/>
      <c r="BP4" s="117"/>
      <c r="BQ4" s="115"/>
      <c r="BR4" s="1478" t="inlineStr">
        <is>
          <t>N/A</t>
        </is>
      </c>
      <c r="BS4" s="37"/>
      <c r="BT4" s="234"/>
      <c r="BU4" s="37"/>
      <c r="BV4" s="231" t="inlineStr">
        <is>
          <t>2º Max GSM:</t>
        </is>
      </c>
      <c r="BW4" s="229">
        <f>IF(COUNT(AI3:AI5)&lt;2,"",IF(BW3="Low",IF(MAX(AI4:AI5)=AI4,"Mid","High"),IF(BW3="Mid",IF(MAX(AI3,AI5)=AI3,"Low","High"),IF(MAX(AI3:AI4)=AI3,"Low","Mid"))))</f>
        <v/>
      </c>
      <c r="BX4" s="229">
        <f>IF(BW4="",T3,IF(BW4="Low",T3,IF(BW4="Mid",T4,T5)))</f>
        <v>128</v>
      </c>
      <c r="BY4" s="229">
        <f>IF(BW4="",U3,IF(BW4="Low",U3,IF(BW4="Mid",U4,U5)))</f>
        <v>824.2</v>
      </c>
      <c r="BZ4" s="229">
        <f>IF(BW4="","",IF(BW4="Low",AI3,IF(BW4="Mid",AI4,AI5)))</f>
        <v/>
      </c>
      <c r="CA4" s="1598"/>
      <c r="CB4" s="1598"/>
      <c r="CC4" s="1598"/>
      <c r="CD4" s="1598"/>
      <c r="CE4" s="1593"/>
      <c r="CF4" s="1593"/>
      <c r="CG4" s="1593"/>
      <c r="CH4" s="1593"/>
      <c r="CI4" s="1593"/>
      <c r="CJ4" s="1593"/>
      <c r="CK4" s="1593"/>
      <c r="CL4" s="1593"/>
      <c r="CM4" s="1593"/>
      <c r="CN4" s="1593"/>
      <c r="CO4" s="1593"/>
      <c r="CP4" s="1584"/>
      <c r="CQ4" s="1584"/>
      <c r="CR4" s="1584"/>
      <c r="CS4" s="1584"/>
      <c r="CT4" s="1584"/>
      <c r="CU4" s="1584"/>
      <c r="CV4" s="1584"/>
      <c r="CW4" s="1584"/>
      <c r="CX4" s="1584"/>
      <c r="CY4" s="1584"/>
      <c r="CZ4" s="1584"/>
      <c r="DA4" s="1584"/>
      <c r="DB4" s="1584"/>
      <c r="DC4" s="1584"/>
    </row>
    <row r="5" customHeight="1" ht="12.6" x14ac:dyDescent="0.2">
      <c r="A5" s="1584"/>
      <c r="B5" s="2834" t="inlineStr">
        <is>
          <t>FCC/ISED</t>
        </is>
      </c>
      <c r="C5" s="3393"/>
      <c r="D5" s="812">
        <f>IF(ISNUMBER(FIND("EN",B5)),IF(ISNUMBER(FIND("FCC",B5)),IF(ISNUMBER(FIND("ISED",B5)),CONCATENATE(Overview!$V$10,";",Overview!$S$11,";",Overview!$S$12),CONCATENATE(Overview!$V$10,";",Overview!$S$11)),IF(ISNUMBER(FIND("ISED",B5)),CONCATENATE(Overview!$V$10,";",Overview!$S$12),Overview!$V$10)),IF(ISNUMBER(FIND("FCC",B5)),IF(ISNUMBER(FIND("ISED",B5)),CONCATENATE(Overview!$S$11,";",Overview!$S$12),"IEEE Std 1528™"),Overview!$S$12))</f>
        <v/>
      </c>
      <c r="E5" s="812">
        <f>IF(ISNUMBER(FIND("EN",B5)),IF(ISNUMBER(FIND("FCC",B5)),IF(ISNUMBER(FIND("ISED",B5)),CONCATENATE(Overview!$AB$10,";",Overview!$Y$11,";",Overview!$Y$12),CONCATENATE(Overview!$AB$10,";",Overview!$Y$11)),IF(ISNUMBER(FIND("ISED",B5)),CONCATENATE(Overview!$AB$10,";",Overview!$Y$12),Overview!$AB$10)),IF(ISNUMBER(FIND("FCC",B5)),IF(ISNUMBER(FIND("ISED",B5)),CONCATENATE(Overview!$Y$11,";",Overview!$Y$12),"IEEE Std 1528™"),Overview!$Y$12))</f>
        <v/>
      </c>
      <c r="F5" s="3394" t="inlineStr">
        <is>
          <t>2.1</t>
        </is>
      </c>
      <c r="G5" s="2835">
        <f>Overview!$E$28</f>
        <v/>
      </c>
      <c r="H5" s="3395"/>
      <c r="I5" s="3396"/>
      <c r="J5" s="2834" t="inlineStr">
        <is>
          <t>GSM</t>
        </is>
      </c>
      <c r="K5" s="2835">
        <v>850</v>
      </c>
      <c r="L5" s="3396"/>
      <c r="M5" s="117"/>
      <c r="N5" s="117"/>
      <c r="O5" s="3397"/>
      <c r="P5" s="6061"/>
      <c r="Q5" s="3397"/>
      <c r="R5" s="3397"/>
      <c r="S5" s="117"/>
      <c r="T5" s="2836">
        <v>251</v>
      </c>
      <c r="U5" s="2836">
        <v>848.8</v>
      </c>
      <c r="V5" s="117"/>
      <c r="W5" s="3398"/>
      <c r="X5" s="2835">
        <v>1</v>
      </c>
      <c r="Y5" s="2837"/>
      <c r="Z5" s="2835">
        <v>5</v>
      </c>
      <c r="AA5" s="3396"/>
      <c r="AB5" s="3396"/>
      <c r="AC5" s="3396"/>
      <c r="AD5" s="3396"/>
      <c r="AE5" s="3396"/>
      <c r="AF5" s="3396"/>
      <c r="AG5" s="3399" t="inlineStr">
        <is>
          <t>N/A</t>
        </is>
      </c>
      <c r="AH5" s="2976"/>
      <c r="AI5" s="7156"/>
      <c r="AJ5" s="7170">
        <f>AI5+$CL$2</f>
        <v/>
      </c>
      <c r="AK5" s="7146"/>
      <c r="AL5" s="6943"/>
      <c r="AM5" s="6611"/>
      <c r="AN5" s="6611"/>
      <c r="AO5" s="6611"/>
      <c r="AP5" s="6611"/>
      <c r="AQ5" s="6944"/>
      <c r="AR5" s="6611"/>
      <c r="AS5" s="6611"/>
      <c r="AT5" s="6944"/>
      <c r="AU5" s="6611"/>
      <c r="AV5" s="6611"/>
      <c r="AW5" s="6611"/>
      <c r="AX5" s="6611"/>
      <c r="AY5" s="6611"/>
      <c r="AZ5" s="6611"/>
      <c r="BA5" s="6611"/>
      <c r="BB5" s="6611"/>
      <c r="BC5" s="6611"/>
      <c r="BD5" s="6611"/>
      <c r="BE5" s="2838">
        <f>MyTimestamp(AI5)</f>
        <v/>
      </c>
      <c r="BF5" s="2839">
        <v>60</v>
      </c>
      <c r="BG5" s="121">
        <f>BE5</f>
        <v/>
      </c>
      <c r="BH5" s="2839">
        <v>60</v>
      </c>
      <c r="BI5" s="2840" t="inlineStr">
        <is>
          <t>S/01</t>
        </is>
      </c>
      <c r="BJ5" s="117"/>
      <c r="BK5" s="120">
        <f>Overview!$E$7</f>
        <v/>
      </c>
      <c r="BL5" s="117"/>
      <c r="BM5" s="2840" t="inlineStr">
        <is>
          <t>ANT-SAR Conducted</t>
        </is>
      </c>
      <c r="BN5" s="812">
        <f>Overview!$P$153</f>
        <v/>
      </c>
      <c r="BO5" s="117"/>
      <c r="BP5" s="117"/>
      <c r="BQ5" s="115"/>
      <c r="BR5" s="1478" t="inlineStr">
        <is>
          <t>N/A</t>
        </is>
      </c>
      <c r="BS5" s="37"/>
      <c r="BT5" s="235"/>
      <c r="BU5" s="37"/>
      <c r="BV5" s="232" t="inlineStr">
        <is>
          <t>3º Max GSM:</t>
        </is>
      </c>
      <c r="BW5" s="227">
        <f>IF(COUNT(AI3:AI5)&lt;3,"",IF(AND(OR(BW3="Low",BW3="Mid"),OR(BW4="Low",BW4="Mid")),"High",IF(AND(OR(BW3="Low",BW3="High"),OR(BW4="Low",BW4="High")),"Mid","Low")))</f>
        <v/>
      </c>
      <c r="BX5" s="227">
        <f>IF(BW5="",T5,IF(BW5="Low",T3,IF(BW5="Mid",T4,T5)))</f>
        <v>251</v>
      </c>
      <c r="BY5" s="227">
        <f>IF(BW5="",U5,IF(BW5="Low",U3,IF(BW5="Mid",U4,U5)))</f>
        <v>848.8</v>
      </c>
      <c r="BZ5" s="227">
        <f>IF(BW5="","",IF(BW5="Low",AI3,IF(BW5="Mid",AI4,AI5)))</f>
        <v/>
      </c>
      <c r="CA5" s="1598"/>
      <c r="CB5" s="1598"/>
      <c r="CC5" s="1598"/>
      <c r="CD5" s="1598"/>
      <c r="CE5" s="1593"/>
      <c r="CF5" s="1593"/>
      <c r="CG5" s="1593"/>
      <c r="CH5" s="1593"/>
      <c r="CI5" s="1593"/>
      <c r="CJ5" s="1593"/>
      <c r="CK5" s="1593"/>
      <c r="CL5" s="1593"/>
      <c r="CM5" s="1593"/>
      <c r="CN5" s="1593"/>
      <c r="CO5" s="1593"/>
      <c r="CP5" s="1584"/>
      <c r="CQ5" s="1584"/>
      <c r="CR5" s="1584"/>
      <c r="CS5" s="1584"/>
      <c r="CT5" s="1584"/>
      <c r="CU5" s="1584"/>
      <c r="CV5" s="1584"/>
      <c r="CW5" s="1584"/>
      <c r="CX5" s="1584"/>
      <c r="CY5" s="1584"/>
      <c r="CZ5" s="1584"/>
      <c r="DA5" s="1584"/>
      <c r="DB5" s="1584"/>
      <c r="DC5" s="1584"/>
    </row>
    <row r="6" x14ac:dyDescent="0.2">
      <c r="A6" s="1584"/>
      <c r="B6" s="2821" t="inlineStr">
        <is>
          <t>FCC/ISED</t>
        </is>
      </c>
      <c r="C6" s="3393"/>
      <c r="D6" s="812">
        <f>IF(ISNUMBER(FIND("EN",B6)),IF(ISNUMBER(FIND("FCC",B6)),IF(ISNUMBER(FIND("ISED",B6)),CONCATENATE(Overview!$V$10,";",Overview!$S$11,";",Overview!$S$12),CONCATENATE(Overview!$V$10,";",Overview!$S$11)),IF(ISNUMBER(FIND("ISED",B6)),CONCATENATE(Overview!$V$10,";",Overview!$S$12),Overview!$V$10)),IF(ISNUMBER(FIND("FCC",B6)),IF(ISNUMBER(FIND("ISED",B6)),CONCATENATE(Overview!$S$11,";",Overview!$S$12),"IEEE Std 1528™"),Overview!$S$12))</f>
        <v/>
      </c>
      <c r="E6" s="812">
        <f>IF(ISNUMBER(FIND("EN",B6)),IF(ISNUMBER(FIND("FCC",B6)),IF(ISNUMBER(FIND("ISED",B6)),CONCATENATE(Overview!$AB$10,";",Overview!$Y$11,";",Overview!$Y$12),CONCATENATE(Overview!$AB$10,";",Overview!$Y$11)),IF(ISNUMBER(FIND("ISED",B6)),CONCATENATE(Overview!$AB$10,";",Overview!$Y$12),Overview!$AB$10)),IF(ISNUMBER(FIND("FCC",B6)),IF(ISNUMBER(FIND("ISED",B6)),CONCATENATE(Overview!$Y$11,";",Overview!$Y$12),"IEEE Std 1528™"),Overview!$Y$12))</f>
        <v/>
      </c>
      <c r="F6" s="3394" t="inlineStr">
        <is>
          <t>2.1</t>
        </is>
      </c>
      <c r="G6" s="2822">
        <f>Overview!$E$29</f>
        <v/>
      </c>
      <c r="H6" s="3395"/>
      <c r="I6" s="3396"/>
      <c r="J6" s="2821" t="inlineStr">
        <is>
          <t>GSM</t>
        </is>
      </c>
      <c r="K6" s="2822">
        <v>850</v>
      </c>
      <c r="L6" s="3396"/>
      <c r="M6" s="117"/>
      <c r="N6" s="117"/>
      <c r="O6" s="3397"/>
      <c r="P6" s="6061"/>
      <c r="Q6" s="3397"/>
      <c r="R6" s="3397"/>
      <c r="S6" s="117"/>
      <c r="T6" s="2823">
        <v>128</v>
      </c>
      <c r="U6" s="2823">
        <v>824.2</v>
      </c>
      <c r="V6" s="117"/>
      <c r="W6" s="3398"/>
      <c r="X6" s="2822">
        <v>1</v>
      </c>
      <c r="Y6" s="2824"/>
      <c r="Z6" s="2822">
        <v>5</v>
      </c>
      <c r="AA6" s="3396"/>
      <c r="AB6" s="3396"/>
      <c r="AC6" s="3396"/>
      <c r="AD6" s="3396"/>
      <c r="AE6" s="3396"/>
      <c r="AF6" s="3396"/>
      <c r="AG6" s="3399" t="inlineStr">
        <is>
          <t>N/A</t>
        </is>
      </c>
      <c r="AH6" s="2964"/>
      <c r="AI6" s="7157"/>
      <c r="AJ6" s="7177">
        <f>AI6+$CL$2</f>
        <v/>
      </c>
      <c r="AK6" s="7167"/>
      <c r="AL6" s="6940"/>
      <c r="AM6" s="6663"/>
      <c r="AN6" s="6663"/>
      <c r="AO6" s="6663"/>
      <c r="AP6" s="6663"/>
      <c r="AQ6" s="6941"/>
      <c r="AR6" s="6663"/>
      <c r="AS6" s="6663"/>
      <c r="AT6" s="6941"/>
      <c r="AU6" s="6663"/>
      <c r="AV6" s="6663"/>
      <c r="AW6" s="6663"/>
      <c r="AX6" s="6663"/>
      <c r="AY6" s="6663"/>
      <c r="AZ6" s="6663"/>
      <c r="BA6" s="6663"/>
      <c r="BB6" s="6663"/>
      <c r="BC6" s="6663"/>
      <c r="BD6" s="6663"/>
      <c r="BE6" s="6942">
        <f>MyTimestamp(AI6)</f>
        <v/>
      </c>
      <c r="BF6" s="2825">
        <v>60</v>
      </c>
      <c r="BG6" s="121">
        <f>BE6</f>
        <v/>
      </c>
      <c r="BH6" s="2825">
        <v>60</v>
      </c>
      <c r="BI6" s="2845" t="inlineStr">
        <is>
          <t>S/01</t>
        </is>
      </c>
      <c r="BJ6" s="117"/>
      <c r="BK6" s="120">
        <f>Overview!$E$7</f>
        <v/>
      </c>
      <c r="BL6" s="117"/>
      <c r="BM6" s="2845" t="inlineStr">
        <is>
          <t>ANT-SAR Conducted</t>
        </is>
      </c>
      <c r="BN6" s="812">
        <f>Overview!$P$153</f>
        <v/>
      </c>
      <c r="BO6" s="117"/>
      <c r="BP6" s="117"/>
      <c r="BQ6" s="115"/>
      <c r="BR6" s="1478" t="inlineStr">
        <is>
          <t>N/A</t>
        </is>
      </c>
      <c r="BS6" s="37"/>
      <c r="BT6" s="234">
        <f>IF(COUNT(AI6:AI8)=0,"",MAX(AI6:AI8))</f>
        <v/>
      </c>
      <c r="BU6" s="37"/>
      <c r="BV6" s="230" t="inlineStr">
        <is>
          <t>1º Max GSM:</t>
        </is>
      </c>
      <c r="BW6" s="228">
        <f>IF(COUNT(AI6:AI8)=0,"",IF(MAX(AI6:AI8)=AI6,"Low",IF(MAX(AI6:AI8)=AI7,"Mid","High")))</f>
        <v/>
      </c>
      <c r="BX6" s="228">
        <f>IF(BW6="",T7,IF(BW6="Low",T6,IF(BW6="Mid",T7,T8)))</f>
        <v>190</v>
      </c>
      <c r="BY6" s="228">
        <f>IF(BW6="",U7,IF(BW6="Low",U6,IF(BW6="Mid",U7,U8)))</f>
        <v>836.6</v>
      </c>
      <c r="BZ6" s="228">
        <f>IF(BW6="","",IF(BW6="Low",AI6,IF(BW6="Mid",AI7,AI8)))</f>
        <v/>
      </c>
      <c r="CA6" s="1598"/>
      <c r="CB6" s="1598"/>
      <c r="CC6" s="1598"/>
      <c r="CD6" s="1598"/>
      <c r="CE6" s="1593"/>
      <c r="CF6" s="1593"/>
      <c r="CG6" s="1593"/>
      <c r="CH6" s="1593"/>
      <c r="CI6" s="1593"/>
      <c r="CJ6" s="1593"/>
      <c r="CK6" s="1593"/>
      <c r="CL6" s="1593"/>
      <c r="CM6" s="1593"/>
      <c r="CN6" s="1593"/>
      <c r="CO6" s="1593"/>
      <c r="CP6" s="1584"/>
      <c r="CQ6" s="1584"/>
      <c r="CR6" s="1584"/>
      <c r="CS6" s="1584"/>
      <c r="CT6" s="1584"/>
      <c r="CU6" s="1584"/>
      <c r="CV6" s="1584"/>
      <c r="CW6" s="1584"/>
      <c r="CX6" s="1584"/>
      <c r="CY6" s="1584"/>
      <c r="CZ6" s="1584"/>
      <c r="DA6" s="1584"/>
      <c r="DB6" s="1584"/>
      <c r="DC6" s="1584"/>
    </row>
    <row r="7" x14ac:dyDescent="0.2">
      <c r="A7" s="1584"/>
      <c r="B7" s="2827" t="inlineStr">
        <is>
          <t>FCC/ISED</t>
        </is>
      </c>
      <c r="C7" s="3393"/>
      <c r="D7" s="812">
        <f>IF(ISNUMBER(FIND("EN",B7)),IF(ISNUMBER(FIND("FCC",B7)),IF(ISNUMBER(FIND("ISED",B7)),CONCATENATE(Overview!$V$10,";",Overview!$S$11,";",Overview!$S$12),CONCATENATE(Overview!$V$10,";",Overview!$S$11)),IF(ISNUMBER(FIND("ISED",B7)),CONCATENATE(Overview!$V$10,";",Overview!$S$12),Overview!$V$10)),IF(ISNUMBER(FIND("FCC",B7)),IF(ISNUMBER(FIND("ISED",B7)),CONCATENATE(Overview!$S$11,";",Overview!$S$12),"IEEE Std 1528™"),Overview!$S$12))</f>
        <v/>
      </c>
      <c r="E7" s="812">
        <f>IF(ISNUMBER(FIND("EN",B7)),IF(ISNUMBER(FIND("FCC",B7)),IF(ISNUMBER(FIND("ISED",B7)),CONCATENATE(Overview!$AB$10,";",Overview!$Y$11,";",Overview!$Y$12),CONCATENATE(Overview!$AB$10,";",Overview!$Y$11)),IF(ISNUMBER(FIND("ISED",B7)),CONCATENATE(Overview!$AB$10,";",Overview!$Y$12),Overview!$AB$10)),IF(ISNUMBER(FIND("FCC",B7)),IF(ISNUMBER(FIND("ISED",B7)),CONCATENATE(Overview!$Y$11,";",Overview!$Y$12),"IEEE Std 1528™"),Overview!$Y$12))</f>
        <v/>
      </c>
      <c r="F7" s="3394" t="inlineStr">
        <is>
          <t>2.1</t>
        </is>
      </c>
      <c r="G7" s="2828">
        <f>Overview!$E$29</f>
        <v/>
      </c>
      <c r="H7" s="3395"/>
      <c r="I7" s="3396"/>
      <c r="J7" s="2827" t="inlineStr">
        <is>
          <t>GSM</t>
        </is>
      </c>
      <c r="K7" s="2828">
        <v>850</v>
      </c>
      <c r="L7" s="3396"/>
      <c r="M7" s="117"/>
      <c r="N7" s="117"/>
      <c r="O7" s="3397"/>
      <c r="P7" s="6061"/>
      <c r="Q7" s="3397"/>
      <c r="R7" s="3397"/>
      <c r="S7" s="117"/>
      <c r="T7" s="2829">
        <v>190</v>
      </c>
      <c r="U7" s="2829">
        <v>836.6</v>
      </c>
      <c r="V7" s="117"/>
      <c r="W7" s="3398"/>
      <c r="X7" s="2828">
        <v>1</v>
      </c>
      <c r="Y7" s="2830"/>
      <c r="Z7" s="2828">
        <v>5</v>
      </c>
      <c r="AA7" s="3396"/>
      <c r="AB7" s="3396"/>
      <c r="AC7" s="3396"/>
      <c r="AD7" s="3396"/>
      <c r="AE7" s="3396"/>
      <c r="AF7" s="3396"/>
      <c r="AG7" s="3399" t="inlineStr">
        <is>
          <t>N/A</t>
        </is>
      </c>
      <c r="AH7" s="2970"/>
      <c r="AI7" s="7155"/>
      <c r="AJ7" s="7169">
        <f>AI7+$CL$2</f>
        <v/>
      </c>
      <c r="AK7" s="7146"/>
      <c r="AL7" s="3396"/>
      <c r="AM7" s="117"/>
      <c r="AN7" s="117"/>
      <c r="AO7" s="117"/>
      <c r="AP7" s="117"/>
      <c r="AQ7" s="3400"/>
      <c r="AR7" s="117"/>
      <c r="AS7" s="117"/>
      <c r="AT7" s="3400"/>
      <c r="AU7" s="117"/>
      <c r="AV7" s="117"/>
      <c r="AW7" s="117"/>
      <c r="AX7" s="117"/>
      <c r="AY7" s="117"/>
      <c r="AZ7" s="117"/>
      <c r="BA7" s="117"/>
      <c r="BB7" s="117"/>
      <c r="BC7" s="117"/>
      <c r="BD7" s="117"/>
      <c r="BE7" s="2831">
        <f>MyTimestamp(AI7)</f>
        <v/>
      </c>
      <c r="BF7" s="2832">
        <v>60</v>
      </c>
      <c r="BG7" s="121">
        <f>BE7</f>
        <v/>
      </c>
      <c r="BH7" s="2832">
        <v>60</v>
      </c>
      <c r="BI7" s="2833" t="inlineStr">
        <is>
          <t>S/01</t>
        </is>
      </c>
      <c r="BJ7" s="117"/>
      <c r="BK7" s="120">
        <f>Overview!$E$7</f>
        <v/>
      </c>
      <c r="BL7" s="117"/>
      <c r="BM7" s="2833" t="inlineStr">
        <is>
          <t>ANT-SAR Conducted</t>
        </is>
      </c>
      <c r="BN7" s="812">
        <f>Overview!$P$153</f>
        <v/>
      </c>
      <c r="BO7" s="117"/>
      <c r="BP7" s="117"/>
      <c r="BQ7" s="115"/>
      <c r="BR7" s="1478" t="inlineStr">
        <is>
          <t>N/A</t>
        </is>
      </c>
      <c r="BS7" s="37"/>
      <c r="BT7" s="234"/>
      <c r="BU7" s="37"/>
      <c r="BV7" s="231" t="inlineStr">
        <is>
          <t>2º Max GSM:</t>
        </is>
      </c>
      <c r="BW7" s="229">
        <f>IF(COUNT(AI6:AI8)&lt;2,"",IF(BW6="Low",IF(MAX(AI7:AI8)=AI7,"Mid","High"),IF(BW6="Mid",IF(MAX(AI6,AI8)=AI6,"Low","High"),IF(MAX(AI6:AI7)=AI6,"Low","Mid"))))</f>
        <v/>
      </c>
      <c r="BX7" s="229">
        <f>IF(BW7="",T6,IF(BW7="Low",T6,IF(BW7="Mid",T7,T8)))</f>
        <v>128</v>
      </c>
      <c r="BY7" s="229">
        <f>IF(BW7="",U6,IF(BW7="Low",U6,IF(BW7="Mid",U7,U8)))</f>
        <v>824.2</v>
      </c>
      <c r="BZ7" s="229">
        <f>IF(BW7="","",IF(BW7="Low",AI6,IF(BW7="Mid",AI7,AI8)))</f>
        <v/>
      </c>
      <c r="CA7" s="1598"/>
      <c r="CB7" s="1598"/>
      <c r="CC7" s="1598"/>
      <c r="CD7" s="1598"/>
      <c r="CE7" s="1593"/>
      <c r="CF7" s="1593"/>
      <c r="CG7" s="1593"/>
      <c r="CH7" s="1593"/>
      <c r="CI7" s="1593"/>
      <c r="CJ7" s="1593"/>
      <c r="CK7" s="1593"/>
      <c r="CL7" s="1593"/>
      <c r="CM7" s="1593"/>
      <c r="CN7" s="1593"/>
      <c r="CO7" s="1593"/>
      <c r="CP7" s="1584"/>
      <c r="CQ7" s="1584"/>
      <c r="CR7" s="1584"/>
      <c r="CS7" s="1584"/>
      <c r="CT7" s="1584"/>
      <c r="CU7" s="1584"/>
      <c r="CV7" s="1584"/>
      <c r="CW7" s="1584"/>
      <c r="CX7" s="1584"/>
      <c r="CY7" s="1584"/>
      <c r="CZ7" s="1584"/>
      <c r="DA7" s="1584"/>
      <c r="DB7" s="1584"/>
      <c r="DC7" s="1584"/>
    </row>
    <row r="8" x14ac:dyDescent="0.2">
      <c r="A8" s="1584"/>
      <c r="B8" s="2834" t="inlineStr">
        <is>
          <t>FCC/ISED</t>
        </is>
      </c>
      <c r="C8" s="3393"/>
      <c r="D8" s="812">
        <f>IF(ISNUMBER(FIND("EN",B8)),IF(ISNUMBER(FIND("FCC",B8)),IF(ISNUMBER(FIND("ISED",B8)),CONCATENATE(Overview!$V$10,";",Overview!$S$11,";",Overview!$S$12),CONCATENATE(Overview!$V$10,";",Overview!$S$11)),IF(ISNUMBER(FIND("ISED",B8)),CONCATENATE(Overview!$V$10,";",Overview!$S$12),Overview!$V$10)),IF(ISNUMBER(FIND("FCC",B8)),IF(ISNUMBER(FIND("ISED",B8)),CONCATENATE(Overview!$S$11,";",Overview!$S$12),"IEEE Std 1528™"),Overview!$S$12))</f>
        <v/>
      </c>
      <c r="E8" s="812">
        <f>IF(ISNUMBER(FIND("EN",B8)),IF(ISNUMBER(FIND("FCC",B8)),IF(ISNUMBER(FIND("ISED",B8)),CONCATENATE(Overview!$AB$10,";",Overview!$Y$11,";",Overview!$Y$12),CONCATENATE(Overview!$AB$10,";",Overview!$Y$11)),IF(ISNUMBER(FIND("ISED",B8)),CONCATENATE(Overview!$AB$10,";",Overview!$Y$12),Overview!$AB$10)),IF(ISNUMBER(FIND("FCC",B8)),IF(ISNUMBER(FIND("ISED",B8)),CONCATENATE(Overview!$Y$11,";",Overview!$Y$12),"IEEE Std 1528™"),Overview!$Y$12))</f>
        <v/>
      </c>
      <c r="F8" s="3394" t="inlineStr">
        <is>
          <t>2.1</t>
        </is>
      </c>
      <c r="G8" s="2835">
        <f>Overview!$E$29</f>
        <v/>
      </c>
      <c r="H8" s="3395"/>
      <c r="I8" s="3396"/>
      <c r="J8" s="2834" t="inlineStr">
        <is>
          <t>GSM</t>
        </is>
      </c>
      <c r="K8" s="2835">
        <v>850</v>
      </c>
      <c r="L8" s="3396"/>
      <c r="M8" s="117"/>
      <c r="N8" s="117"/>
      <c r="O8" s="3397"/>
      <c r="P8" s="6061"/>
      <c r="Q8" s="3397"/>
      <c r="R8" s="3397"/>
      <c r="S8" s="117"/>
      <c r="T8" s="2836">
        <v>251</v>
      </c>
      <c r="U8" s="2836">
        <v>848.8</v>
      </c>
      <c r="V8" s="117"/>
      <c r="W8" s="3398"/>
      <c r="X8" s="2835">
        <v>1</v>
      </c>
      <c r="Y8" s="2837"/>
      <c r="Z8" s="2835">
        <v>5</v>
      </c>
      <c r="AA8" s="3396"/>
      <c r="AB8" s="3396"/>
      <c r="AC8" s="3396"/>
      <c r="AD8" s="3396"/>
      <c r="AE8" s="3396"/>
      <c r="AF8" s="3396"/>
      <c r="AG8" s="3399" t="inlineStr">
        <is>
          <t>N/A</t>
        </is>
      </c>
      <c r="AH8" s="2976"/>
      <c r="AI8" s="7156"/>
      <c r="AJ8" s="7170">
        <f>AI8+$CL$2</f>
        <v/>
      </c>
      <c r="AK8" s="7146"/>
      <c r="AL8" s="6943"/>
      <c r="AM8" s="6611"/>
      <c r="AN8" s="6611"/>
      <c r="AO8" s="6611"/>
      <c r="AP8" s="6611"/>
      <c r="AQ8" s="6944"/>
      <c r="AR8" s="6611"/>
      <c r="AS8" s="6611"/>
      <c r="AT8" s="6944"/>
      <c r="AU8" s="6611"/>
      <c r="AV8" s="6611"/>
      <c r="AW8" s="6611"/>
      <c r="AX8" s="6611"/>
      <c r="AY8" s="6611"/>
      <c r="AZ8" s="6611"/>
      <c r="BA8" s="6611"/>
      <c r="BB8" s="6611"/>
      <c r="BC8" s="6611"/>
      <c r="BD8" s="6611"/>
      <c r="BE8" s="2838">
        <f>MyTimestamp(AI8)</f>
        <v/>
      </c>
      <c r="BF8" s="2839">
        <v>60</v>
      </c>
      <c r="BG8" s="121">
        <f>BE8</f>
        <v/>
      </c>
      <c r="BH8" s="2839">
        <v>60</v>
      </c>
      <c r="BI8" s="2840" t="inlineStr">
        <is>
          <t>S/01</t>
        </is>
      </c>
      <c r="BJ8" s="117"/>
      <c r="BK8" s="120">
        <f>Overview!$E$7</f>
        <v/>
      </c>
      <c r="BL8" s="117"/>
      <c r="BM8" s="2840" t="inlineStr">
        <is>
          <t>ANT-SAR Conducted</t>
        </is>
      </c>
      <c r="BN8" s="812">
        <f>Overview!$P$153</f>
        <v/>
      </c>
      <c r="BO8" s="117"/>
      <c r="BP8" s="117"/>
      <c r="BQ8" s="115"/>
      <c r="BR8" s="1478" t="inlineStr">
        <is>
          <t>N/A</t>
        </is>
      </c>
      <c r="BS8" s="37"/>
      <c r="BT8" s="235"/>
      <c r="BU8" s="37"/>
      <c r="BV8" s="232" t="inlineStr">
        <is>
          <t>3º Max GSM:</t>
        </is>
      </c>
      <c r="BW8" s="227">
        <f>IF(COUNT(AI6:AI8)&lt;3,"",IF(AND(OR(BW6="Low",BW6="Mid"),OR(BW7="Low",BW7="Mid")),"High",IF(AND(OR(BW6="Low",BW6="High"),OR(BW7="Low",BW7="High")),"Mid","Low")))</f>
        <v/>
      </c>
      <c r="BX8" s="227">
        <f>IF(BW8="",T8,IF(BW8="Low",T6,IF(BW8="Mid",T7,T8)))</f>
        <v>251</v>
      </c>
      <c r="BY8" s="227">
        <f>IF(BW8="",U8,IF(BW8="Low",U6,IF(BW8="Mid",U7,U8)))</f>
        <v>848.8</v>
      </c>
      <c r="BZ8" s="227">
        <f>IF(BW8="","",IF(BW8="Low",AI6,IF(BW8="Mid",AI7,AI8)))</f>
        <v/>
      </c>
      <c r="CA8" s="1598"/>
      <c r="CB8" s="1598"/>
      <c r="CC8" s="1598"/>
      <c r="CD8" s="1598"/>
      <c r="CE8" s="1593"/>
      <c r="CF8" s="1593"/>
      <c r="CG8" s="1593"/>
      <c r="CH8" s="1593"/>
      <c r="CI8" s="1593"/>
      <c r="CJ8" s="1593"/>
      <c r="CK8" s="1593"/>
      <c r="CL8" s="1593"/>
      <c r="CM8" s="1593"/>
      <c r="CN8" s="1593"/>
      <c r="CO8" s="1593"/>
      <c r="CP8" s="1584"/>
      <c r="CQ8" s="1584"/>
      <c r="CR8" s="1584"/>
      <c r="CS8" s="1584"/>
      <c r="CT8" s="1584"/>
      <c r="CU8" s="1584"/>
      <c r="CV8" s="1584"/>
      <c r="CW8" s="1584"/>
      <c r="CX8" s="1584"/>
      <c r="CY8" s="1584"/>
      <c r="CZ8" s="1584"/>
      <c r="DA8" s="1584"/>
      <c r="DB8" s="1584"/>
      <c r="DC8" s="1584"/>
    </row>
    <row r="9" x14ac:dyDescent="0.2">
      <c r="A9" s="1584"/>
      <c r="B9" s="2821" t="inlineStr">
        <is>
          <t>FCC/ISED</t>
        </is>
      </c>
      <c r="C9" s="3393"/>
      <c r="D9" s="812">
        <f>IF(ISNUMBER(FIND("EN",B9)),IF(ISNUMBER(FIND("FCC",B9)),IF(ISNUMBER(FIND("ISED",B9)),CONCATENATE(Overview!$V$10,";",Overview!$S$11,";",Overview!$S$12),CONCATENATE(Overview!$V$10,";",Overview!$S$11)),IF(ISNUMBER(FIND("ISED",B9)),CONCATENATE(Overview!$V$10,";",Overview!$S$12),Overview!$V$10)),IF(ISNUMBER(FIND("FCC",B9)),IF(ISNUMBER(FIND("ISED",B9)),CONCATENATE(Overview!$S$11,";",Overview!$S$12),"IEEE Std 1528™"),Overview!$S$12))</f>
        <v/>
      </c>
      <c r="E9" s="812">
        <f>IF(ISNUMBER(FIND("EN",B9)),IF(ISNUMBER(FIND("FCC",B9)),IF(ISNUMBER(FIND("ISED",B9)),CONCATENATE(Overview!$AB$10,";",Overview!$Y$11,";",Overview!$Y$12),CONCATENATE(Overview!$AB$10,";",Overview!$Y$11)),IF(ISNUMBER(FIND("ISED",B9)),CONCATENATE(Overview!$AB$10,";",Overview!$Y$12),Overview!$AB$10)),IF(ISNUMBER(FIND("FCC",B9)),IF(ISNUMBER(FIND("ISED",B9)),CONCATENATE(Overview!$Y$11,";",Overview!$Y$12),"IEEE Std 1528™"),Overview!$Y$12))</f>
        <v/>
      </c>
      <c r="F9" s="3394" t="inlineStr">
        <is>
          <t>2.1</t>
        </is>
      </c>
      <c r="G9" s="2822">
        <f>Overview!$E$30</f>
        <v/>
      </c>
      <c r="H9" s="3395"/>
      <c r="I9" s="3396"/>
      <c r="J9" s="2821" t="inlineStr">
        <is>
          <t>GSM</t>
        </is>
      </c>
      <c r="K9" s="2822">
        <v>850</v>
      </c>
      <c r="L9" s="3396"/>
      <c r="M9" s="117"/>
      <c r="N9" s="117"/>
      <c r="O9" s="3397"/>
      <c r="P9" s="6061"/>
      <c r="Q9" s="3397"/>
      <c r="R9" s="3397"/>
      <c r="S9" s="117"/>
      <c r="T9" s="2823">
        <v>128</v>
      </c>
      <c r="U9" s="2823">
        <v>824.2</v>
      </c>
      <c r="V9" s="117"/>
      <c r="W9" s="3398"/>
      <c r="X9" s="2822">
        <v>1</v>
      </c>
      <c r="Y9" s="2824"/>
      <c r="Z9" s="2822">
        <v>5</v>
      </c>
      <c r="AA9" s="3396"/>
      <c r="AB9" s="3396"/>
      <c r="AC9" s="3396"/>
      <c r="AD9" s="3396"/>
      <c r="AE9" s="3396"/>
      <c r="AF9" s="3396"/>
      <c r="AG9" s="3399" t="inlineStr">
        <is>
          <t>N/A</t>
        </is>
      </c>
      <c r="AH9" s="2964"/>
      <c r="AI9" s="7157"/>
      <c r="AJ9" s="7177">
        <f>AI9+$CL$2</f>
        <v/>
      </c>
      <c r="AK9" s="7167"/>
      <c r="AL9" s="6940"/>
      <c r="AM9" s="6663"/>
      <c r="AN9" s="6663"/>
      <c r="AO9" s="6663"/>
      <c r="AP9" s="6663"/>
      <c r="AQ9" s="6941"/>
      <c r="AR9" s="6663"/>
      <c r="AS9" s="6663"/>
      <c r="AT9" s="6941"/>
      <c r="AU9" s="6663"/>
      <c r="AV9" s="6663"/>
      <c r="AW9" s="6663"/>
      <c r="AX9" s="6663"/>
      <c r="AY9" s="6663"/>
      <c r="AZ9" s="6663"/>
      <c r="BA9" s="6663"/>
      <c r="BB9" s="6663"/>
      <c r="BC9" s="6663"/>
      <c r="BD9" s="6663"/>
      <c r="BE9" s="6942">
        <f>MyTimestamp(AI9)</f>
        <v/>
      </c>
      <c r="BF9" s="2825">
        <v>60</v>
      </c>
      <c r="BG9" s="121">
        <f>BE9</f>
        <v/>
      </c>
      <c r="BH9" s="2825">
        <v>60</v>
      </c>
      <c r="BI9" s="2845" t="inlineStr">
        <is>
          <t>S/01</t>
        </is>
      </c>
      <c r="BJ9" s="117"/>
      <c r="BK9" s="120">
        <f>Overview!$E$7</f>
        <v/>
      </c>
      <c r="BL9" s="117"/>
      <c r="BM9" s="2845" t="inlineStr">
        <is>
          <t>ANT-SAR Conducted</t>
        </is>
      </c>
      <c r="BN9" s="812">
        <f>Overview!$P$153</f>
        <v/>
      </c>
      <c r="BO9" s="117"/>
      <c r="BP9" s="117"/>
      <c r="BQ9" s="115"/>
      <c r="BR9" s="1478" t="inlineStr">
        <is>
          <t>N/A</t>
        </is>
      </c>
      <c r="BS9" s="37"/>
      <c r="BT9" s="234">
        <f>IF(COUNT(AI9:AI11)=0,"",MAX(AI9:AI11))</f>
        <v/>
      </c>
      <c r="BU9" s="37"/>
      <c r="BV9" s="230" t="inlineStr">
        <is>
          <t>1º Max GSM:</t>
        </is>
      </c>
      <c r="BW9" s="228">
        <f>IF(COUNT(AI9:AI11)=0,"",IF(MAX(AI9:AI11)=AI9,"Low",IF(MAX(AI9:AI11)=AI10,"Mid","High")))</f>
        <v/>
      </c>
      <c r="BX9" s="228">
        <f>IF(BW9="",T10,IF(BW9="Low",T9,IF(BW9="Mid",T10,T11)))</f>
        <v>190</v>
      </c>
      <c r="BY9" s="228">
        <f>IF(BW9="",U10,IF(BW9="Low",U9,IF(BW9="Mid",U10,U11)))</f>
        <v>836.6</v>
      </c>
      <c r="BZ9" s="228">
        <f>IF(BW9="","",IF(BW9="Low",AI9,IF(BW9="Mid",AI10,AI11)))</f>
        <v/>
      </c>
      <c r="CA9" s="1593"/>
      <c r="CB9" s="1593"/>
      <c r="CC9" s="1593"/>
      <c r="CD9" s="1593"/>
      <c r="CE9" s="1593"/>
      <c r="CF9" s="1593"/>
      <c r="CG9" s="1593"/>
      <c r="CH9" s="1593"/>
      <c r="CI9" s="1593"/>
      <c r="CJ9" s="1593"/>
      <c r="CK9" s="1593"/>
      <c r="CL9" s="1593"/>
      <c r="CM9" s="1593"/>
      <c r="CN9" s="1593"/>
      <c r="CO9" s="1593"/>
      <c r="CP9" s="1584"/>
      <c r="CQ9" s="1584"/>
      <c r="CR9" s="1584"/>
      <c r="CS9" s="1584"/>
      <c r="CT9" s="1584"/>
      <c r="CU9" s="1584"/>
      <c r="CV9" s="1584"/>
      <c r="CW9" s="1584"/>
      <c r="CX9" s="1584"/>
      <c r="CY9" s="1584"/>
      <c r="CZ9" s="1584"/>
      <c r="DA9" s="1584"/>
      <c r="DB9" s="1584"/>
      <c r="DC9" s="1584"/>
    </row>
    <row r="10" x14ac:dyDescent="0.2">
      <c r="A10" s="1584"/>
      <c r="B10" s="2827" t="inlineStr">
        <is>
          <t>FCC/ISED</t>
        </is>
      </c>
      <c r="C10" s="3393"/>
      <c r="D10" s="812">
        <f>IF(ISNUMBER(FIND("EN",B10)),IF(ISNUMBER(FIND("FCC",B10)),IF(ISNUMBER(FIND("ISED",B10)),CONCATENATE(Overview!$V$10,";",Overview!$S$11,";",Overview!$S$12),CONCATENATE(Overview!$V$10,";",Overview!$S$11)),IF(ISNUMBER(FIND("ISED",B10)),CONCATENATE(Overview!$V$10,";",Overview!$S$12),Overview!$V$10)),IF(ISNUMBER(FIND("FCC",B10)),IF(ISNUMBER(FIND("ISED",B10)),CONCATENATE(Overview!$S$11,";",Overview!$S$12),"IEEE Std 1528™"),Overview!$S$12))</f>
        <v/>
      </c>
      <c r="E10" s="812">
        <f>IF(ISNUMBER(FIND("EN",B10)),IF(ISNUMBER(FIND("FCC",B10)),IF(ISNUMBER(FIND("ISED",B10)),CONCATENATE(Overview!$AB$10,";",Overview!$Y$11,";",Overview!$Y$12),CONCATENATE(Overview!$AB$10,";",Overview!$Y$11)),IF(ISNUMBER(FIND("ISED",B10)),CONCATENATE(Overview!$AB$10,";",Overview!$Y$12),Overview!$AB$10)),IF(ISNUMBER(FIND("FCC",B10)),IF(ISNUMBER(FIND("ISED",B10)),CONCATENATE(Overview!$Y$11,";",Overview!$Y$12),"IEEE Std 1528™"),Overview!$Y$12))</f>
        <v/>
      </c>
      <c r="F10" s="3394" t="inlineStr">
        <is>
          <t>2.1</t>
        </is>
      </c>
      <c r="G10" s="2828">
        <f>Overview!$E$30</f>
        <v/>
      </c>
      <c r="H10" s="3395"/>
      <c r="I10" s="3396"/>
      <c r="J10" s="2827" t="inlineStr">
        <is>
          <t>GSM</t>
        </is>
      </c>
      <c r="K10" s="2828">
        <v>850</v>
      </c>
      <c r="L10" s="3396"/>
      <c r="M10" s="117"/>
      <c r="N10" s="117"/>
      <c r="O10" s="3397"/>
      <c r="P10" s="6061"/>
      <c r="Q10" s="3397"/>
      <c r="R10" s="3397"/>
      <c r="S10" s="117"/>
      <c r="T10" s="2829">
        <v>190</v>
      </c>
      <c r="U10" s="2829">
        <v>836.6</v>
      </c>
      <c r="V10" s="117"/>
      <c r="W10" s="3398"/>
      <c r="X10" s="2828">
        <v>1</v>
      </c>
      <c r="Y10" s="2830"/>
      <c r="Z10" s="2828">
        <v>5</v>
      </c>
      <c r="AA10" s="3396"/>
      <c r="AB10" s="3396"/>
      <c r="AC10" s="3396"/>
      <c r="AD10" s="3396"/>
      <c r="AE10" s="3396"/>
      <c r="AF10" s="3396"/>
      <c r="AG10" s="3399" t="inlineStr">
        <is>
          <t>N/A</t>
        </is>
      </c>
      <c r="AH10" s="2970"/>
      <c r="AI10" s="7155"/>
      <c r="AJ10" s="7169">
        <f>AI10+$CL$2</f>
        <v/>
      </c>
      <c r="AK10" s="7146"/>
      <c r="AL10" s="3396"/>
      <c r="AM10" s="117"/>
      <c r="AN10" s="117"/>
      <c r="AO10" s="117"/>
      <c r="AP10" s="117"/>
      <c r="AQ10" s="3400"/>
      <c r="AR10" s="117"/>
      <c r="AS10" s="117"/>
      <c r="AT10" s="3400"/>
      <c r="AU10" s="117"/>
      <c r="AV10" s="117"/>
      <c r="AW10" s="117"/>
      <c r="AX10" s="117"/>
      <c r="AY10" s="117"/>
      <c r="AZ10" s="117"/>
      <c r="BA10" s="117"/>
      <c r="BB10" s="117"/>
      <c r="BC10" s="117"/>
      <c r="BD10" s="117"/>
      <c r="BE10" s="2831">
        <f>MyTimestamp(AI10)</f>
        <v/>
      </c>
      <c r="BF10" s="2832">
        <v>60</v>
      </c>
      <c r="BG10" s="121">
        <f>BE10</f>
        <v/>
      </c>
      <c r="BH10" s="2832">
        <v>60</v>
      </c>
      <c r="BI10" s="2833" t="inlineStr">
        <is>
          <t>S/01</t>
        </is>
      </c>
      <c r="BJ10" s="117"/>
      <c r="BK10" s="120">
        <f>Overview!$E$7</f>
        <v/>
      </c>
      <c r="BL10" s="117"/>
      <c r="BM10" s="2833" t="inlineStr">
        <is>
          <t>ANT-SAR Conducted</t>
        </is>
      </c>
      <c r="BN10" s="812">
        <f>Overview!$P$153</f>
        <v/>
      </c>
      <c r="BO10" s="117"/>
      <c r="BP10" s="117"/>
      <c r="BQ10" s="115"/>
      <c r="BR10" s="1478" t="inlineStr">
        <is>
          <t>N/A</t>
        </is>
      </c>
      <c r="BS10" s="37"/>
      <c r="BT10" s="234"/>
      <c r="BU10" s="37"/>
      <c r="BV10" s="231" t="inlineStr">
        <is>
          <t>2º Max GSM:</t>
        </is>
      </c>
      <c r="BW10" s="229">
        <f>IF(COUNT(AI9:AI11)&lt;2,"",IF(BW9="Low",IF(MAX(AI10:AI11)=AI10,"Mid","High"),IF(BW9="Mid",IF(MAX(AI9,AI11)=AI9,"Low","High"),IF(MAX(AI9:AI10)=AI9,"Low","Mid"))))</f>
        <v/>
      </c>
      <c r="BX10" s="229">
        <f>IF(BW10="",T9,IF(BW10="Low",T9,IF(BW10="Mid",T10,T11)))</f>
        <v>128</v>
      </c>
      <c r="BY10" s="229">
        <f>IF(BW10="",U9,IF(BW10="Low",U9,IF(BW10="Mid",U10,U11)))</f>
        <v>824.2</v>
      </c>
      <c r="BZ10" s="229">
        <f>IF(BW10="","",IF(BW10="Low",AI9,IF(BW10="Mid",AI10,AI11)))</f>
        <v/>
      </c>
      <c r="CA10" s="1593"/>
      <c r="CB10" s="1593"/>
      <c r="CC10" s="1593"/>
      <c r="CD10" s="1593"/>
      <c r="CE10" s="1593"/>
      <c r="CF10" s="1593"/>
      <c r="CG10" s="1593"/>
      <c r="CH10" s="1593"/>
      <c r="CI10" s="1593"/>
      <c r="CJ10" s="1593"/>
      <c r="CK10" s="1593"/>
      <c r="CL10" s="1593"/>
      <c r="CM10" s="1593"/>
      <c r="CN10" s="1593"/>
      <c r="CO10" s="1593"/>
      <c r="CP10" s="1584"/>
      <c r="CQ10" s="1584"/>
      <c r="CR10" s="1584"/>
      <c r="CS10" s="1584"/>
      <c r="CT10" s="1584"/>
      <c r="CU10" s="1584"/>
      <c r="CV10" s="1584"/>
      <c r="CW10" s="1584"/>
      <c r="CX10" s="1584"/>
      <c r="CY10" s="1584"/>
      <c r="CZ10" s="1584"/>
      <c r="DA10" s="1584"/>
      <c r="DB10" s="1584"/>
      <c r="DC10" s="1584"/>
    </row>
    <row r="11" x14ac:dyDescent="0.2">
      <c r="A11" s="1584"/>
      <c r="B11" s="2834" t="inlineStr">
        <is>
          <t>FCC/ISED</t>
        </is>
      </c>
      <c r="C11" s="3393"/>
      <c r="D11" s="812">
        <f>IF(ISNUMBER(FIND("EN",B11)),IF(ISNUMBER(FIND("FCC",B11)),IF(ISNUMBER(FIND("ISED",B11)),CONCATENATE(Overview!$V$10,";",Overview!$S$11,";",Overview!$S$12),CONCATENATE(Overview!$V$10,";",Overview!$S$11)),IF(ISNUMBER(FIND("ISED",B11)),CONCATENATE(Overview!$V$10,";",Overview!$S$12),Overview!$V$10)),IF(ISNUMBER(FIND("FCC",B11)),IF(ISNUMBER(FIND("ISED",B11)),CONCATENATE(Overview!$S$11,";",Overview!$S$12),"IEEE Std 1528™"),Overview!$S$12))</f>
        <v/>
      </c>
      <c r="E11" s="812">
        <f>IF(ISNUMBER(FIND("EN",B11)),IF(ISNUMBER(FIND("FCC",B11)),IF(ISNUMBER(FIND("ISED",B11)),CONCATENATE(Overview!$AB$10,";",Overview!$Y$11,";",Overview!$Y$12),CONCATENATE(Overview!$AB$10,";",Overview!$Y$11)),IF(ISNUMBER(FIND("ISED",B11)),CONCATENATE(Overview!$AB$10,";",Overview!$Y$12),Overview!$AB$10)),IF(ISNUMBER(FIND("FCC",B11)),IF(ISNUMBER(FIND("ISED",B11)),CONCATENATE(Overview!$Y$11,";",Overview!$Y$12),"IEEE Std 1528™"),Overview!$Y$12))</f>
        <v/>
      </c>
      <c r="F11" s="3394" t="inlineStr">
        <is>
          <t>2.1</t>
        </is>
      </c>
      <c r="G11" s="2835">
        <f>Overview!$E$30</f>
        <v/>
      </c>
      <c r="H11" s="3395"/>
      <c r="I11" s="3396"/>
      <c r="J11" s="2834" t="inlineStr">
        <is>
          <t>GSM</t>
        </is>
      </c>
      <c r="K11" s="2835">
        <v>850</v>
      </c>
      <c r="L11" s="3396"/>
      <c r="M11" s="117"/>
      <c r="N11" s="117"/>
      <c r="O11" s="3397"/>
      <c r="P11" s="6061"/>
      <c r="Q11" s="3397"/>
      <c r="R11" s="3397"/>
      <c r="S11" s="117"/>
      <c r="T11" s="2836">
        <v>251</v>
      </c>
      <c r="U11" s="2836">
        <v>848.8</v>
      </c>
      <c r="V11" s="117"/>
      <c r="W11" s="3398"/>
      <c r="X11" s="2835">
        <v>1</v>
      </c>
      <c r="Y11" s="2837"/>
      <c r="Z11" s="2835">
        <v>5</v>
      </c>
      <c r="AA11" s="3396"/>
      <c r="AB11" s="3396"/>
      <c r="AC11" s="3396"/>
      <c r="AD11" s="3396"/>
      <c r="AE11" s="3396"/>
      <c r="AF11" s="3396"/>
      <c r="AG11" s="3399" t="inlineStr">
        <is>
          <t>N/A</t>
        </is>
      </c>
      <c r="AH11" s="2976"/>
      <c r="AI11" s="7156"/>
      <c r="AJ11" s="7170">
        <f>AI11+$CL$2</f>
        <v/>
      </c>
      <c r="AK11" s="7146"/>
      <c r="AL11" s="6943"/>
      <c r="AM11" s="6611"/>
      <c r="AN11" s="6611"/>
      <c r="AO11" s="6611"/>
      <c r="AP11" s="6611"/>
      <c r="AQ11" s="6944"/>
      <c r="AR11" s="6611"/>
      <c r="AS11" s="6611"/>
      <c r="AT11" s="6944"/>
      <c r="AU11" s="6611"/>
      <c r="AV11" s="6611"/>
      <c r="AW11" s="6611"/>
      <c r="AX11" s="6611"/>
      <c r="AY11" s="6611"/>
      <c r="AZ11" s="6611"/>
      <c r="BA11" s="6611"/>
      <c r="BB11" s="6611"/>
      <c r="BC11" s="6611"/>
      <c r="BD11" s="6611"/>
      <c r="BE11" s="2838">
        <f>MyTimestamp(AI11)</f>
        <v/>
      </c>
      <c r="BF11" s="2839">
        <v>60</v>
      </c>
      <c r="BG11" s="121">
        <f>BE11</f>
        <v/>
      </c>
      <c r="BH11" s="2839">
        <v>60</v>
      </c>
      <c r="BI11" s="2840" t="inlineStr">
        <is>
          <t>S/01</t>
        </is>
      </c>
      <c r="BJ11" s="117"/>
      <c r="BK11" s="120">
        <f>Overview!$E$7</f>
        <v/>
      </c>
      <c r="BL11" s="117"/>
      <c r="BM11" s="2840" t="inlineStr">
        <is>
          <t>ANT-SAR Conducted</t>
        </is>
      </c>
      <c r="BN11" s="812">
        <f>Overview!$P$153</f>
        <v/>
      </c>
      <c r="BO11" s="117"/>
      <c r="BP11" s="117"/>
      <c r="BQ11" s="115"/>
      <c r="BR11" s="1478" t="inlineStr">
        <is>
          <t>N/A</t>
        </is>
      </c>
      <c r="BS11" s="37"/>
      <c r="BT11" s="235"/>
      <c r="BU11" s="37"/>
      <c r="BV11" s="232" t="inlineStr">
        <is>
          <t>3º Max GSM:</t>
        </is>
      </c>
      <c r="BW11" s="227">
        <f>IF(COUNT(AI9:AI11)&lt;3,"",IF(AND(OR(BW9="Low",BW9="Mid"),OR(BW10="Low",BW10="Mid")),"High",IF(AND(OR(BW9="Low",BW9="High"),OR(BW10="Low",BW10="High")),"Mid","Low")))</f>
        <v/>
      </c>
      <c r="BX11" s="227">
        <f>IF(BW11="",T11,IF(BW11="Low",T9,IF(BW11="Mid",T10,T11)))</f>
        <v>251</v>
      </c>
      <c r="BY11" s="227">
        <f>IF(BW11="",U11,IF(BW11="Low",U9,IF(BW11="Mid",U10,U11)))</f>
        <v>848.8</v>
      </c>
      <c r="BZ11" s="227">
        <f>IF(BW11="","",IF(BW11="Low",AI9,IF(BW11="Mid",AI10,AI11)))</f>
        <v/>
      </c>
      <c r="CA11" s="1593"/>
      <c r="CB11" s="1593"/>
      <c r="CC11" s="1593"/>
      <c r="CD11" s="1593"/>
      <c r="CE11" s="1593"/>
      <c r="CF11" s="1593"/>
      <c r="CG11" s="1593"/>
      <c r="CH11" s="1593"/>
      <c r="CI11" s="1593"/>
      <c r="CJ11" s="1593"/>
      <c r="CK11" s="1593"/>
      <c r="CL11" s="1593"/>
      <c r="CM11" s="1593"/>
      <c r="CN11" s="1593"/>
      <c r="CO11" s="1593"/>
      <c r="CP11" s="1584"/>
      <c r="CQ11" s="1584"/>
      <c r="CR11" s="1584"/>
      <c r="CS11" s="1584"/>
      <c r="CT11" s="1584"/>
      <c r="CU11" s="1584"/>
      <c r="CV11" s="1584"/>
      <c r="CW11" s="1584"/>
      <c r="CX11" s="1584"/>
      <c r="CY11" s="1584"/>
      <c r="CZ11" s="1584"/>
      <c r="DA11" s="1584"/>
      <c r="DB11" s="1584"/>
      <c r="DC11" s="1584"/>
    </row>
    <row r="12" x14ac:dyDescent="0.2">
      <c r="A12" s="1584"/>
      <c r="B12" s="2821" t="inlineStr">
        <is>
          <t>FCC/ISED</t>
        </is>
      </c>
      <c r="C12" s="3393"/>
      <c r="D12" s="812">
        <f>IF(ISNUMBER(FIND("EN",B12)),IF(ISNUMBER(FIND("FCC",B12)),IF(ISNUMBER(FIND("ISED",B12)),CONCATENATE(Overview!$V$10,";",Overview!$S$11,";",Overview!$S$12),CONCATENATE(Overview!$V$10,";",Overview!$S$11)),IF(ISNUMBER(FIND("ISED",B12)),CONCATENATE(Overview!$V$10,";",Overview!$S$12),Overview!$V$10)),IF(ISNUMBER(FIND("FCC",B12)),IF(ISNUMBER(FIND("ISED",B12)),CONCATENATE(Overview!$S$11,";",Overview!$S$12),"IEEE Std 1528™"),Overview!$S$12))</f>
        <v/>
      </c>
      <c r="E12" s="812">
        <f>IF(ISNUMBER(FIND("EN",B12)),IF(ISNUMBER(FIND("FCC",B12)),IF(ISNUMBER(FIND("ISED",B12)),CONCATENATE(Overview!$AB$10,";",Overview!$Y$11,";",Overview!$Y$12),CONCATENATE(Overview!$AB$10,";",Overview!$Y$11)),IF(ISNUMBER(FIND("ISED",B12)),CONCATENATE(Overview!$AB$10,";",Overview!$Y$12),Overview!$AB$10)),IF(ISNUMBER(FIND("FCC",B12)),IF(ISNUMBER(FIND("ISED",B12)),CONCATENATE(Overview!$Y$11,";",Overview!$Y$12),"IEEE Std 1528™"),Overview!$Y$12))</f>
        <v/>
      </c>
      <c r="F12" s="3394" t="inlineStr">
        <is>
          <t>2.1</t>
        </is>
      </c>
      <c r="G12" s="2822">
        <f>Overview!$E$31</f>
        <v/>
      </c>
      <c r="H12" s="3395"/>
      <c r="I12" s="3396"/>
      <c r="J12" s="2821" t="inlineStr">
        <is>
          <t>GSM</t>
        </is>
      </c>
      <c r="K12" s="2822">
        <v>850</v>
      </c>
      <c r="L12" s="3396"/>
      <c r="M12" s="117"/>
      <c r="N12" s="117"/>
      <c r="O12" s="3397"/>
      <c r="P12" s="6061"/>
      <c r="Q12" s="3397"/>
      <c r="R12" s="3397"/>
      <c r="S12" s="117"/>
      <c r="T12" s="2823">
        <v>128</v>
      </c>
      <c r="U12" s="2823">
        <v>824.2</v>
      </c>
      <c r="V12" s="117"/>
      <c r="W12" s="3398"/>
      <c r="X12" s="2822">
        <v>1</v>
      </c>
      <c r="Y12" s="2824"/>
      <c r="Z12" s="2822">
        <v>5</v>
      </c>
      <c r="AA12" s="3396"/>
      <c r="AB12" s="3396"/>
      <c r="AC12" s="3396"/>
      <c r="AD12" s="3396"/>
      <c r="AE12" s="3396"/>
      <c r="AF12" s="3396"/>
      <c r="AG12" s="3399" t="inlineStr">
        <is>
          <t>N/A</t>
        </is>
      </c>
      <c r="AH12" s="2964"/>
      <c r="AI12" s="7159"/>
      <c r="AJ12" s="7168">
        <f>AI12+$CL$2</f>
        <v/>
      </c>
      <c r="AK12" s="7146"/>
      <c r="AL12" s="3396"/>
      <c r="AM12" s="117"/>
      <c r="AN12" s="117"/>
      <c r="AO12" s="117"/>
      <c r="AP12" s="117"/>
      <c r="AQ12" s="3400"/>
      <c r="AR12" s="117"/>
      <c r="AS12" s="117"/>
      <c r="AT12" s="3400"/>
      <c r="AU12" s="117"/>
      <c r="AV12" s="117"/>
      <c r="AW12" s="117"/>
      <c r="AX12" s="117"/>
      <c r="AY12" s="117"/>
      <c r="AZ12" s="117"/>
      <c r="BA12" s="117"/>
      <c r="BB12" s="117"/>
      <c r="BC12" s="117"/>
      <c r="BD12" s="117"/>
      <c r="BE12" s="7145">
        <f>MyTimestamp(AI12)</f>
        <v/>
      </c>
      <c r="BF12" s="2825">
        <v>60</v>
      </c>
      <c r="BG12" s="121">
        <f>BE12</f>
        <v/>
      </c>
      <c r="BH12" s="2825">
        <v>60</v>
      </c>
      <c r="BI12" s="2845" t="inlineStr">
        <is>
          <t>S/01</t>
        </is>
      </c>
      <c r="BJ12" s="117"/>
      <c r="BK12" s="120">
        <f>Overview!$E$7</f>
        <v/>
      </c>
      <c r="BL12" s="117"/>
      <c r="BM12" s="2845" t="inlineStr">
        <is>
          <t>ANT-SAR Conducted</t>
        </is>
      </c>
      <c r="BN12" s="812">
        <f>Overview!$P$153</f>
        <v/>
      </c>
      <c r="BO12" s="117"/>
      <c r="BP12" s="117"/>
      <c r="BQ12" s="115"/>
      <c r="BR12" s="1478" t="inlineStr">
        <is>
          <t>N/A</t>
        </is>
      </c>
      <c r="BS12" s="37"/>
      <c r="BT12" s="234">
        <f>IF(COUNT(AI12:AI14)=0,"",MAX(AI12:AI14))</f>
        <v/>
      </c>
      <c r="BU12" s="37"/>
      <c r="BV12" s="230" t="inlineStr">
        <is>
          <t>1º Max GSM:</t>
        </is>
      </c>
      <c r="BW12" s="228">
        <f>IF(COUNT(AI12:AI14)=0,"",IF(MAX(AI12:AI14)=AI12,"Low",IF(MAX(AI12:AI14)=AI13,"Mid","High")))</f>
        <v/>
      </c>
      <c r="BX12" s="228">
        <f>IF(BW12="",T13,IF(BW12="Low",T12,IF(BW12="Mid",T13,T14)))</f>
        <v>190</v>
      </c>
      <c r="BY12" s="228">
        <f>IF(BW12="",U13,IF(BW12="Low",U12,IF(BW12="Mid",U13,U14)))</f>
        <v>836.6</v>
      </c>
      <c r="BZ12" s="228">
        <f>IF(BW12="","",IF(BW12="Low",AI12,IF(BW12="Mid",AI13,AI14)))</f>
        <v/>
      </c>
      <c r="CA12" s="1593"/>
      <c r="CB12" s="1593"/>
      <c r="CC12" s="1593"/>
      <c r="CD12" s="1593"/>
      <c r="CE12" s="1593"/>
      <c r="CF12" s="1593"/>
      <c r="CG12" s="1593"/>
      <c r="CH12" s="1593"/>
      <c r="CI12" s="1593"/>
      <c r="CJ12" s="1593"/>
      <c r="CK12" s="1593"/>
      <c r="CL12" s="1593"/>
      <c r="CM12" s="1593"/>
      <c r="CN12" s="1593"/>
      <c r="CO12" s="1593"/>
      <c r="CP12" s="1584"/>
      <c r="CQ12" s="1584"/>
      <c r="CR12" s="1584"/>
      <c r="CS12" s="1584"/>
      <c r="CT12" s="1584"/>
      <c r="CU12" s="1584"/>
      <c r="CV12" s="1584"/>
      <c r="CW12" s="1584"/>
      <c r="CX12" s="1584"/>
      <c r="CY12" s="1584"/>
      <c r="CZ12" s="1584"/>
      <c r="DA12" s="1584"/>
      <c r="DB12" s="1584"/>
      <c r="DC12" s="1584"/>
    </row>
    <row r="13" x14ac:dyDescent="0.2">
      <c r="A13" s="1584"/>
      <c r="B13" s="2827" t="inlineStr">
        <is>
          <t>FCC/ISED</t>
        </is>
      </c>
      <c r="C13" s="3393"/>
      <c r="D13" s="812">
        <f>IF(ISNUMBER(FIND("EN",B13)),IF(ISNUMBER(FIND("FCC",B13)),IF(ISNUMBER(FIND("ISED",B13)),CONCATENATE(Overview!$V$10,";",Overview!$S$11,";",Overview!$S$12),CONCATENATE(Overview!$V$10,";",Overview!$S$11)),IF(ISNUMBER(FIND("ISED",B13)),CONCATENATE(Overview!$V$10,";",Overview!$S$12),Overview!$V$10)),IF(ISNUMBER(FIND("FCC",B13)),IF(ISNUMBER(FIND("ISED",B13)),CONCATENATE(Overview!$S$11,";",Overview!$S$12),"IEEE Std 1528™"),Overview!$S$12))</f>
        <v/>
      </c>
      <c r="E13" s="812">
        <f>IF(ISNUMBER(FIND("EN",B13)),IF(ISNUMBER(FIND("FCC",B13)),IF(ISNUMBER(FIND("ISED",B13)),CONCATENATE(Overview!$AB$10,";",Overview!$Y$11,";",Overview!$Y$12),CONCATENATE(Overview!$AB$10,";",Overview!$Y$11)),IF(ISNUMBER(FIND("ISED",B13)),CONCATENATE(Overview!$AB$10,";",Overview!$Y$12),Overview!$AB$10)),IF(ISNUMBER(FIND("FCC",B13)),IF(ISNUMBER(FIND("ISED",B13)),CONCATENATE(Overview!$Y$11,";",Overview!$Y$12),"IEEE Std 1528™"),Overview!$Y$12))</f>
        <v/>
      </c>
      <c r="F13" s="3394" t="inlineStr">
        <is>
          <t>2.1</t>
        </is>
      </c>
      <c r="G13" s="2828">
        <f>Overview!$E$31</f>
        <v/>
      </c>
      <c r="H13" s="3395"/>
      <c r="I13" s="3396"/>
      <c r="J13" s="2827" t="inlineStr">
        <is>
          <t>GSM</t>
        </is>
      </c>
      <c r="K13" s="2828">
        <v>850</v>
      </c>
      <c r="L13" s="3396"/>
      <c r="M13" s="117"/>
      <c r="N13" s="117"/>
      <c r="O13" s="3397"/>
      <c r="P13" s="6061"/>
      <c r="Q13" s="3397"/>
      <c r="R13" s="3397"/>
      <c r="S13" s="117"/>
      <c r="T13" s="2829">
        <v>190</v>
      </c>
      <c r="U13" s="2829">
        <v>836.6</v>
      </c>
      <c r="V13" s="117"/>
      <c r="W13" s="3398"/>
      <c r="X13" s="2828">
        <v>1</v>
      </c>
      <c r="Y13" s="2830"/>
      <c r="Z13" s="2828">
        <v>5</v>
      </c>
      <c r="AA13" s="3396"/>
      <c r="AB13" s="3396"/>
      <c r="AC13" s="3396"/>
      <c r="AD13" s="3396"/>
      <c r="AE13" s="3396"/>
      <c r="AF13" s="3396"/>
      <c r="AG13" s="3399" t="inlineStr">
        <is>
          <t>N/A</t>
        </is>
      </c>
      <c r="AH13" s="2970"/>
      <c r="AI13" s="7155"/>
      <c r="AJ13" s="7169">
        <f>AI13+$CL$2</f>
        <v/>
      </c>
      <c r="AK13" s="7146"/>
      <c r="AL13" s="3396"/>
      <c r="AM13" s="117"/>
      <c r="AN13" s="117"/>
      <c r="AO13" s="117"/>
      <c r="AP13" s="117"/>
      <c r="AQ13" s="3400"/>
      <c r="AR13" s="117"/>
      <c r="AS13" s="117"/>
      <c r="AT13" s="3400"/>
      <c r="AU13" s="117"/>
      <c r="AV13" s="117"/>
      <c r="AW13" s="117"/>
      <c r="AX13" s="117"/>
      <c r="AY13" s="117"/>
      <c r="AZ13" s="117"/>
      <c r="BA13" s="117"/>
      <c r="BB13" s="117"/>
      <c r="BC13" s="117"/>
      <c r="BD13" s="117"/>
      <c r="BE13" s="2831">
        <f>MyTimestamp(AI13)</f>
        <v/>
      </c>
      <c r="BF13" s="2832">
        <v>60</v>
      </c>
      <c r="BG13" s="121">
        <f>BE13</f>
        <v/>
      </c>
      <c r="BH13" s="2832">
        <v>60</v>
      </c>
      <c r="BI13" s="2833" t="inlineStr">
        <is>
          <t>S/01</t>
        </is>
      </c>
      <c r="BJ13" s="117"/>
      <c r="BK13" s="120">
        <f>Overview!$E$7</f>
        <v/>
      </c>
      <c r="BL13" s="117"/>
      <c r="BM13" s="2833" t="inlineStr">
        <is>
          <t>ANT-SAR Conducted</t>
        </is>
      </c>
      <c r="BN13" s="812">
        <f>Overview!$P$153</f>
        <v/>
      </c>
      <c r="BO13" s="117"/>
      <c r="BP13" s="117"/>
      <c r="BQ13" s="115"/>
      <c r="BR13" s="1478" t="inlineStr">
        <is>
          <t>N/A</t>
        </is>
      </c>
      <c r="BS13" s="37"/>
      <c r="BT13" s="234"/>
      <c r="BU13" s="37"/>
      <c r="BV13" s="231" t="inlineStr">
        <is>
          <t>2º Max GSM:</t>
        </is>
      </c>
      <c r="BW13" s="229">
        <f>IF(COUNT(AI12:AI14)&lt;2,"",IF(BW12="Low",IF(MAX(AI13:AI14)=AI13,"Mid","High"),IF(BW12="Mid",IF(MAX(AI12,AI14)=AI12,"Low","High"),IF(MAX(AI12:AI13)=AI12,"Low","Mid"))))</f>
        <v/>
      </c>
      <c r="BX13" s="229">
        <f>IF(BW13="",T12,IF(BW13="Low",T12,IF(BW13="Mid",T13,T14)))</f>
        <v>128</v>
      </c>
      <c r="BY13" s="229">
        <f>IF(BW13="",U12,IF(BW13="Low",U12,IF(BW13="Mid",U13,U14)))</f>
        <v>824.2</v>
      </c>
      <c r="BZ13" s="229">
        <f>IF(BW13="","",IF(BW13="Low",AI12,IF(BW13="Mid",AI13,AI14)))</f>
        <v/>
      </c>
      <c r="CA13" s="1593"/>
      <c r="CB13" s="1593"/>
      <c r="CC13" s="1593"/>
      <c r="CD13" s="1593"/>
      <c r="CE13" s="1593"/>
      <c r="CF13" s="1593"/>
      <c r="CG13" s="1593"/>
      <c r="CH13" s="1593"/>
      <c r="CI13" s="1593"/>
      <c r="CJ13" s="1593"/>
      <c r="CK13" s="1593"/>
      <c r="CL13" s="1593"/>
      <c r="CM13" s="1593"/>
      <c r="CN13" s="1593"/>
      <c r="CO13" s="1593"/>
      <c r="CP13" s="1584"/>
      <c r="CQ13" s="1584"/>
      <c r="CR13" s="1584"/>
      <c r="CS13" s="1584"/>
      <c r="CT13" s="1584"/>
      <c r="CU13" s="1584"/>
      <c r="CV13" s="1584"/>
      <c r="CW13" s="1584"/>
      <c r="CX13" s="1584"/>
      <c r="CY13" s="1584"/>
      <c r="CZ13" s="1584"/>
      <c r="DA13" s="1584"/>
      <c r="DB13" s="1584"/>
      <c r="DC13" s="1584"/>
    </row>
    <row r="14" x14ac:dyDescent="0.2">
      <c r="A14" s="1584"/>
      <c r="B14" s="2834" t="inlineStr">
        <is>
          <t>FCC/ISED</t>
        </is>
      </c>
      <c r="C14" s="3393"/>
      <c r="D14" s="812">
        <f>IF(ISNUMBER(FIND("EN",B14)),IF(ISNUMBER(FIND("FCC",B14)),IF(ISNUMBER(FIND("ISED",B14)),CONCATENATE(Overview!$V$10,";",Overview!$S$11,";",Overview!$S$12),CONCATENATE(Overview!$V$10,";",Overview!$S$11)),IF(ISNUMBER(FIND("ISED",B14)),CONCATENATE(Overview!$V$10,";",Overview!$S$12),Overview!$V$10)),IF(ISNUMBER(FIND("FCC",B14)),IF(ISNUMBER(FIND("ISED",B14)),CONCATENATE(Overview!$S$11,";",Overview!$S$12),"IEEE Std 1528™"),Overview!$S$12))</f>
        <v/>
      </c>
      <c r="E14" s="812">
        <f>IF(ISNUMBER(FIND("EN",B14)),IF(ISNUMBER(FIND("FCC",B14)),IF(ISNUMBER(FIND("ISED",B14)),CONCATENATE(Overview!$AB$10,";",Overview!$Y$11,";",Overview!$Y$12),CONCATENATE(Overview!$AB$10,";",Overview!$Y$11)),IF(ISNUMBER(FIND("ISED",B14)),CONCATENATE(Overview!$AB$10,";",Overview!$Y$12),Overview!$AB$10)),IF(ISNUMBER(FIND("FCC",B14)),IF(ISNUMBER(FIND("ISED",B14)),CONCATENATE(Overview!$Y$11,";",Overview!$Y$12),"IEEE Std 1528™"),Overview!$Y$12))</f>
        <v/>
      </c>
      <c r="F14" s="3394" t="inlineStr">
        <is>
          <t>2.1</t>
        </is>
      </c>
      <c r="G14" s="2835">
        <f>Overview!$E$31</f>
        <v/>
      </c>
      <c r="H14" s="3395"/>
      <c r="I14" s="3396"/>
      <c r="J14" s="2834" t="inlineStr">
        <is>
          <t>GSM</t>
        </is>
      </c>
      <c r="K14" s="2835">
        <v>850</v>
      </c>
      <c r="L14" s="3396"/>
      <c r="M14" s="117"/>
      <c r="N14" s="117"/>
      <c r="O14" s="3397"/>
      <c r="P14" s="6061"/>
      <c r="Q14" s="3397"/>
      <c r="R14" s="3397"/>
      <c r="S14" s="117"/>
      <c r="T14" s="2836">
        <v>251</v>
      </c>
      <c r="U14" s="2836">
        <v>848.8</v>
      </c>
      <c r="V14" s="117"/>
      <c r="W14" s="3398"/>
      <c r="X14" s="2835">
        <v>1</v>
      </c>
      <c r="Y14" s="2837"/>
      <c r="Z14" s="2835">
        <v>5</v>
      </c>
      <c r="AA14" s="3396"/>
      <c r="AB14" s="3396"/>
      <c r="AC14" s="3396"/>
      <c r="AD14" s="3396"/>
      <c r="AE14" s="3396"/>
      <c r="AF14" s="3396"/>
      <c r="AG14" s="3399" t="inlineStr">
        <is>
          <t>N/A</t>
        </is>
      </c>
      <c r="AH14" s="2976"/>
      <c r="AI14" s="7160"/>
      <c r="AJ14" s="7170">
        <f>AI14+$CL$2</f>
        <v/>
      </c>
      <c r="AK14" s="7146"/>
      <c r="AL14" s="3396"/>
      <c r="AM14" s="117"/>
      <c r="AN14" s="117"/>
      <c r="AO14" s="117"/>
      <c r="AP14" s="117"/>
      <c r="AQ14" s="3400"/>
      <c r="AR14" s="117"/>
      <c r="AS14" s="117"/>
      <c r="AT14" s="3400"/>
      <c r="AU14" s="117"/>
      <c r="AV14" s="117"/>
      <c r="AW14" s="117"/>
      <c r="AX14" s="117"/>
      <c r="AY14" s="117"/>
      <c r="AZ14" s="117"/>
      <c r="BA14" s="117"/>
      <c r="BB14" s="117"/>
      <c r="BC14" s="117"/>
      <c r="BD14" s="117"/>
      <c r="BE14" s="7143">
        <f>MyTimestamp(AI14)</f>
        <v/>
      </c>
      <c r="BF14" s="2839">
        <v>60</v>
      </c>
      <c r="BG14" s="121">
        <f>BE14</f>
        <v/>
      </c>
      <c r="BH14" s="2839">
        <v>60</v>
      </c>
      <c r="BI14" s="2840" t="inlineStr">
        <is>
          <t>S/01</t>
        </is>
      </c>
      <c r="BJ14" s="117"/>
      <c r="BK14" s="120">
        <f>Overview!$E$7</f>
        <v/>
      </c>
      <c r="BL14" s="117"/>
      <c r="BM14" s="2840" t="inlineStr">
        <is>
          <t>ANT-SAR Conducted</t>
        </is>
      </c>
      <c r="BN14" s="812">
        <f>Overview!$P$153</f>
        <v/>
      </c>
      <c r="BO14" s="117"/>
      <c r="BP14" s="117"/>
      <c r="BQ14" s="115"/>
      <c r="BR14" s="1478" t="inlineStr">
        <is>
          <t>N/A</t>
        </is>
      </c>
      <c r="BS14" s="37"/>
      <c r="BT14" s="235"/>
      <c r="BU14" s="37"/>
      <c r="BV14" s="232" t="inlineStr">
        <is>
          <t>3º Max GSM:</t>
        </is>
      </c>
      <c r="BW14" s="227">
        <f>IF(COUNT(AI12:AI14)&lt;3,"",IF(AND(OR(BW12="Low",BW12="Mid"),OR(BW13="Low",BW13="Mid")),"High",IF(AND(OR(BW12="Low",BW12="High"),OR(BW13="Low",BW13="High")),"Mid","Low")))</f>
        <v/>
      </c>
      <c r="BX14" s="227">
        <f>IF(BW14="",T14,IF(BW14="Low",T12,IF(BW14="Mid",T13,T14)))</f>
        <v>251</v>
      </c>
      <c r="BY14" s="227">
        <f>IF(BW14="",U14,IF(BW14="Low",U12,IF(BW14="Mid",U13,U14)))</f>
        <v>848.8</v>
      </c>
      <c r="BZ14" s="227">
        <f>IF(BW14="","",IF(BW14="Low",AI12,IF(BW14="Mid",AI13,AI14)))</f>
        <v/>
      </c>
      <c r="CA14" s="1593"/>
      <c r="CB14" s="1593"/>
      <c r="CC14" s="1593"/>
      <c r="CD14" s="1593"/>
      <c r="CE14" s="1593"/>
      <c r="CF14" s="1593"/>
      <c r="CG14" s="1593"/>
      <c r="CH14" s="1593"/>
      <c r="CI14" s="1593"/>
      <c r="CJ14" s="1593"/>
      <c r="CK14" s="1593"/>
      <c r="CL14" s="1593"/>
      <c r="CM14" s="1593"/>
      <c r="CN14" s="1593"/>
      <c r="CO14" s="1593"/>
      <c r="CP14" s="1584"/>
      <c r="CQ14" s="1584"/>
      <c r="CR14" s="1584"/>
      <c r="CS14" s="1584"/>
      <c r="CT14" s="1584"/>
      <c r="CU14" s="1584"/>
      <c r="CV14" s="1584"/>
      <c r="CW14" s="1584"/>
      <c r="CX14" s="1584"/>
      <c r="CY14" s="1584"/>
      <c r="CZ14" s="1584"/>
      <c r="DA14" s="1584"/>
      <c r="DB14" s="1584"/>
      <c r="DC14" s="1584"/>
    </row>
    <row r="15" x14ac:dyDescent="0.2">
      <c r="A15" s="1584"/>
      <c r="B15" s="2870" t="inlineStr">
        <is>
          <t>EN</t>
        </is>
      </c>
      <c r="C15" s="3393"/>
      <c r="D15" s="812">
        <f>IF(ISNUMBER(FIND("EN",B15)),IF(ISNUMBER(FIND("FCC",B15)),IF(ISNUMBER(FIND("ISED",B15)),CONCATENATE(Overview!$V$10,";",Overview!$S$11,";",Overview!$S$12),CONCATENATE(Overview!$V$10,";",Overview!$S$11)),IF(ISNUMBER(FIND("ISED",B15)),CONCATENATE(Overview!$V$10,";",Overview!$S$12),Overview!$V$10)),IF(ISNUMBER(FIND("FCC",B15)),IF(ISNUMBER(FIND("ISED",B15)),CONCATENATE(Overview!$S$11,";",Overview!$S$12),"IEEE Std 1528™"),Overview!$S$12))</f>
        <v/>
      </c>
      <c r="E15" s="812">
        <f>IF(ISNUMBER(FIND("EN",B15)),IF(ISNUMBER(FIND("FCC",B15)),IF(ISNUMBER(FIND("ISED",B15)),CONCATENATE(Overview!$AB$10,";",Overview!$Y$11,";",Overview!$Y$12),CONCATENATE(Overview!$AB$10,";",Overview!$Y$11)),IF(ISNUMBER(FIND("ISED",B15)),CONCATENATE(Overview!$AB$10,";",Overview!$Y$12),Overview!$AB$10)),IF(ISNUMBER(FIND("FCC",B15)),IF(ISNUMBER(FIND("ISED",B15)),CONCATENATE(Overview!$Y$11,";",Overview!$Y$12),"IEEE Std 1528™"),Overview!$Y$12))</f>
        <v/>
      </c>
      <c r="F15" s="3394" t="inlineStr">
        <is>
          <t>2.1</t>
        </is>
      </c>
      <c r="G15" s="2870">
        <f>Overview!$E$28</f>
        <v/>
      </c>
      <c r="H15" s="3395"/>
      <c r="I15" s="3396"/>
      <c r="J15" s="2870" t="inlineStr">
        <is>
          <t>GSM</t>
        </is>
      </c>
      <c r="K15" s="2870">
        <v>900</v>
      </c>
      <c r="L15" s="3396"/>
      <c r="M15" s="117"/>
      <c r="N15" s="117"/>
      <c r="O15" s="3397"/>
      <c r="P15" s="6061"/>
      <c r="Q15" s="3397"/>
      <c r="R15" s="3397"/>
      <c r="S15" s="117"/>
      <c r="T15" s="2871">
        <v>975</v>
      </c>
      <c r="U15" s="2871">
        <v>880.2</v>
      </c>
      <c r="V15" s="117"/>
      <c r="W15" s="3398"/>
      <c r="X15" s="2870">
        <v>1</v>
      </c>
      <c r="Y15" s="2824"/>
      <c r="Z15" s="2870">
        <v>5</v>
      </c>
      <c r="AA15" s="3396"/>
      <c r="AB15" s="3396"/>
      <c r="AC15" s="3396"/>
      <c r="AD15" s="3396"/>
      <c r="AE15" s="3396"/>
      <c r="AF15" s="3396"/>
      <c r="AG15" s="3399" t="inlineStr">
        <is>
          <t>N/A</t>
        </is>
      </c>
      <c r="AH15" s="2964"/>
      <c r="AI15" s="7159"/>
      <c r="AJ15" s="7180">
        <f>AI15+$CL$2</f>
        <v/>
      </c>
      <c r="AK15" s="7146"/>
      <c r="AL15" s="3396"/>
      <c r="AM15" s="117"/>
      <c r="AN15" s="117"/>
      <c r="AO15" s="117"/>
      <c r="AP15" s="117"/>
      <c r="AQ15" s="3400"/>
      <c r="AR15" s="117"/>
      <c r="AS15" s="117"/>
      <c r="AT15" s="3400"/>
      <c r="AU15" s="117"/>
      <c r="AV15" s="117"/>
      <c r="AW15" s="117"/>
      <c r="AX15" s="117"/>
      <c r="AY15" s="117"/>
      <c r="AZ15" s="117"/>
      <c r="BA15" s="117"/>
      <c r="BB15" s="117"/>
      <c r="BC15" s="117"/>
      <c r="BD15" s="117"/>
      <c r="BE15" s="7145">
        <f>MyTimestamp(AI15)</f>
        <v/>
      </c>
      <c r="BF15" s="2825">
        <v>60</v>
      </c>
      <c r="BG15" s="121">
        <f>BE15</f>
        <v/>
      </c>
      <c r="BH15" s="2825">
        <v>60</v>
      </c>
      <c r="BI15" s="2845" t="inlineStr">
        <is>
          <t>S/01</t>
        </is>
      </c>
      <c r="BJ15" s="117"/>
      <c r="BK15" s="120">
        <f>Overview!$E$7</f>
        <v/>
      </c>
      <c r="BL15" s="117"/>
      <c r="BM15" s="2845" t="inlineStr">
        <is>
          <t>ANT-SAR Conducted</t>
        </is>
      </c>
      <c r="BN15" s="812">
        <f>Overview!$P$153</f>
        <v/>
      </c>
      <c r="BO15" s="117"/>
      <c r="BP15" s="117"/>
      <c r="BQ15" s="115"/>
      <c r="BR15" s="1478" t="inlineStr">
        <is>
          <t>N/A</t>
        </is>
      </c>
      <c r="BS15" s="37"/>
      <c r="BT15" s="234">
        <f>IF(COUNT(AI15:AI17)=0,"",MAX(AI15:AI17))</f>
        <v/>
      </c>
      <c r="BU15" s="37"/>
      <c r="BV15" s="230" t="inlineStr">
        <is>
          <t>1º Max GSM:</t>
        </is>
      </c>
      <c r="BW15" s="228">
        <f>IF(COUNT(AI15:AI17)=0,"",IF(MAX(AI15:AI17)=AI15,"Low",IF(MAX(AI15:AI17)=AI16,"Mid","High")))</f>
        <v/>
      </c>
      <c r="BX15" s="228">
        <f>IF(BW15="",T16,IF(BW15="Low",T15,IF(BW15="Mid",T16,T17)))</f>
        <v>37</v>
      </c>
      <c r="BY15" s="228">
        <f>IF(BW15="",U16,IF(BW15="Low",U15,IF(BW15="Mid",U16,U17)))</f>
        <v>897.4</v>
      </c>
      <c r="BZ15" s="228">
        <f>IF(BW15="","",IF(BW15="Low",AI15,IF(BW15="Mid",AI16,AI17)))</f>
        <v/>
      </c>
      <c r="CA15" s="1597"/>
      <c r="CB15" s="1597"/>
      <c r="CC15" s="1593"/>
      <c r="CD15" s="1593"/>
      <c r="CE15" s="1593"/>
      <c r="CF15" s="1593"/>
      <c r="CG15" s="1593"/>
      <c r="CH15" s="1593"/>
      <c r="CI15" s="1593"/>
      <c r="CJ15" s="1593"/>
      <c r="CK15" s="1593"/>
      <c r="CL15" s="1593"/>
      <c r="CM15" s="1593"/>
      <c r="CN15" s="1593"/>
      <c r="CO15" s="1593"/>
      <c r="CP15" s="1584"/>
      <c r="CQ15" s="1584"/>
      <c r="CR15" s="1584"/>
      <c r="CS15" s="1584"/>
      <c r="CT15" s="1584"/>
      <c r="CU15" s="1584"/>
      <c r="CV15" s="1584"/>
      <c r="CW15" s="1584"/>
      <c r="CX15" s="1584"/>
      <c r="CY15" s="1584"/>
      <c r="CZ15" s="1584"/>
      <c r="DA15" s="1584"/>
      <c r="DB15" s="1584"/>
      <c r="DC15" s="1584"/>
    </row>
    <row r="16" customHeight="1" ht="12.6" x14ac:dyDescent="0.2">
      <c r="A16" s="1584"/>
      <c r="B16" s="2872" t="inlineStr">
        <is>
          <t>EN</t>
        </is>
      </c>
      <c r="C16" s="3393"/>
      <c r="D16" s="812">
        <f>IF(ISNUMBER(FIND("EN",B16)),IF(ISNUMBER(FIND("FCC",B16)),IF(ISNUMBER(FIND("ISED",B16)),CONCATENATE(Overview!$V$10,";",Overview!$S$11,";",Overview!$S$12),CONCATENATE(Overview!$V$10,";",Overview!$S$11)),IF(ISNUMBER(FIND("ISED",B16)),CONCATENATE(Overview!$V$10,";",Overview!$S$12),Overview!$V$10)),IF(ISNUMBER(FIND("FCC",B16)),IF(ISNUMBER(FIND("ISED",B16)),CONCATENATE(Overview!$S$11,";",Overview!$S$12),"IEEE Std 1528™"),Overview!$S$12))</f>
        <v/>
      </c>
      <c r="E16" s="812">
        <f>IF(ISNUMBER(FIND("EN",B16)),IF(ISNUMBER(FIND("FCC",B16)),IF(ISNUMBER(FIND("ISED",B16)),CONCATENATE(Overview!$AB$10,";",Overview!$Y$11,";",Overview!$Y$12),CONCATENATE(Overview!$AB$10,";",Overview!$Y$11)),IF(ISNUMBER(FIND("ISED",B16)),CONCATENATE(Overview!$AB$10,";",Overview!$Y$12),Overview!$AB$10)),IF(ISNUMBER(FIND("FCC",B16)),IF(ISNUMBER(FIND("ISED",B16)),CONCATENATE(Overview!$Y$11,";",Overview!$Y$12),"IEEE Std 1528™"),Overview!$Y$12))</f>
        <v/>
      </c>
      <c r="F16" s="3394" t="inlineStr">
        <is>
          <t>2.1</t>
        </is>
      </c>
      <c r="G16" s="2872">
        <f>Overview!$E$28</f>
        <v/>
      </c>
      <c r="H16" s="3395"/>
      <c r="I16" s="3396"/>
      <c r="J16" s="2872" t="inlineStr">
        <is>
          <t>GSM</t>
        </is>
      </c>
      <c r="K16" s="2872">
        <v>900</v>
      </c>
      <c r="L16" s="3396"/>
      <c r="M16" s="117"/>
      <c r="N16" s="117"/>
      <c r="O16" s="3397"/>
      <c r="P16" s="6061"/>
      <c r="Q16" s="3397"/>
      <c r="R16" s="3397"/>
      <c r="S16" s="117"/>
      <c r="T16" s="2873">
        <v>37</v>
      </c>
      <c r="U16" s="2873">
        <v>897.4</v>
      </c>
      <c r="V16" s="117"/>
      <c r="W16" s="3398"/>
      <c r="X16" s="2872">
        <v>1</v>
      </c>
      <c r="Y16" s="2830"/>
      <c r="Z16" s="2872">
        <v>5</v>
      </c>
      <c r="AA16" s="3396"/>
      <c r="AB16" s="3396"/>
      <c r="AC16" s="3396"/>
      <c r="AD16" s="3396"/>
      <c r="AE16" s="3396"/>
      <c r="AF16" s="3396"/>
      <c r="AG16" s="3399" t="inlineStr">
        <is>
          <t>N/A</t>
        </is>
      </c>
      <c r="AH16" s="2970"/>
      <c r="AI16" s="7155"/>
      <c r="AJ16" s="7181">
        <f>AI16+$CL$2</f>
        <v/>
      </c>
      <c r="AK16" s="7146"/>
      <c r="AL16" s="3396"/>
      <c r="AM16" s="117"/>
      <c r="AN16" s="117"/>
      <c r="AO16" s="117"/>
      <c r="AP16" s="117"/>
      <c r="AQ16" s="3400"/>
      <c r="AR16" s="117"/>
      <c r="AS16" s="117"/>
      <c r="AT16" s="3400"/>
      <c r="AU16" s="117"/>
      <c r="AV16" s="117"/>
      <c r="AW16" s="117"/>
      <c r="AX16" s="117"/>
      <c r="AY16" s="117"/>
      <c r="AZ16" s="117"/>
      <c r="BA16" s="117"/>
      <c r="BB16" s="117"/>
      <c r="BC16" s="117"/>
      <c r="BD16" s="117"/>
      <c r="BE16" s="2831">
        <f>MyTimestamp(AI16)</f>
        <v/>
      </c>
      <c r="BF16" s="2832">
        <v>60</v>
      </c>
      <c r="BG16" s="121">
        <f>BE16</f>
        <v/>
      </c>
      <c r="BH16" s="2832">
        <v>60</v>
      </c>
      <c r="BI16" s="2833" t="inlineStr">
        <is>
          <t>S/01</t>
        </is>
      </c>
      <c r="BJ16" s="117"/>
      <c r="BK16" s="120">
        <f>Overview!$E$7</f>
        <v/>
      </c>
      <c r="BL16" s="117"/>
      <c r="BM16" s="2833" t="inlineStr">
        <is>
          <t>ANT-SAR Conducted</t>
        </is>
      </c>
      <c r="BN16" s="812">
        <f>Overview!$P$153</f>
        <v/>
      </c>
      <c r="BO16" s="117"/>
      <c r="BP16" s="117"/>
      <c r="BQ16" s="115"/>
      <c r="BR16" s="1478" t="inlineStr">
        <is>
          <t>N/A</t>
        </is>
      </c>
      <c r="BS16" s="37"/>
      <c r="BT16" s="234"/>
      <c r="BU16" s="37"/>
      <c r="BV16" s="231" t="inlineStr">
        <is>
          <t>2º Max GSM:</t>
        </is>
      </c>
      <c r="BW16" s="229">
        <f>IF(COUNT(AI15:AI17)&lt;2,"",IF(BW15="Low",IF(MAX(AI16:AI17)=AI16,"Mid","High"),IF(BW15="Mid",IF(MAX(AI15,AI17)=AI15,"Low","High"),IF(MAX(AI15:AI16)=AI15,"Low","Mid"))))</f>
        <v/>
      </c>
      <c r="BX16" s="229">
        <f>IF(BW16="",T15,IF(BW16="Low",T15,IF(BW16="Mid",T16,T17)))</f>
        <v>975</v>
      </c>
      <c r="BY16" s="229">
        <f>IF(BW16="",U15,IF(BW16="Low",U15,IF(BW16="Mid",U16,U17)))</f>
        <v>880.2</v>
      </c>
      <c r="BZ16" s="229">
        <f>IF(BW16="","",IF(BW16="Low",AI15,IF(BW16="Mid",AI16,AI17)))</f>
        <v/>
      </c>
      <c r="CA16" s="1597"/>
      <c r="CB16" s="1597"/>
      <c r="CC16" s="1593"/>
      <c r="CD16" s="1593"/>
      <c r="CE16" s="1593"/>
      <c r="CF16" s="1593"/>
      <c r="CG16" s="1593"/>
      <c r="CH16" s="1593"/>
      <c r="CI16" s="1593"/>
      <c r="CJ16" s="1593"/>
      <c r="CK16" s="1593"/>
      <c r="CL16" s="1593"/>
      <c r="CM16" s="1593"/>
      <c r="CN16" s="1593"/>
      <c r="CO16" s="1593"/>
      <c r="CP16" s="1584"/>
      <c r="CQ16" s="1584"/>
      <c r="CR16" s="1584"/>
      <c r="CS16" s="1584"/>
      <c r="CT16" s="1584"/>
      <c r="CU16" s="1584"/>
      <c r="CV16" s="1584"/>
      <c r="CW16" s="1584"/>
      <c r="CX16" s="1584"/>
      <c r="CY16" s="1584"/>
      <c r="CZ16" s="1584"/>
      <c r="DA16" s="1584"/>
      <c r="DB16" s="1584"/>
      <c r="DC16" s="1584"/>
    </row>
    <row r="17" x14ac:dyDescent="0.2">
      <c r="A17" s="1584"/>
      <c r="B17" s="2874" t="inlineStr">
        <is>
          <t>EN</t>
        </is>
      </c>
      <c r="C17" s="3393"/>
      <c r="D17" s="812">
        <f>IF(ISNUMBER(FIND("EN",B17)),IF(ISNUMBER(FIND("FCC",B17)),IF(ISNUMBER(FIND("ISED",B17)),CONCATENATE(Overview!$V$10,";",Overview!$S$11,";",Overview!$S$12),CONCATENATE(Overview!$V$10,";",Overview!$S$11)),IF(ISNUMBER(FIND("ISED",B17)),CONCATENATE(Overview!$V$10,";",Overview!$S$12),Overview!$V$10)),IF(ISNUMBER(FIND("FCC",B17)),IF(ISNUMBER(FIND("ISED",B17)),CONCATENATE(Overview!$S$11,";",Overview!$S$12),"IEEE Std 1528™"),Overview!$S$12))</f>
        <v/>
      </c>
      <c r="E17" s="812">
        <f>IF(ISNUMBER(FIND("EN",B17)),IF(ISNUMBER(FIND("FCC",B17)),IF(ISNUMBER(FIND("ISED",B17)),CONCATENATE(Overview!$AB$10,";",Overview!$Y$11,";",Overview!$Y$12),CONCATENATE(Overview!$AB$10,";",Overview!$Y$11)),IF(ISNUMBER(FIND("ISED",B17)),CONCATENATE(Overview!$AB$10,";",Overview!$Y$12),Overview!$AB$10)),IF(ISNUMBER(FIND("FCC",B17)),IF(ISNUMBER(FIND("ISED",B17)),CONCATENATE(Overview!$Y$11,";",Overview!$Y$12),"IEEE Std 1528™"),Overview!$Y$12))</f>
        <v/>
      </c>
      <c r="F17" s="3394" t="inlineStr">
        <is>
          <t>2.1</t>
        </is>
      </c>
      <c r="G17" s="2874">
        <f>Overview!$E$28</f>
        <v/>
      </c>
      <c r="H17" s="3395"/>
      <c r="I17" s="3396"/>
      <c r="J17" s="2874" t="inlineStr">
        <is>
          <t>GSM</t>
        </is>
      </c>
      <c r="K17" s="2874">
        <v>900</v>
      </c>
      <c r="L17" s="3396"/>
      <c r="M17" s="117"/>
      <c r="N17" s="117"/>
      <c r="O17" s="3397"/>
      <c r="P17" s="6061"/>
      <c r="Q17" s="3397"/>
      <c r="R17" s="3397"/>
      <c r="S17" s="117"/>
      <c r="T17" s="2875">
        <v>124</v>
      </c>
      <c r="U17" s="2875">
        <v>914.8</v>
      </c>
      <c r="V17" s="117"/>
      <c r="W17" s="3398"/>
      <c r="X17" s="2874">
        <v>1</v>
      </c>
      <c r="Y17" s="2837"/>
      <c r="Z17" s="2874">
        <v>5</v>
      </c>
      <c r="AA17" s="3396"/>
      <c r="AB17" s="3396"/>
      <c r="AC17" s="3396"/>
      <c r="AD17" s="3396"/>
      <c r="AE17" s="3396"/>
      <c r="AF17" s="3396"/>
      <c r="AG17" s="3399" t="inlineStr">
        <is>
          <t>N/A</t>
        </is>
      </c>
      <c r="AH17" s="2976"/>
      <c r="AI17" s="7160"/>
      <c r="AJ17" s="7182">
        <f>AI17+$CL$2</f>
        <v/>
      </c>
      <c r="AK17" s="7146"/>
      <c r="AL17" s="3396"/>
      <c r="AM17" s="117"/>
      <c r="AN17" s="117"/>
      <c r="AO17" s="117"/>
      <c r="AP17" s="117"/>
      <c r="AQ17" s="3400"/>
      <c r="AR17" s="117"/>
      <c r="AS17" s="117"/>
      <c r="AT17" s="3400"/>
      <c r="AU17" s="117"/>
      <c r="AV17" s="117"/>
      <c r="AW17" s="117"/>
      <c r="AX17" s="117"/>
      <c r="AY17" s="117"/>
      <c r="AZ17" s="117"/>
      <c r="BA17" s="117"/>
      <c r="BB17" s="117"/>
      <c r="BC17" s="117"/>
      <c r="BD17" s="117"/>
      <c r="BE17" s="7143">
        <f>MyTimestamp(AI17)</f>
        <v/>
      </c>
      <c r="BF17" s="2839">
        <v>60</v>
      </c>
      <c r="BG17" s="121">
        <f>BE17</f>
        <v/>
      </c>
      <c r="BH17" s="2839">
        <v>60</v>
      </c>
      <c r="BI17" s="2840" t="inlineStr">
        <is>
          <t>S/01</t>
        </is>
      </c>
      <c r="BJ17" s="117"/>
      <c r="BK17" s="120">
        <f>Overview!$E$7</f>
        <v/>
      </c>
      <c r="BL17" s="117"/>
      <c r="BM17" s="2840" t="inlineStr">
        <is>
          <t>ANT-SAR Conducted</t>
        </is>
      </c>
      <c r="BN17" s="812">
        <f>Overview!$P$153</f>
        <v/>
      </c>
      <c r="BO17" s="117"/>
      <c r="BP17" s="117"/>
      <c r="BQ17" s="115"/>
      <c r="BR17" s="1478" t="inlineStr">
        <is>
          <t>N/A</t>
        </is>
      </c>
      <c r="BS17" s="37"/>
      <c r="BT17" s="235"/>
      <c r="BU17" s="37"/>
      <c r="BV17" s="232" t="inlineStr">
        <is>
          <t>3º Max GSM:</t>
        </is>
      </c>
      <c r="BW17" s="227">
        <f>IF(COUNT(AI15:AI17)&lt;3,"",IF(AND(OR(BW15="Low",BW15="Mid"),OR(BW16="Low",BW16="Mid")),"High",IF(AND(OR(BW15="Low",BW15="High"),OR(BW16="Low",BW16="High")),"Mid","Low")))</f>
        <v/>
      </c>
      <c r="BX17" s="227">
        <f>IF(BW17="",T17,IF(BW17="Low",T15,IF(BW17="Mid",T16,T17)))</f>
        <v>124</v>
      </c>
      <c r="BY17" s="227">
        <f>IF(BW17="",U17,IF(BW17="Low",U15,IF(BW17="Mid",U16,U17)))</f>
        <v>914.8</v>
      </c>
      <c r="BZ17" s="227">
        <f>IF(BW17="","",IF(BW17="Low",AI15,IF(BW17="Mid",AI16,AI17)))</f>
        <v/>
      </c>
      <c r="CA17" s="1597"/>
      <c r="CB17" s="1597"/>
      <c r="CC17" s="1593"/>
      <c r="CD17" s="1593"/>
      <c r="CE17" s="1593"/>
      <c r="CF17" s="1593"/>
      <c r="CG17" s="1593"/>
      <c r="CH17" s="1593"/>
      <c r="CI17" s="1593"/>
      <c r="CJ17" s="1593"/>
      <c r="CK17" s="1593"/>
      <c r="CL17" s="1593"/>
      <c r="CM17" s="1593"/>
      <c r="CN17" s="1593"/>
      <c r="CO17" s="1593"/>
      <c r="CP17" s="1584"/>
      <c r="CQ17" s="1584"/>
      <c r="CR17" s="1584"/>
      <c r="CS17" s="1584"/>
      <c r="CT17" s="1584"/>
      <c r="CU17" s="1584"/>
      <c r="CV17" s="1584"/>
      <c r="CW17" s="1584"/>
      <c r="CX17" s="1584"/>
      <c r="CY17" s="1584"/>
      <c r="CZ17" s="1584"/>
      <c r="DA17" s="1584"/>
      <c r="DB17" s="1584"/>
      <c r="DC17" s="1584"/>
    </row>
    <row r="18" x14ac:dyDescent="0.2">
      <c r="A18" s="1584"/>
      <c r="B18" s="2870" t="inlineStr">
        <is>
          <t>EN</t>
        </is>
      </c>
      <c r="C18" s="3393"/>
      <c r="D18" s="812">
        <f>IF(ISNUMBER(FIND("EN",B18)),IF(ISNUMBER(FIND("FCC",B18)),IF(ISNUMBER(FIND("ISED",B18)),CONCATENATE(Overview!$V$10,";",Overview!$S$11,";",Overview!$S$12),CONCATENATE(Overview!$V$10,";",Overview!$S$11)),IF(ISNUMBER(FIND("ISED",B18)),CONCATENATE(Overview!$V$10,";",Overview!$S$12),Overview!$V$10)),IF(ISNUMBER(FIND("FCC",B18)),IF(ISNUMBER(FIND("ISED",B18)),CONCATENATE(Overview!$S$11,";",Overview!$S$12),"IEEE Std 1528™"),Overview!$S$12))</f>
        <v/>
      </c>
      <c r="E18" s="812">
        <f>IF(ISNUMBER(FIND("EN",B18)),IF(ISNUMBER(FIND("FCC",B18)),IF(ISNUMBER(FIND("ISED",B18)),CONCATENATE(Overview!$AB$10,";",Overview!$Y$11,";",Overview!$Y$12),CONCATENATE(Overview!$AB$10,";",Overview!$Y$11)),IF(ISNUMBER(FIND("ISED",B18)),CONCATENATE(Overview!$AB$10,";",Overview!$Y$12),Overview!$AB$10)),IF(ISNUMBER(FIND("FCC",B18)),IF(ISNUMBER(FIND("ISED",B18)),CONCATENATE(Overview!$Y$11,";",Overview!$Y$12),"IEEE Std 1528™"),Overview!$Y$12))</f>
        <v/>
      </c>
      <c r="F18" s="3394" t="inlineStr">
        <is>
          <t>2.1</t>
        </is>
      </c>
      <c r="G18" s="2870">
        <f>Overview!$E$29</f>
        <v/>
      </c>
      <c r="H18" s="3395"/>
      <c r="I18" s="3396"/>
      <c r="J18" s="2870" t="inlineStr">
        <is>
          <t>GSM</t>
        </is>
      </c>
      <c r="K18" s="2870">
        <v>900</v>
      </c>
      <c r="L18" s="3396"/>
      <c r="M18" s="117"/>
      <c r="N18" s="117"/>
      <c r="O18" s="3397"/>
      <c r="P18" s="6061"/>
      <c r="Q18" s="3397"/>
      <c r="R18" s="3397"/>
      <c r="S18" s="117"/>
      <c r="T18" s="2871">
        <v>975</v>
      </c>
      <c r="U18" s="2871">
        <v>880.2</v>
      </c>
      <c r="V18" s="117"/>
      <c r="W18" s="3398"/>
      <c r="X18" s="2870">
        <v>1</v>
      </c>
      <c r="Y18" s="2824"/>
      <c r="Z18" s="2870">
        <v>5</v>
      </c>
      <c r="AA18" s="3396"/>
      <c r="AB18" s="3396"/>
      <c r="AC18" s="3396"/>
      <c r="AD18" s="3396"/>
      <c r="AE18" s="3396"/>
      <c r="AF18" s="3396"/>
      <c r="AG18" s="3399" t="inlineStr">
        <is>
          <t>N/A</t>
        </is>
      </c>
      <c r="AH18" s="2964"/>
      <c r="AI18" s="7159"/>
      <c r="AJ18" s="7180">
        <f>AI18+$CL$2</f>
        <v/>
      </c>
      <c r="AK18" s="7146"/>
      <c r="AL18" s="3396"/>
      <c r="AM18" s="117"/>
      <c r="AN18" s="117"/>
      <c r="AO18" s="117"/>
      <c r="AP18" s="117"/>
      <c r="AQ18" s="3400"/>
      <c r="AR18" s="117"/>
      <c r="AS18" s="117"/>
      <c r="AT18" s="3400"/>
      <c r="AU18" s="117"/>
      <c r="AV18" s="117"/>
      <c r="AW18" s="117"/>
      <c r="AX18" s="117"/>
      <c r="AY18" s="117"/>
      <c r="AZ18" s="117"/>
      <c r="BA18" s="117"/>
      <c r="BB18" s="117"/>
      <c r="BC18" s="117"/>
      <c r="BD18" s="117"/>
      <c r="BE18" s="7145">
        <f>MyTimestamp(AI18)</f>
        <v/>
      </c>
      <c r="BF18" s="2825">
        <v>60</v>
      </c>
      <c r="BG18" s="121">
        <f>BE18</f>
        <v/>
      </c>
      <c r="BH18" s="2825">
        <v>60</v>
      </c>
      <c r="BI18" s="2845" t="inlineStr">
        <is>
          <t>S/01</t>
        </is>
      </c>
      <c r="BJ18" s="117"/>
      <c r="BK18" s="120">
        <f>Overview!$E$7</f>
        <v/>
      </c>
      <c r="BL18" s="117"/>
      <c r="BM18" s="2845" t="inlineStr">
        <is>
          <t>ANT-SAR Conducted</t>
        </is>
      </c>
      <c r="BN18" s="812">
        <f>Overview!$P$153</f>
        <v/>
      </c>
      <c r="BO18" s="117"/>
      <c r="BP18" s="117"/>
      <c r="BQ18" s="115"/>
      <c r="BR18" s="1478" t="inlineStr">
        <is>
          <t>N/A</t>
        </is>
      </c>
      <c r="BS18" s="37"/>
      <c r="BT18" s="234">
        <f>IF(COUNT(AI18:AI20)=0,"",MAX(AI18:AI20))</f>
        <v/>
      </c>
      <c r="BU18" s="37"/>
      <c r="BV18" s="230" t="inlineStr">
        <is>
          <t>1º Max GSM:</t>
        </is>
      </c>
      <c r="BW18" s="228">
        <f>IF(COUNT(AI18:AI20)=0,"",IF(MAX(AI18:AI20)=AI18,"Low",IF(MAX(AI18:AI20)=AI19,"Mid","High")))</f>
        <v/>
      </c>
      <c r="BX18" s="228">
        <f>IF(BW18="",T19,IF(BW18="Low",T18,IF(BW18="Mid",T19,T20)))</f>
        <v>37</v>
      </c>
      <c r="BY18" s="228">
        <f>IF(BW18="",U19,IF(BW18="Low",U18,IF(BW18="Mid",U19,U20)))</f>
        <v>897.4</v>
      </c>
      <c r="BZ18" s="228">
        <f>IF(BW18="","",IF(BW18="Low",AI18,IF(BW18="Mid",AI19,AI20)))</f>
        <v/>
      </c>
      <c r="CA18" s="1593"/>
      <c r="CB18" s="1593"/>
      <c r="CC18" s="1593"/>
      <c r="CD18" s="1593"/>
      <c r="CE18" s="1593"/>
      <c r="CF18" s="1593"/>
      <c r="CG18" s="1593"/>
      <c r="CH18" s="1548"/>
      <c r="CI18" s="1548"/>
      <c r="CJ18" s="1548"/>
      <c r="CK18" s="1548"/>
      <c r="CL18" s="1548"/>
      <c r="CM18" s="1548"/>
      <c r="CN18" s="1548"/>
      <c r="CO18" s="1548"/>
      <c r="CP18" s="1584"/>
      <c r="CQ18" s="1584"/>
      <c r="CR18" s="1584"/>
      <c r="CS18" s="1584"/>
      <c r="CT18" s="1584"/>
      <c r="CU18" s="1584"/>
      <c r="CV18" s="1584"/>
      <c r="CW18" s="1584"/>
      <c r="CX18" s="1584"/>
      <c r="CY18" s="1584"/>
      <c r="CZ18" s="1584"/>
      <c r="DA18" s="1584"/>
      <c r="DB18" s="1584"/>
      <c r="DC18" s="1584"/>
    </row>
    <row r="19" x14ac:dyDescent="0.2">
      <c r="A19" s="1584"/>
      <c r="B19" s="2872" t="inlineStr">
        <is>
          <t>EN</t>
        </is>
      </c>
      <c r="C19" s="3393"/>
      <c r="D19" s="812">
        <f>IF(ISNUMBER(FIND("EN",B19)),IF(ISNUMBER(FIND("FCC",B19)),IF(ISNUMBER(FIND("ISED",B19)),CONCATENATE(Overview!$V$10,";",Overview!$S$11,";",Overview!$S$12),CONCATENATE(Overview!$V$10,";",Overview!$S$11)),IF(ISNUMBER(FIND("ISED",B19)),CONCATENATE(Overview!$V$10,";",Overview!$S$12),Overview!$V$10)),IF(ISNUMBER(FIND("FCC",B19)),IF(ISNUMBER(FIND("ISED",B19)),CONCATENATE(Overview!$S$11,";",Overview!$S$12),"IEEE Std 1528™"),Overview!$S$12))</f>
        <v/>
      </c>
      <c r="E19" s="812">
        <f>IF(ISNUMBER(FIND("EN",B19)),IF(ISNUMBER(FIND("FCC",B19)),IF(ISNUMBER(FIND("ISED",B19)),CONCATENATE(Overview!$AB$10,";",Overview!$Y$11,";",Overview!$Y$12),CONCATENATE(Overview!$AB$10,";",Overview!$Y$11)),IF(ISNUMBER(FIND("ISED",B19)),CONCATENATE(Overview!$AB$10,";",Overview!$Y$12),Overview!$AB$10)),IF(ISNUMBER(FIND("FCC",B19)),IF(ISNUMBER(FIND("ISED",B19)),CONCATENATE(Overview!$Y$11,";",Overview!$Y$12),"IEEE Std 1528™"),Overview!$Y$12))</f>
        <v/>
      </c>
      <c r="F19" s="3394" t="inlineStr">
        <is>
          <t>2.1</t>
        </is>
      </c>
      <c r="G19" s="2872">
        <f>Overview!$E$29</f>
        <v/>
      </c>
      <c r="H19" s="3395"/>
      <c r="I19" s="3396"/>
      <c r="J19" s="2872" t="inlineStr">
        <is>
          <t>GSM</t>
        </is>
      </c>
      <c r="K19" s="2872">
        <v>900</v>
      </c>
      <c r="L19" s="3396"/>
      <c r="M19" s="117"/>
      <c r="N19" s="117"/>
      <c r="O19" s="3397"/>
      <c r="P19" s="6061"/>
      <c r="Q19" s="3397"/>
      <c r="R19" s="3397"/>
      <c r="S19" s="117"/>
      <c r="T19" s="2873">
        <v>37</v>
      </c>
      <c r="U19" s="2873">
        <v>897.4</v>
      </c>
      <c r="V19" s="117"/>
      <c r="W19" s="3398"/>
      <c r="X19" s="2872">
        <v>1</v>
      </c>
      <c r="Y19" s="2830"/>
      <c r="Z19" s="2872">
        <v>5</v>
      </c>
      <c r="AA19" s="3396"/>
      <c r="AB19" s="3396"/>
      <c r="AC19" s="3396"/>
      <c r="AD19" s="3396"/>
      <c r="AE19" s="3396"/>
      <c r="AF19" s="3396"/>
      <c r="AG19" s="3399" t="inlineStr">
        <is>
          <t>N/A</t>
        </is>
      </c>
      <c r="AH19" s="2970"/>
      <c r="AI19" s="7155"/>
      <c r="AJ19" s="7181">
        <f>AI19+$CL$2</f>
        <v/>
      </c>
      <c r="AK19" s="7146"/>
      <c r="AL19" s="3396"/>
      <c r="AM19" s="117"/>
      <c r="AN19" s="117"/>
      <c r="AO19" s="117"/>
      <c r="AP19" s="117"/>
      <c r="AQ19" s="3400"/>
      <c r="AR19" s="117"/>
      <c r="AS19" s="117"/>
      <c r="AT19" s="3400"/>
      <c r="AU19" s="117"/>
      <c r="AV19" s="117"/>
      <c r="AW19" s="117"/>
      <c r="AX19" s="117"/>
      <c r="AY19" s="117"/>
      <c r="AZ19" s="117"/>
      <c r="BA19" s="117"/>
      <c r="BB19" s="117"/>
      <c r="BC19" s="117"/>
      <c r="BD19" s="117"/>
      <c r="BE19" s="2831">
        <f>MyTimestamp(AI19)</f>
        <v/>
      </c>
      <c r="BF19" s="2832">
        <v>60</v>
      </c>
      <c r="BG19" s="121">
        <f>BE19</f>
        <v/>
      </c>
      <c r="BH19" s="2832">
        <v>60</v>
      </c>
      <c r="BI19" s="2833" t="inlineStr">
        <is>
          <t>S/01</t>
        </is>
      </c>
      <c r="BJ19" s="117"/>
      <c r="BK19" s="120">
        <f>Overview!$E$7</f>
        <v/>
      </c>
      <c r="BL19" s="117"/>
      <c r="BM19" s="2833" t="inlineStr">
        <is>
          <t>ANT-SAR Conducted</t>
        </is>
      </c>
      <c r="BN19" s="812">
        <f>Overview!$P$153</f>
        <v/>
      </c>
      <c r="BO19" s="117"/>
      <c r="BP19" s="117"/>
      <c r="BQ19" s="115"/>
      <c r="BR19" s="1478" t="inlineStr">
        <is>
          <t>N/A</t>
        </is>
      </c>
      <c r="BS19" s="37"/>
      <c r="BT19" s="234"/>
      <c r="BU19" s="37"/>
      <c r="BV19" s="231" t="inlineStr">
        <is>
          <t>2º Max GSM:</t>
        </is>
      </c>
      <c r="BW19" s="229">
        <f>IF(COUNT(AI18:AI20)&lt;2,"",IF(BW18="Low",IF(MAX(AI19:AI20)=AI19,"Mid","High"),IF(BW18="Mid",IF(MAX(AI18,AI20)=AI18,"Low","High"),IF(MAX(AI18:AI19)=AI18,"Low","Mid"))))</f>
        <v/>
      </c>
      <c r="BX19" s="229">
        <f>IF(BW19="",T18,IF(BW19="Low",T18,IF(BW19="Mid",T19,T20)))</f>
        <v>975</v>
      </c>
      <c r="BY19" s="229">
        <f>IF(BW19="",U18,IF(BW19="Low",U18,IF(BW19="Mid",U19,U20)))</f>
        <v>880.2</v>
      </c>
      <c r="BZ19" s="229">
        <f>IF(BW19="","",IF(BW19="Low",AI18,IF(BW19="Mid",AI19,AI20)))</f>
        <v/>
      </c>
      <c r="CA19" s="1593"/>
      <c r="CB19" s="1593"/>
      <c r="CC19" s="1593"/>
      <c r="CD19" s="1593"/>
      <c r="CE19" s="1593"/>
      <c r="CF19" s="1593"/>
      <c r="CG19" s="1593"/>
      <c r="CH19" s="1548"/>
      <c r="CI19" s="1548"/>
      <c r="CJ19" s="1548"/>
      <c r="CK19" s="1548"/>
      <c r="CL19" s="1548"/>
      <c r="CM19" s="1548"/>
      <c r="CN19" s="1548"/>
      <c r="CO19" s="1548"/>
      <c r="CP19" s="1584"/>
      <c r="CQ19" s="1584"/>
      <c r="CR19" s="1584"/>
      <c r="CS19" s="1584"/>
      <c r="CT19" s="1584"/>
      <c r="CU19" s="1584"/>
      <c r="CV19" s="1584"/>
      <c r="CW19" s="1584"/>
      <c r="CX19" s="1584"/>
      <c r="CY19" s="1584"/>
      <c r="CZ19" s="1584"/>
      <c r="DA19" s="1584"/>
      <c r="DB19" s="1584"/>
      <c r="DC19" s="1584"/>
    </row>
    <row r="20" x14ac:dyDescent="0.2">
      <c r="A20" s="1584"/>
      <c r="B20" s="2874" t="inlineStr">
        <is>
          <t>EN</t>
        </is>
      </c>
      <c r="C20" s="3393"/>
      <c r="D20" s="812">
        <f>IF(ISNUMBER(FIND("EN",B20)),IF(ISNUMBER(FIND("FCC",B20)),IF(ISNUMBER(FIND("ISED",B20)),CONCATENATE(Overview!$V$10,";",Overview!$S$11,";",Overview!$S$12),CONCATENATE(Overview!$V$10,";",Overview!$S$11)),IF(ISNUMBER(FIND("ISED",B20)),CONCATENATE(Overview!$V$10,";",Overview!$S$12),Overview!$V$10)),IF(ISNUMBER(FIND("FCC",B20)),IF(ISNUMBER(FIND("ISED",B20)),CONCATENATE(Overview!$S$11,";",Overview!$S$12),"IEEE Std 1528™"),Overview!$S$12))</f>
        <v/>
      </c>
      <c r="E20" s="812">
        <f>IF(ISNUMBER(FIND("EN",B20)),IF(ISNUMBER(FIND("FCC",B20)),IF(ISNUMBER(FIND("ISED",B20)),CONCATENATE(Overview!$AB$10,";",Overview!$Y$11,";",Overview!$Y$12),CONCATENATE(Overview!$AB$10,";",Overview!$Y$11)),IF(ISNUMBER(FIND("ISED",B20)),CONCATENATE(Overview!$AB$10,";",Overview!$Y$12),Overview!$AB$10)),IF(ISNUMBER(FIND("FCC",B20)),IF(ISNUMBER(FIND("ISED",B20)),CONCATENATE(Overview!$Y$11,";",Overview!$Y$12),"IEEE Std 1528™"),Overview!$Y$12))</f>
        <v/>
      </c>
      <c r="F20" s="3394" t="inlineStr">
        <is>
          <t>2.1</t>
        </is>
      </c>
      <c r="G20" s="2874">
        <f>Overview!$E$29</f>
        <v/>
      </c>
      <c r="H20" s="3395"/>
      <c r="I20" s="3396"/>
      <c r="J20" s="2874" t="inlineStr">
        <is>
          <t>GSM</t>
        </is>
      </c>
      <c r="K20" s="2874">
        <v>900</v>
      </c>
      <c r="L20" s="3396"/>
      <c r="M20" s="117"/>
      <c r="N20" s="117"/>
      <c r="O20" s="3397"/>
      <c r="P20" s="6061"/>
      <c r="Q20" s="3397"/>
      <c r="R20" s="3397"/>
      <c r="S20" s="117"/>
      <c r="T20" s="2875">
        <v>124</v>
      </c>
      <c r="U20" s="2875">
        <v>914.8</v>
      </c>
      <c r="V20" s="117"/>
      <c r="W20" s="3398"/>
      <c r="X20" s="2874">
        <v>1</v>
      </c>
      <c r="Y20" s="2837"/>
      <c r="Z20" s="2874">
        <v>5</v>
      </c>
      <c r="AA20" s="3396"/>
      <c r="AB20" s="3396"/>
      <c r="AC20" s="3396"/>
      <c r="AD20" s="3396"/>
      <c r="AE20" s="3396"/>
      <c r="AF20" s="3396"/>
      <c r="AG20" s="3399" t="inlineStr">
        <is>
          <t>N/A</t>
        </is>
      </c>
      <c r="AH20" s="2976"/>
      <c r="AI20" s="7160"/>
      <c r="AJ20" s="7182">
        <f>AI20+$CL$2</f>
        <v/>
      </c>
      <c r="AK20" s="7146"/>
      <c r="AL20" s="3396"/>
      <c r="AM20" s="117"/>
      <c r="AN20" s="117"/>
      <c r="AO20" s="117"/>
      <c r="AP20" s="117"/>
      <c r="AQ20" s="3400"/>
      <c r="AR20" s="117"/>
      <c r="AS20" s="117"/>
      <c r="AT20" s="3400"/>
      <c r="AU20" s="117"/>
      <c r="AV20" s="117"/>
      <c r="AW20" s="117"/>
      <c r="AX20" s="117"/>
      <c r="AY20" s="117"/>
      <c r="AZ20" s="117"/>
      <c r="BA20" s="117"/>
      <c r="BB20" s="117"/>
      <c r="BC20" s="117"/>
      <c r="BD20" s="117"/>
      <c r="BE20" s="7143">
        <f>MyTimestamp(AI20)</f>
        <v/>
      </c>
      <c r="BF20" s="2839">
        <v>60</v>
      </c>
      <c r="BG20" s="121">
        <f>BE20</f>
        <v/>
      </c>
      <c r="BH20" s="2839">
        <v>60</v>
      </c>
      <c r="BI20" s="2840" t="inlineStr">
        <is>
          <t>S/01</t>
        </is>
      </c>
      <c r="BJ20" s="117"/>
      <c r="BK20" s="120">
        <f>Overview!$E$7</f>
        <v/>
      </c>
      <c r="BL20" s="117"/>
      <c r="BM20" s="2840" t="inlineStr">
        <is>
          <t>ANT-SAR Conducted</t>
        </is>
      </c>
      <c r="BN20" s="812">
        <f>Overview!$P$153</f>
        <v/>
      </c>
      <c r="BO20" s="117"/>
      <c r="BP20" s="117"/>
      <c r="BQ20" s="115"/>
      <c r="BR20" s="1478" t="inlineStr">
        <is>
          <t>N/A</t>
        </is>
      </c>
      <c r="BS20" s="37"/>
      <c r="BT20" s="235"/>
      <c r="BU20" s="37"/>
      <c r="BV20" s="232" t="inlineStr">
        <is>
          <t>3º Max GSM:</t>
        </is>
      </c>
      <c r="BW20" s="227">
        <f>IF(COUNT(AI18:AI20)&lt;3,"",IF(AND(OR(BW18="Low",BW18="Mid"),OR(BW19="Low",BW19="Mid")),"High",IF(AND(OR(BW18="Low",BW18="High"),OR(BW19="Low",BW19="High")),"Mid","Low")))</f>
        <v/>
      </c>
      <c r="BX20" s="227">
        <f>IF(BW20="",T20,IF(BW20="Low",T18,IF(BW20="Mid",T19,T20)))</f>
        <v>124</v>
      </c>
      <c r="BY20" s="227">
        <f>IF(BW20="",U20,IF(BW20="Low",U18,IF(BW20="Mid",U19,U20)))</f>
        <v>914.8</v>
      </c>
      <c r="BZ20" s="227">
        <f>IF(BW20="","",IF(BW20="Low",AI18,IF(BW20="Mid",AI19,AI20)))</f>
        <v/>
      </c>
      <c r="CA20" s="1593"/>
      <c r="CB20" s="1593"/>
      <c r="CC20" s="1593"/>
      <c r="CD20" s="1593"/>
      <c r="CE20" s="1593"/>
      <c r="CF20" s="1593"/>
      <c r="CG20" s="1593"/>
      <c r="CH20" s="1548"/>
      <c r="CI20" s="1548"/>
      <c r="CJ20" s="1548"/>
      <c r="CK20" s="1548"/>
      <c r="CL20" s="1548"/>
      <c r="CM20" s="1548"/>
      <c r="CN20" s="1548"/>
      <c r="CO20" s="1548"/>
      <c r="CP20" s="1584"/>
      <c r="CQ20" s="1584"/>
      <c r="CR20" s="1584"/>
      <c r="CS20" s="1584"/>
      <c r="CT20" s="1584"/>
      <c r="CU20" s="1584"/>
      <c r="CV20" s="1584"/>
      <c r="CW20" s="1584"/>
      <c r="CX20" s="1584"/>
      <c r="CY20" s="1584"/>
      <c r="CZ20" s="1584"/>
      <c r="DA20" s="1584"/>
      <c r="DB20" s="1584"/>
      <c r="DC20" s="1584"/>
    </row>
    <row r="21" x14ac:dyDescent="0.2">
      <c r="A21" s="1584"/>
      <c r="B21" s="2870" t="inlineStr">
        <is>
          <t>EN</t>
        </is>
      </c>
      <c r="C21" s="3393"/>
      <c r="D21" s="812">
        <f>IF(ISNUMBER(FIND("EN",B21)),IF(ISNUMBER(FIND("FCC",B21)),IF(ISNUMBER(FIND("ISED",B21)),CONCATENATE(Overview!$V$10,";",Overview!$S$11,";",Overview!$S$12),CONCATENATE(Overview!$V$10,";",Overview!$S$11)),IF(ISNUMBER(FIND("ISED",B21)),CONCATENATE(Overview!$V$10,";",Overview!$S$12),Overview!$V$10)),IF(ISNUMBER(FIND("FCC",B21)),IF(ISNUMBER(FIND("ISED",B21)),CONCATENATE(Overview!$S$11,";",Overview!$S$12),"IEEE Std 1528™"),Overview!$S$12))</f>
        <v/>
      </c>
      <c r="E21" s="812">
        <f>IF(ISNUMBER(FIND("EN",B21)),IF(ISNUMBER(FIND("FCC",B21)),IF(ISNUMBER(FIND("ISED",B21)),CONCATENATE(Overview!$AB$10,";",Overview!$Y$11,";",Overview!$Y$12),CONCATENATE(Overview!$AB$10,";",Overview!$Y$11)),IF(ISNUMBER(FIND("ISED",B21)),CONCATENATE(Overview!$AB$10,";",Overview!$Y$12),Overview!$AB$10)),IF(ISNUMBER(FIND("FCC",B21)),IF(ISNUMBER(FIND("ISED",B21)),CONCATENATE(Overview!$Y$11,";",Overview!$Y$12),"IEEE Std 1528™"),Overview!$Y$12))</f>
        <v/>
      </c>
      <c r="F21" s="3394" t="inlineStr">
        <is>
          <t>2.1</t>
        </is>
      </c>
      <c r="G21" s="2870">
        <f>Overview!$E$30</f>
        <v/>
      </c>
      <c r="H21" s="3395"/>
      <c r="I21" s="3396"/>
      <c r="J21" s="2870" t="inlineStr">
        <is>
          <t>GSM</t>
        </is>
      </c>
      <c r="K21" s="2870">
        <v>900</v>
      </c>
      <c r="L21" s="3396"/>
      <c r="M21" s="117"/>
      <c r="N21" s="117"/>
      <c r="O21" s="3397"/>
      <c r="P21" s="6061"/>
      <c r="Q21" s="3397"/>
      <c r="R21" s="3397"/>
      <c r="S21" s="117"/>
      <c r="T21" s="2871">
        <v>975</v>
      </c>
      <c r="U21" s="2871">
        <v>880.2</v>
      </c>
      <c r="V21" s="117"/>
      <c r="W21" s="3398"/>
      <c r="X21" s="2870">
        <v>1</v>
      </c>
      <c r="Y21" s="2824"/>
      <c r="Z21" s="2870">
        <v>5</v>
      </c>
      <c r="AA21" s="3396"/>
      <c r="AB21" s="3396"/>
      <c r="AC21" s="3396"/>
      <c r="AD21" s="3396"/>
      <c r="AE21" s="3396"/>
      <c r="AF21" s="3396"/>
      <c r="AG21" s="3399" t="inlineStr">
        <is>
          <t>N/A</t>
        </is>
      </c>
      <c r="AH21" s="2964"/>
      <c r="AI21" s="7159"/>
      <c r="AJ21" s="7180">
        <f>AI21+$CL$2</f>
        <v/>
      </c>
      <c r="AK21" s="7146"/>
      <c r="AL21" s="3396"/>
      <c r="AM21" s="117"/>
      <c r="AN21" s="117"/>
      <c r="AO21" s="117"/>
      <c r="AP21" s="117"/>
      <c r="AQ21" s="3400"/>
      <c r="AR21" s="117"/>
      <c r="AS21" s="117"/>
      <c r="AT21" s="3400"/>
      <c r="AU21" s="117"/>
      <c r="AV21" s="117"/>
      <c r="AW21" s="117"/>
      <c r="AX21" s="117"/>
      <c r="AY21" s="117"/>
      <c r="AZ21" s="117"/>
      <c r="BA21" s="117"/>
      <c r="BB21" s="117"/>
      <c r="BC21" s="117"/>
      <c r="BD21" s="117"/>
      <c r="BE21" s="7145">
        <f>MyTimestamp(AI21)</f>
        <v/>
      </c>
      <c r="BF21" s="2825">
        <v>60</v>
      </c>
      <c r="BG21" s="121">
        <f>BE21</f>
        <v/>
      </c>
      <c r="BH21" s="2825">
        <v>60</v>
      </c>
      <c r="BI21" s="2845" t="inlineStr">
        <is>
          <t>S/01</t>
        </is>
      </c>
      <c r="BJ21" s="117"/>
      <c r="BK21" s="120">
        <f>Overview!$E$7</f>
        <v/>
      </c>
      <c r="BL21" s="117"/>
      <c r="BM21" s="2845" t="inlineStr">
        <is>
          <t>ANT-SAR Conducted</t>
        </is>
      </c>
      <c r="BN21" s="812">
        <f>Overview!$P$153</f>
        <v/>
      </c>
      <c r="BO21" s="117"/>
      <c r="BP21" s="117"/>
      <c r="BQ21" s="115"/>
      <c r="BR21" s="1478" t="inlineStr">
        <is>
          <t>N/A</t>
        </is>
      </c>
      <c r="BS21" s="37"/>
      <c r="BT21" s="234">
        <f>IF(COUNT(AI21:AI23)=0,"",MAX(AI21:AI23))</f>
        <v/>
      </c>
      <c r="BU21" s="37"/>
      <c r="BV21" s="230" t="inlineStr">
        <is>
          <t>1º Max GSM:</t>
        </is>
      </c>
      <c r="BW21" s="228">
        <f>IF(COUNT(AI21:AI23)=0,"",IF(MAX(AI21:AI23)=AI21,"Low",IF(MAX(AI21:AI23)=AI22,"Mid","High")))</f>
        <v/>
      </c>
      <c r="BX21" s="228">
        <f>IF(BW21="",T22,IF(BW21="Low",T21,IF(BW21="Mid",T22,T23)))</f>
        <v>37</v>
      </c>
      <c r="BY21" s="228">
        <f>IF(BW21="",U22,IF(BW21="Low",U21,IF(BW21="Mid",U22,U23)))</f>
        <v>897.4</v>
      </c>
      <c r="BZ21" s="228">
        <f>IF(BW21="","",IF(BW21="Low",AI21,IF(BW21="Mid",AI22,AI23)))</f>
        <v/>
      </c>
      <c r="CA21" s="1593"/>
      <c r="CB21" s="1593"/>
      <c r="CC21" s="1593"/>
      <c r="CD21" s="1593"/>
      <c r="CE21" s="1593"/>
      <c r="CF21" s="1593"/>
      <c r="CG21" s="1593"/>
      <c r="CH21" s="1548"/>
      <c r="CI21" s="1548"/>
      <c r="CJ21" s="1548"/>
      <c r="CK21" s="1548"/>
      <c r="CL21" s="1548"/>
      <c r="CM21" s="1548"/>
      <c r="CN21" s="1548"/>
      <c r="CO21" s="1548"/>
      <c r="CP21" s="1584"/>
      <c r="CQ21" s="1584"/>
      <c r="CR21" s="1584"/>
      <c r="CS21" s="1584"/>
      <c r="CT21" s="1584"/>
      <c r="CU21" s="1584"/>
      <c r="CV21" s="1584"/>
      <c r="CW21" s="1584"/>
      <c r="CX21" s="1584"/>
      <c r="CY21" s="1584"/>
      <c r="CZ21" s="1584"/>
      <c r="DA21" s="1584"/>
      <c r="DB21" s="1584"/>
      <c r="DC21" s="1584"/>
    </row>
    <row r="22" x14ac:dyDescent="0.2">
      <c r="A22" s="1584"/>
      <c r="B22" s="2872" t="inlineStr">
        <is>
          <t>EN</t>
        </is>
      </c>
      <c r="C22" s="3393"/>
      <c r="D22" s="812">
        <f>IF(ISNUMBER(FIND("EN",B22)),IF(ISNUMBER(FIND("FCC",B22)),IF(ISNUMBER(FIND("ISED",B22)),CONCATENATE(Overview!$V$10,";",Overview!$S$11,";",Overview!$S$12),CONCATENATE(Overview!$V$10,";",Overview!$S$11)),IF(ISNUMBER(FIND("ISED",B22)),CONCATENATE(Overview!$V$10,";",Overview!$S$12),Overview!$V$10)),IF(ISNUMBER(FIND("FCC",B22)),IF(ISNUMBER(FIND("ISED",B22)),CONCATENATE(Overview!$S$11,";",Overview!$S$12),"IEEE Std 1528™"),Overview!$S$12))</f>
        <v/>
      </c>
      <c r="E22" s="812">
        <f>IF(ISNUMBER(FIND("EN",B22)),IF(ISNUMBER(FIND("FCC",B22)),IF(ISNUMBER(FIND("ISED",B22)),CONCATENATE(Overview!$AB$10,";",Overview!$Y$11,";",Overview!$Y$12),CONCATENATE(Overview!$AB$10,";",Overview!$Y$11)),IF(ISNUMBER(FIND("ISED",B22)),CONCATENATE(Overview!$AB$10,";",Overview!$Y$12),Overview!$AB$10)),IF(ISNUMBER(FIND("FCC",B22)),IF(ISNUMBER(FIND("ISED",B22)),CONCATENATE(Overview!$Y$11,";",Overview!$Y$12),"IEEE Std 1528™"),Overview!$Y$12))</f>
        <v/>
      </c>
      <c r="F22" s="3394" t="inlineStr">
        <is>
          <t>2.1</t>
        </is>
      </c>
      <c r="G22" s="2872">
        <f>Overview!$E$30</f>
        <v/>
      </c>
      <c r="H22" s="3395"/>
      <c r="I22" s="3396"/>
      <c r="J22" s="2872" t="inlineStr">
        <is>
          <t>GSM</t>
        </is>
      </c>
      <c r="K22" s="2872">
        <v>900</v>
      </c>
      <c r="L22" s="3396"/>
      <c r="M22" s="117"/>
      <c r="N22" s="117"/>
      <c r="O22" s="3397"/>
      <c r="P22" s="6061"/>
      <c r="Q22" s="3397"/>
      <c r="R22" s="3397"/>
      <c r="S22" s="117"/>
      <c r="T22" s="2873">
        <v>37</v>
      </c>
      <c r="U22" s="2873">
        <v>897.4</v>
      </c>
      <c r="V22" s="117"/>
      <c r="W22" s="3398"/>
      <c r="X22" s="2872">
        <v>1</v>
      </c>
      <c r="Y22" s="2830"/>
      <c r="Z22" s="2872">
        <v>5</v>
      </c>
      <c r="AA22" s="3396"/>
      <c r="AB22" s="3396"/>
      <c r="AC22" s="3396"/>
      <c r="AD22" s="3396"/>
      <c r="AE22" s="3396"/>
      <c r="AF22" s="3396"/>
      <c r="AG22" s="3399" t="inlineStr">
        <is>
          <t>N/A</t>
        </is>
      </c>
      <c r="AH22" s="2970"/>
      <c r="AI22" s="7155"/>
      <c r="AJ22" s="7181">
        <f>AI22+$CL$2</f>
        <v/>
      </c>
      <c r="AK22" s="7146"/>
      <c r="AL22" s="3396"/>
      <c r="AM22" s="117"/>
      <c r="AN22" s="117"/>
      <c r="AO22" s="117"/>
      <c r="AP22" s="117"/>
      <c r="AQ22" s="3400"/>
      <c r="AR22" s="117"/>
      <c r="AS22" s="117"/>
      <c r="AT22" s="3400"/>
      <c r="AU22" s="117"/>
      <c r="AV22" s="117"/>
      <c r="AW22" s="117"/>
      <c r="AX22" s="117"/>
      <c r="AY22" s="117"/>
      <c r="AZ22" s="117"/>
      <c r="BA22" s="117"/>
      <c r="BB22" s="117"/>
      <c r="BC22" s="117"/>
      <c r="BD22" s="117"/>
      <c r="BE22" s="2831">
        <f>MyTimestamp(AI22)</f>
        <v/>
      </c>
      <c r="BF22" s="2832">
        <v>60</v>
      </c>
      <c r="BG22" s="121">
        <f>BE22</f>
        <v/>
      </c>
      <c r="BH22" s="2832">
        <v>60</v>
      </c>
      <c r="BI22" s="2833" t="inlineStr">
        <is>
          <t>S/01</t>
        </is>
      </c>
      <c r="BJ22" s="117"/>
      <c r="BK22" s="120">
        <f>Overview!$E$7</f>
        <v/>
      </c>
      <c r="BL22" s="117"/>
      <c r="BM22" s="2833" t="inlineStr">
        <is>
          <t>ANT-SAR Conducted</t>
        </is>
      </c>
      <c r="BN22" s="812">
        <f>Overview!$P$153</f>
        <v/>
      </c>
      <c r="BO22" s="117"/>
      <c r="BP22" s="117"/>
      <c r="BQ22" s="115"/>
      <c r="BR22" s="1478" t="inlineStr">
        <is>
          <t>N/A</t>
        </is>
      </c>
      <c r="BS22" s="37"/>
      <c r="BT22" s="234"/>
      <c r="BU22" s="37"/>
      <c r="BV22" s="231" t="inlineStr">
        <is>
          <t>2º Max GSM:</t>
        </is>
      </c>
      <c r="BW22" s="229">
        <f>IF(COUNT(AI21:AI23)&lt;2,"",IF(BW21="Low",IF(MAX(AI22:AI23)=AI22,"Mid","High"),IF(BW21="Mid",IF(MAX(AI21,AI23)=AI21,"Low","High"),IF(MAX(AI21:AI22)=AI21,"Low","Mid"))))</f>
        <v/>
      </c>
      <c r="BX22" s="229">
        <f>IF(BW22="",T21,IF(BW22="Low",T21,IF(BW22="Mid",T22,T23)))</f>
        <v>975</v>
      </c>
      <c r="BY22" s="229">
        <f>IF(BW22="",U21,IF(BW22="Low",U21,IF(BW22="Mid",U22,U23)))</f>
        <v>880.2</v>
      </c>
      <c r="BZ22" s="229">
        <f>IF(BW22="","",IF(BW22="Low",AI21,IF(BW22="Mid",AI22,AI23)))</f>
        <v/>
      </c>
      <c r="CA22" s="1593"/>
      <c r="CB22" s="1593"/>
      <c r="CC22" s="1593"/>
      <c r="CD22" s="1593"/>
      <c r="CE22" s="1593"/>
      <c r="CF22" s="1593"/>
      <c r="CG22" s="1593"/>
      <c r="CH22" s="1548"/>
      <c r="CI22" s="1548"/>
      <c r="CJ22" s="1548"/>
      <c r="CK22" s="1548"/>
      <c r="CL22" s="1548"/>
      <c r="CM22" s="1548"/>
      <c r="CN22" s="1548"/>
      <c r="CO22" s="1548"/>
      <c r="CP22" s="1584"/>
      <c r="CQ22" s="1584"/>
      <c r="CR22" s="1584"/>
      <c r="CS22" s="1584"/>
      <c r="CT22" s="1584"/>
      <c r="CU22" s="1584"/>
      <c r="CV22" s="1584"/>
      <c r="CW22" s="1584"/>
      <c r="CX22" s="1584"/>
      <c r="CY22" s="1584"/>
      <c r="CZ22" s="1584"/>
      <c r="DA22" s="1584"/>
      <c r="DB22" s="1584"/>
      <c r="DC22" s="1584"/>
    </row>
    <row r="23" x14ac:dyDescent="0.2">
      <c r="A23" s="1584"/>
      <c r="B23" s="2874" t="inlineStr">
        <is>
          <t>EN</t>
        </is>
      </c>
      <c r="C23" s="3393"/>
      <c r="D23" s="812">
        <f>IF(ISNUMBER(FIND("EN",B23)),IF(ISNUMBER(FIND("FCC",B23)),IF(ISNUMBER(FIND("ISED",B23)),CONCATENATE(Overview!$V$10,";",Overview!$S$11,";",Overview!$S$12),CONCATENATE(Overview!$V$10,";",Overview!$S$11)),IF(ISNUMBER(FIND("ISED",B23)),CONCATENATE(Overview!$V$10,";",Overview!$S$12),Overview!$V$10)),IF(ISNUMBER(FIND("FCC",B23)),IF(ISNUMBER(FIND("ISED",B23)),CONCATENATE(Overview!$S$11,";",Overview!$S$12),"IEEE Std 1528™"),Overview!$S$12))</f>
        <v/>
      </c>
      <c r="E23" s="812">
        <f>IF(ISNUMBER(FIND("EN",B23)),IF(ISNUMBER(FIND("FCC",B23)),IF(ISNUMBER(FIND("ISED",B23)),CONCATENATE(Overview!$AB$10,";",Overview!$Y$11,";",Overview!$Y$12),CONCATENATE(Overview!$AB$10,";",Overview!$Y$11)),IF(ISNUMBER(FIND("ISED",B23)),CONCATENATE(Overview!$AB$10,";",Overview!$Y$12),Overview!$AB$10)),IF(ISNUMBER(FIND("FCC",B23)),IF(ISNUMBER(FIND("ISED",B23)),CONCATENATE(Overview!$Y$11,";",Overview!$Y$12),"IEEE Std 1528™"),Overview!$Y$12))</f>
        <v/>
      </c>
      <c r="F23" s="3394" t="inlineStr">
        <is>
          <t>2.1</t>
        </is>
      </c>
      <c r="G23" s="2874">
        <f>Overview!$E$30</f>
        <v/>
      </c>
      <c r="H23" s="3395"/>
      <c r="I23" s="3396"/>
      <c r="J23" s="2874" t="inlineStr">
        <is>
          <t>GSM</t>
        </is>
      </c>
      <c r="K23" s="2874">
        <v>900</v>
      </c>
      <c r="L23" s="3396"/>
      <c r="M23" s="117"/>
      <c r="N23" s="117"/>
      <c r="O23" s="3397"/>
      <c r="P23" s="6061"/>
      <c r="Q23" s="3397"/>
      <c r="R23" s="3397"/>
      <c r="S23" s="117"/>
      <c r="T23" s="2875">
        <v>124</v>
      </c>
      <c r="U23" s="2875">
        <v>914.8</v>
      </c>
      <c r="V23" s="117"/>
      <c r="W23" s="3398"/>
      <c r="X23" s="2874">
        <v>1</v>
      </c>
      <c r="Y23" s="2837"/>
      <c r="Z23" s="2874">
        <v>5</v>
      </c>
      <c r="AA23" s="3396"/>
      <c r="AB23" s="3396"/>
      <c r="AC23" s="3396"/>
      <c r="AD23" s="3396"/>
      <c r="AE23" s="3396"/>
      <c r="AF23" s="3396"/>
      <c r="AG23" s="3399" t="inlineStr">
        <is>
          <t>N/A</t>
        </is>
      </c>
      <c r="AH23" s="2976"/>
      <c r="AI23" s="7160"/>
      <c r="AJ23" s="7182">
        <f>AI23+$CL$2</f>
        <v/>
      </c>
      <c r="AK23" s="7146"/>
      <c r="AL23" s="3396"/>
      <c r="AM23" s="117"/>
      <c r="AN23" s="117"/>
      <c r="AO23" s="117"/>
      <c r="AP23" s="117"/>
      <c r="AQ23" s="3400"/>
      <c r="AR23" s="117"/>
      <c r="AS23" s="117"/>
      <c r="AT23" s="3400"/>
      <c r="AU23" s="117"/>
      <c r="AV23" s="117"/>
      <c r="AW23" s="117"/>
      <c r="AX23" s="117"/>
      <c r="AY23" s="117"/>
      <c r="AZ23" s="117"/>
      <c r="BA23" s="117"/>
      <c r="BB23" s="117"/>
      <c r="BC23" s="117"/>
      <c r="BD23" s="117"/>
      <c r="BE23" s="7143">
        <f>MyTimestamp(AI23)</f>
        <v/>
      </c>
      <c r="BF23" s="2839">
        <v>60</v>
      </c>
      <c r="BG23" s="121">
        <f>BE23</f>
        <v/>
      </c>
      <c r="BH23" s="2839">
        <v>60</v>
      </c>
      <c r="BI23" s="2840" t="inlineStr">
        <is>
          <t>S/01</t>
        </is>
      </c>
      <c r="BJ23" s="117"/>
      <c r="BK23" s="120">
        <f>Overview!$E$7</f>
        <v/>
      </c>
      <c r="BL23" s="117"/>
      <c r="BM23" s="2840" t="inlineStr">
        <is>
          <t>ANT-SAR Conducted</t>
        </is>
      </c>
      <c r="BN23" s="812">
        <f>Overview!$P$153</f>
        <v/>
      </c>
      <c r="BO23" s="117"/>
      <c r="BP23" s="117"/>
      <c r="BQ23" s="115"/>
      <c r="BR23" s="1478" t="inlineStr">
        <is>
          <t>N/A</t>
        </is>
      </c>
      <c r="BS23" s="37"/>
      <c r="BT23" s="235"/>
      <c r="BU23" s="37"/>
      <c r="BV23" s="232" t="inlineStr">
        <is>
          <t>3º Max GSM:</t>
        </is>
      </c>
      <c r="BW23" s="227">
        <f>IF(COUNT(AI21:AI23)&lt;3,"",IF(AND(OR(BW21="Low",BW21="Mid"),OR(BW22="Low",BW22="Mid")),"High",IF(AND(OR(BW21="Low",BW21="High"),OR(BW22="Low",BW22="High")),"Mid","Low")))</f>
        <v/>
      </c>
      <c r="BX23" s="227">
        <f>IF(BW23="",T23,IF(BW23="Low",T21,IF(BW23="Mid",T22,T23)))</f>
        <v>124</v>
      </c>
      <c r="BY23" s="227">
        <f>IF(BW23="",U23,IF(BW23="Low",U21,IF(BW23="Mid",U22,U23)))</f>
        <v>914.8</v>
      </c>
      <c r="BZ23" s="227">
        <f>IF(BW23="","",IF(BW23="Low",AI21,IF(BW23="Mid",AI22,AI23)))</f>
        <v/>
      </c>
      <c r="CA23" s="1593"/>
      <c r="CB23" s="1593"/>
      <c r="CC23" s="1593"/>
      <c r="CD23" s="1593"/>
      <c r="CE23" s="1593"/>
      <c r="CF23" s="1593"/>
      <c r="CG23" s="1593"/>
      <c r="CH23" s="1548"/>
      <c r="CI23" s="1548"/>
      <c r="CJ23" s="1548"/>
      <c r="CK23" s="1548"/>
      <c r="CL23" s="1548"/>
      <c r="CM23" s="1548"/>
      <c r="CN23" s="1548"/>
      <c r="CO23" s="1548"/>
      <c r="CP23" s="1584"/>
      <c r="CQ23" s="1584"/>
      <c r="CR23" s="1584"/>
      <c r="CS23" s="1584"/>
      <c r="CT23" s="1584"/>
      <c r="CU23" s="1584"/>
      <c r="CV23" s="1584"/>
      <c r="CW23" s="1584"/>
      <c r="CX23" s="1584"/>
      <c r="CY23" s="1584"/>
      <c r="CZ23" s="1584"/>
      <c r="DA23" s="1584"/>
      <c r="DB23" s="1584"/>
      <c r="DC23" s="1584"/>
    </row>
    <row r="24" x14ac:dyDescent="0.2">
      <c r="A24" s="1584"/>
      <c r="B24" s="2870" t="inlineStr">
        <is>
          <t>EN</t>
        </is>
      </c>
      <c r="C24" s="3393"/>
      <c r="D24" s="812">
        <f>IF(ISNUMBER(FIND("EN",B24)),IF(ISNUMBER(FIND("FCC",B24)),IF(ISNUMBER(FIND("ISED",B24)),CONCATENATE(Overview!$V$10,";",Overview!$S$11,";",Overview!$S$12),CONCATENATE(Overview!$V$10,";",Overview!$S$11)),IF(ISNUMBER(FIND("ISED",B24)),CONCATENATE(Overview!$V$10,";",Overview!$S$12),Overview!$V$10)),IF(ISNUMBER(FIND("FCC",B24)),IF(ISNUMBER(FIND("ISED",B24)),CONCATENATE(Overview!$S$11,";",Overview!$S$12),"IEEE Std 1528™"),Overview!$S$12))</f>
        <v/>
      </c>
      <c r="E24" s="812">
        <f>IF(ISNUMBER(FIND("EN",B24)),IF(ISNUMBER(FIND("FCC",B24)),IF(ISNUMBER(FIND("ISED",B24)),CONCATENATE(Overview!$AB$10,";",Overview!$Y$11,";",Overview!$Y$12),CONCATENATE(Overview!$AB$10,";",Overview!$Y$11)),IF(ISNUMBER(FIND("ISED",B24)),CONCATENATE(Overview!$AB$10,";",Overview!$Y$12),Overview!$AB$10)),IF(ISNUMBER(FIND("FCC",B24)),IF(ISNUMBER(FIND("ISED",B24)),CONCATENATE(Overview!$Y$11,";",Overview!$Y$12),"IEEE Std 1528™"),Overview!$Y$12))</f>
        <v/>
      </c>
      <c r="F24" s="3394" t="inlineStr">
        <is>
          <t>2.1</t>
        </is>
      </c>
      <c r="G24" s="2870">
        <f>Overview!$E$31</f>
        <v/>
      </c>
      <c r="H24" s="3395"/>
      <c r="I24" s="3396"/>
      <c r="J24" s="2870" t="inlineStr">
        <is>
          <t>GSM</t>
        </is>
      </c>
      <c r="K24" s="2870">
        <v>900</v>
      </c>
      <c r="L24" s="3396"/>
      <c r="M24" s="117"/>
      <c r="N24" s="117"/>
      <c r="O24" s="3397"/>
      <c r="P24" s="6061"/>
      <c r="Q24" s="3397"/>
      <c r="R24" s="3397"/>
      <c r="S24" s="117"/>
      <c r="T24" s="2871">
        <v>975</v>
      </c>
      <c r="U24" s="2871">
        <v>880.2</v>
      </c>
      <c r="V24" s="117"/>
      <c r="W24" s="3398"/>
      <c r="X24" s="2870">
        <v>1</v>
      </c>
      <c r="Y24" s="2824"/>
      <c r="Z24" s="2870">
        <v>5</v>
      </c>
      <c r="AA24" s="3396"/>
      <c r="AB24" s="3396"/>
      <c r="AC24" s="3396"/>
      <c r="AD24" s="3396"/>
      <c r="AE24" s="3396"/>
      <c r="AF24" s="3396"/>
      <c r="AG24" s="3399" t="inlineStr">
        <is>
          <t>N/A</t>
        </is>
      </c>
      <c r="AH24" s="2964"/>
      <c r="AI24" s="7159"/>
      <c r="AJ24" s="7180">
        <f>AI24+$CL$2</f>
        <v/>
      </c>
      <c r="AK24" s="7146"/>
      <c r="AL24" s="3396"/>
      <c r="AM24" s="117"/>
      <c r="AN24" s="117"/>
      <c r="AO24" s="117"/>
      <c r="AP24" s="117"/>
      <c r="AQ24" s="3400"/>
      <c r="AR24" s="117"/>
      <c r="AS24" s="117"/>
      <c r="AT24" s="3400"/>
      <c r="AU24" s="117"/>
      <c r="AV24" s="117"/>
      <c r="AW24" s="117"/>
      <c r="AX24" s="117"/>
      <c r="AY24" s="117"/>
      <c r="AZ24" s="117"/>
      <c r="BA24" s="117"/>
      <c r="BB24" s="117"/>
      <c r="BC24" s="117"/>
      <c r="BD24" s="117"/>
      <c r="BE24" s="7145">
        <f>MyTimestamp(AI24)</f>
        <v/>
      </c>
      <c r="BF24" s="2825">
        <v>60</v>
      </c>
      <c r="BG24" s="121">
        <f>BE24</f>
        <v/>
      </c>
      <c r="BH24" s="2825">
        <v>60</v>
      </c>
      <c r="BI24" s="2845" t="inlineStr">
        <is>
          <t>S/01</t>
        </is>
      </c>
      <c r="BJ24" s="117"/>
      <c r="BK24" s="120">
        <f>Overview!$E$7</f>
        <v/>
      </c>
      <c r="BL24" s="117"/>
      <c r="BM24" s="2845" t="inlineStr">
        <is>
          <t>ANT-SAR Conducted</t>
        </is>
      </c>
      <c r="BN24" s="812">
        <f>Overview!$P$153</f>
        <v/>
      </c>
      <c r="BO24" s="117"/>
      <c r="BP24" s="117"/>
      <c r="BQ24" s="115"/>
      <c r="BR24" s="1478" t="inlineStr">
        <is>
          <t>N/A</t>
        </is>
      </c>
      <c r="BS24" s="37"/>
      <c r="BT24" s="234">
        <f>IF(COUNT(AI24:AI26)=0,"",MAX(AI24:AI26))</f>
        <v/>
      </c>
      <c r="BU24" s="37"/>
      <c r="BV24" s="230" t="inlineStr">
        <is>
          <t>1º Max GSM:</t>
        </is>
      </c>
      <c r="BW24" s="228">
        <f>IF(COUNT(AI24:AI26)=0,"",IF(MAX(AI24:AI26)=AI24,"Low",IF(MAX(AI24:AI26)=AI25,"Mid","High")))</f>
        <v/>
      </c>
      <c r="BX24" s="228">
        <f>IF(BW24="",T25,IF(BW24="Low",T24,IF(BW24="Mid",T25,T26)))</f>
        <v>37</v>
      </c>
      <c r="BY24" s="228">
        <f>IF(BW24="",U25,IF(BW24="Low",U24,IF(BW24="Mid",U25,U26)))</f>
        <v>897.4</v>
      </c>
      <c r="BZ24" s="228">
        <f>IF(BW24="","",IF(BW24="Low",AI24,IF(BW24="Mid",AI25,AI26)))</f>
        <v/>
      </c>
      <c r="CA24" s="1593"/>
      <c r="CB24" s="1593"/>
      <c r="CC24" s="1593"/>
      <c r="CD24" s="1593"/>
      <c r="CE24" s="1593"/>
      <c r="CF24" s="1593"/>
      <c r="CG24" s="1593"/>
      <c r="CH24" s="1603"/>
      <c r="CI24" s="1548"/>
      <c r="CJ24" s="1548"/>
      <c r="CK24" s="1548"/>
      <c r="CL24" s="1593"/>
      <c r="CM24" s="1603"/>
      <c r="CN24" s="1548"/>
      <c r="CO24" s="1548"/>
      <c r="CP24" s="1584"/>
      <c r="CQ24" s="1584"/>
      <c r="CR24" s="1584"/>
      <c r="CS24" s="1584"/>
      <c r="CT24" s="1584"/>
      <c r="CU24" s="1584"/>
      <c r="CV24" s="1584"/>
      <c r="CW24" s="1584"/>
      <c r="CX24" s="1584"/>
      <c r="CY24" s="1584"/>
      <c r="CZ24" s="1584"/>
      <c r="DA24" s="1584"/>
      <c r="DB24" s="1584"/>
      <c r="DC24" s="1584"/>
    </row>
    <row r="25" x14ac:dyDescent="0.2">
      <c r="A25" s="1584"/>
      <c r="B25" s="2872" t="inlineStr">
        <is>
          <t>EN</t>
        </is>
      </c>
      <c r="C25" s="3393"/>
      <c r="D25" s="812">
        <f>IF(ISNUMBER(FIND("EN",B25)),IF(ISNUMBER(FIND("FCC",B25)),IF(ISNUMBER(FIND("ISED",B25)),CONCATENATE(Overview!$V$10,";",Overview!$S$11,";",Overview!$S$12),CONCATENATE(Overview!$V$10,";",Overview!$S$11)),IF(ISNUMBER(FIND("ISED",B25)),CONCATENATE(Overview!$V$10,";",Overview!$S$12),Overview!$V$10)),IF(ISNUMBER(FIND("FCC",B25)),IF(ISNUMBER(FIND("ISED",B25)),CONCATENATE(Overview!$S$11,";",Overview!$S$12),"IEEE Std 1528™"),Overview!$S$12))</f>
        <v/>
      </c>
      <c r="E25" s="812">
        <f>IF(ISNUMBER(FIND("EN",B25)),IF(ISNUMBER(FIND("FCC",B25)),IF(ISNUMBER(FIND("ISED",B25)),CONCATENATE(Overview!$AB$10,";",Overview!$Y$11,";",Overview!$Y$12),CONCATENATE(Overview!$AB$10,";",Overview!$Y$11)),IF(ISNUMBER(FIND("ISED",B25)),CONCATENATE(Overview!$AB$10,";",Overview!$Y$12),Overview!$AB$10)),IF(ISNUMBER(FIND("FCC",B25)),IF(ISNUMBER(FIND("ISED",B25)),CONCATENATE(Overview!$Y$11,";",Overview!$Y$12),"IEEE Std 1528™"),Overview!$Y$12))</f>
        <v/>
      </c>
      <c r="F25" s="3394" t="inlineStr">
        <is>
          <t>2.1</t>
        </is>
      </c>
      <c r="G25" s="2872">
        <f>Overview!$E$31</f>
        <v/>
      </c>
      <c r="H25" s="3395"/>
      <c r="I25" s="3396"/>
      <c r="J25" s="2872" t="inlineStr">
        <is>
          <t>GSM</t>
        </is>
      </c>
      <c r="K25" s="2872">
        <v>900</v>
      </c>
      <c r="L25" s="3396"/>
      <c r="M25" s="117"/>
      <c r="N25" s="117"/>
      <c r="O25" s="3397"/>
      <c r="P25" s="6061"/>
      <c r="Q25" s="3397"/>
      <c r="R25" s="3397"/>
      <c r="S25" s="117"/>
      <c r="T25" s="2873">
        <v>37</v>
      </c>
      <c r="U25" s="2873">
        <v>897.4</v>
      </c>
      <c r="V25" s="117"/>
      <c r="W25" s="3398"/>
      <c r="X25" s="2872">
        <v>1</v>
      </c>
      <c r="Y25" s="2830"/>
      <c r="Z25" s="2872">
        <v>5</v>
      </c>
      <c r="AA25" s="3396"/>
      <c r="AB25" s="3396"/>
      <c r="AC25" s="3396"/>
      <c r="AD25" s="3396"/>
      <c r="AE25" s="3396"/>
      <c r="AF25" s="3396"/>
      <c r="AG25" s="3399" t="inlineStr">
        <is>
          <t>N/A</t>
        </is>
      </c>
      <c r="AH25" s="2970"/>
      <c r="AI25" s="7155"/>
      <c r="AJ25" s="7181">
        <f>AI25+$CL$2</f>
        <v/>
      </c>
      <c r="AK25" s="7146"/>
      <c r="AL25" s="3396"/>
      <c r="AM25" s="117"/>
      <c r="AN25" s="117"/>
      <c r="AO25" s="117"/>
      <c r="AP25" s="117"/>
      <c r="AQ25" s="3400"/>
      <c r="AR25" s="117"/>
      <c r="AS25" s="117"/>
      <c r="AT25" s="3400"/>
      <c r="AU25" s="117"/>
      <c r="AV25" s="117"/>
      <c r="AW25" s="117"/>
      <c r="AX25" s="117"/>
      <c r="AY25" s="117"/>
      <c r="AZ25" s="117"/>
      <c r="BA25" s="117"/>
      <c r="BB25" s="117"/>
      <c r="BC25" s="117"/>
      <c r="BD25" s="117"/>
      <c r="BE25" s="2831">
        <f>MyTimestamp(AI25)</f>
        <v/>
      </c>
      <c r="BF25" s="2832">
        <v>60</v>
      </c>
      <c r="BG25" s="121">
        <f>BE25</f>
        <v/>
      </c>
      <c r="BH25" s="2832">
        <v>60</v>
      </c>
      <c r="BI25" s="2833" t="inlineStr">
        <is>
          <t>S/01</t>
        </is>
      </c>
      <c r="BJ25" s="117"/>
      <c r="BK25" s="120">
        <f>Overview!$E$7</f>
        <v/>
      </c>
      <c r="BL25" s="117"/>
      <c r="BM25" s="2833" t="inlineStr">
        <is>
          <t>ANT-SAR Conducted</t>
        </is>
      </c>
      <c r="BN25" s="812">
        <f>Overview!$P$153</f>
        <v/>
      </c>
      <c r="BO25" s="117"/>
      <c r="BP25" s="117"/>
      <c r="BQ25" s="115"/>
      <c r="BR25" s="1478" t="inlineStr">
        <is>
          <t>N/A</t>
        </is>
      </c>
      <c r="BS25" s="37"/>
      <c r="BT25" s="234"/>
      <c r="BU25" s="37"/>
      <c r="BV25" s="231" t="inlineStr">
        <is>
          <t>2º Max GSM:</t>
        </is>
      </c>
      <c r="BW25" s="229">
        <f>IF(COUNT(AI24:AI26)&lt;2,"",IF(BW24="Low",IF(MAX(AI25:AI26)=AI25,"Mid","High"),IF(BW24="Mid",IF(MAX(AI24,AI26)=AI24,"Low","High"),IF(MAX(AI24:AI25)=AI24,"Low","Mid"))))</f>
        <v/>
      </c>
      <c r="BX25" s="229">
        <f>IF(BW25="",T24,IF(BW25="Low",T24,IF(BW25="Mid",T25,T26)))</f>
        <v>975</v>
      </c>
      <c r="BY25" s="229">
        <f>IF(BW25="",U24,IF(BW25="Low",U24,IF(BW25="Mid",U25,U26)))</f>
        <v>880.2</v>
      </c>
      <c r="BZ25" s="229">
        <f>IF(BW25="","",IF(BW25="Low",AI24,IF(BW25="Mid",AI25,AI26)))</f>
        <v/>
      </c>
      <c r="CA25" s="1593"/>
      <c r="CB25" s="1593"/>
      <c r="CC25" s="1593"/>
      <c r="CD25" s="1593"/>
      <c r="CE25" s="1593"/>
      <c r="CF25" s="1593"/>
      <c r="CG25" s="1593"/>
      <c r="CH25" s="1603"/>
      <c r="CI25" s="1548"/>
      <c r="CJ25" s="1548"/>
      <c r="CK25" s="1548"/>
      <c r="CL25" s="1593"/>
      <c r="CM25" s="1603"/>
      <c r="CN25" s="1548"/>
      <c r="CO25" s="1548"/>
      <c r="CP25" s="1584"/>
      <c r="CQ25" s="1584"/>
      <c r="CR25" s="1584"/>
      <c r="CS25" s="1584"/>
      <c r="CT25" s="1584"/>
      <c r="CU25" s="1584"/>
      <c r="CV25" s="1584"/>
      <c r="CW25" s="1584"/>
      <c r="CX25" s="1584"/>
      <c r="CY25" s="1584"/>
      <c r="CZ25" s="1584"/>
      <c r="DA25" s="1584"/>
      <c r="DB25" s="1584"/>
      <c r="DC25" s="1584"/>
    </row>
    <row r="26" x14ac:dyDescent="0.2">
      <c r="A26" s="1584"/>
      <c r="B26" s="2874" t="inlineStr">
        <is>
          <t>EN</t>
        </is>
      </c>
      <c r="C26" s="3393"/>
      <c r="D26" s="812">
        <f>IF(ISNUMBER(FIND("EN",B26)),IF(ISNUMBER(FIND("FCC",B26)),IF(ISNUMBER(FIND("ISED",B26)),CONCATENATE(Overview!$V$10,";",Overview!$S$11,";",Overview!$S$12),CONCATENATE(Overview!$V$10,";",Overview!$S$11)),IF(ISNUMBER(FIND("ISED",B26)),CONCATENATE(Overview!$V$10,";",Overview!$S$12),Overview!$V$10)),IF(ISNUMBER(FIND("FCC",B26)),IF(ISNUMBER(FIND("ISED",B26)),CONCATENATE(Overview!$S$11,";",Overview!$S$12),"IEEE Std 1528™"),Overview!$S$12))</f>
        <v/>
      </c>
      <c r="E26" s="812">
        <f>IF(ISNUMBER(FIND("EN",B26)),IF(ISNUMBER(FIND("FCC",B26)),IF(ISNUMBER(FIND("ISED",B26)),CONCATENATE(Overview!$AB$10,";",Overview!$Y$11,";",Overview!$Y$12),CONCATENATE(Overview!$AB$10,";",Overview!$Y$11)),IF(ISNUMBER(FIND("ISED",B26)),CONCATENATE(Overview!$AB$10,";",Overview!$Y$12),Overview!$AB$10)),IF(ISNUMBER(FIND("FCC",B26)),IF(ISNUMBER(FIND("ISED",B26)),CONCATENATE(Overview!$Y$11,";",Overview!$Y$12),"IEEE Std 1528™"),Overview!$Y$12))</f>
        <v/>
      </c>
      <c r="F26" s="3394" t="inlineStr">
        <is>
          <t>2.1</t>
        </is>
      </c>
      <c r="G26" s="2874">
        <f>Overview!$E$31</f>
        <v/>
      </c>
      <c r="H26" s="3395"/>
      <c r="I26" s="3396"/>
      <c r="J26" s="2874" t="inlineStr">
        <is>
          <t>GSM</t>
        </is>
      </c>
      <c r="K26" s="2874">
        <v>900</v>
      </c>
      <c r="L26" s="3396"/>
      <c r="M26" s="117"/>
      <c r="N26" s="117"/>
      <c r="O26" s="3397"/>
      <c r="P26" s="6061"/>
      <c r="Q26" s="3397"/>
      <c r="R26" s="3397"/>
      <c r="S26" s="117"/>
      <c r="T26" s="2875">
        <v>124</v>
      </c>
      <c r="U26" s="2875">
        <v>914.8</v>
      </c>
      <c r="V26" s="117"/>
      <c r="W26" s="3398"/>
      <c r="X26" s="2874">
        <v>1</v>
      </c>
      <c r="Y26" s="2837"/>
      <c r="Z26" s="2874">
        <v>5</v>
      </c>
      <c r="AA26" s="3396"/>
      <c r="AB26" s="3396"/>
      <c r="AC26" s="3396"/>
      <c r="AD26" s="3396"/>
      <c r="AE26" s="3396"/>
      <c r="AF26" s="3396"/>
      <c r="AG26" s="3399" t="inlineStr">
        <is>
          <t>N/A</t>
        </is>
      </c>
      <c r="AH26" s="2976"/>
      <c r="AI26" s="7160"/>
      <c r="AJ26" s="7182">
        <f>AI26+$CL$2</f>
        <v/>
      </c>
      <c r="AK26" s="7146"/>
      <c r="AL26" s="3396"/>
      <c r="AM26" s="117"/>
      <c r="AN26" s="117"/>
      <c r="AO26" s="117"/>
      <c r="AP26" s="117"/>
      <c r="AQ26" s="3400"/>
      <c r="AR26" s="117"/>
      <c r="AS26" s="117"/>
      <c r="AT26" s="3400"/>
      <c r="AU26" s="117"/>
      <c r="AV26" s="117"/>
      <c r="AW26" s="117"/>
      <c r="AX26" s="117"/>
      <c r="AY26" s="117"/>
      <c r="AZ26" s="117"/>
      <c r="BA26" s="117"/>
      <c r="BB26" s="117"/>
      <c r="BC26" s="117"/>
      <c r="BD26" s="117"/>
      <c r="BE26" s="7143">
        <f>MyTimestamp(AI26)</f>
        <v/>
      </c>
      <c r="BF26" s="2839">
        <v>60</v>
      </c>
      <c r="BG26" s="121">
        <f>BE26</f>
        <v/>
      </c>
      <c r="BH26" s="2839">
        <v>60</v>
      </c>
      <c r="BI26" s="2840" t="inlineStr">
        <is>
          <t>S/01</t>
        </is>
      </c>
      <c r="BJ26" s="117"/>
      <c r="BK26" s="120">
        <f>Overview!$E$7</f>
        <v/>
      </c>
      <c r="BL26" s="117"/>
      <c r="BM26" s="2840" t="inlineStr">
        <is>
          <t>ANT-SAR Conducted</t>
        </is>
      </c>
      <c r="BN26" s="812">
        <f>Overview!$P$153</f>
        <v/>
      </c>
      <c r="BO26" s="117"/>
      <c r="BP26" s="117"/>
      <c r="BQ26" s="115"/>
      <c r="BR26" s="1478" t="inlineStr">
        <is>
          <t>N/A</t>
        </is>
      </c>
      <c r="BS26" s="37"/>
      <c r="BT26" s="235"/>
      <c r="BU26" s="37"/>
      <c r="BV26" s="232" t="inlineStr">
        <is>
          <t>3º Max GSM:</t>
        </is>
      </c>
      <c r="BW26" s="227">
        <f>IF(COUNT(AI24:AI26)&lt;3,"",IF(AND(OR(BW24="Low",BW24="Mid"),OR(BW25="Low",BW25="Mid")),"High",IF(AND(OR(BW24="Low",BW24="High"),OR(BW25="Low",BW25="High")),"Mid","Low")))</f>
        <v/>
      </c>
      <c r="BX26" s="227">
        <f>IF(BW26="",T26,IF(BW26="Low",T24,IF(BW26="Mid",T25,T26)))</f>
        <v>124</v>
      </c>
      <c r="BY26" s="227">
        <f>IF(BW26="",U26,IF(BW26="Low",U24,IF(BW26="Mid",U25,U26)))</f>
        <v>914.8</v>
      </c>
      <c r="BZ26" s="227">
        <f>IF(BW26="","",IF(BW26="Low",AI24,IF(BW26="Mid",AI25,AI26)))</f>
        <v/>
      </c>
      <c r="CA26" s="1593"/>
      <c r="CB26" s="1593"/>
      <c r="CC26" s="1593"/>
      <c r="CD26" s="1593"/>
      <c r="CE26" s="1593"/>
      <c r="CF26" s="1593"/>
      <c r="CG26" s="1593"/>
      <c r="CH26" s="1603"/>
      <c r="CI26" s="1548"/>
      <c r="CJ26" s="1548"/>
      <c r="CK26" s="1548"/>
      <c r="CL26" s="1593"/>
      <c r="CM26" s="1603"/>
      <c r="CN26" s="1548"/>
      <c r="CO26" s="1548"/>
      <c r="CP26" s="1584"/>
      <c r="CQ26" s="1584"/>
      <c r="CR26" s="1584"/>
      <c r="CS26" s="1584"/>
      <c r="CT26" s="1584"/>
      <c r="CU26" s="1584"/>
      <c r="CV26" s="1584"/>
      <c r="CW26" s="1584"/>
      <c r="CX26" s="1584"/>
      <c r="CY26" s="1584"/>
      <c r="CZ26" s="1584"/>
      <c r="DA26" s="1584"/>
      <c r="DB26" s="1584"/>
      <c r="DC26" s="1584"/>
    </row>
    <row r="27" x14ac:dyDescent="0.2">
      <c r="A27" s="1584"/>
      <c r="B27" s="2896" t="inlineStr">
        <is>
          <t>EN</t>
        </is>
      </c>
      <c r="C27" s="3393"/>
      <c r="D27" s="812">
        <f>IF(ISNUMBER(FIND("EN",B27)),IF(ISNUMBER(FIND("FCC",B27)),IF(ISNUMBER(FIND("ISED",B27)),CONCATENATE(Overview!$V$10,";",Overview!$S$11,";",Overview!$S$12),CONCATENATE(Overview!$V$10,";",Overview!$S$11)),IF(ISNUMBER(FIND("ISED",B27)),CONCATENATE(Overview!$V$10,";",Overview!$S$12),Overview!$V$10)),IF(ISNUMBER(FIND("FCC",B27)),IF(ISNUMBER(FIND("ISED",B27)),CONCATENATE(Overview!$S$11,";",Overview!$S$12),"IEEE Std 1528™"),Overview!$S$12))</f>
        <v/>
      </c>
      <c r="E27" s="812">
        <f>IF(ISNUMBER(FIND("EN",B27)),IF(ISNUMBER(FIND("FCC",B27)),IF(ISNUMBER(FIND("ISED",B27)),CONCATENATE(Overview!$AB$10,";",Overview!$Y$11,";",Overview!$Y$12),CONCATENATE(Overview!$AB$10,";",Overview!$Y$11)),IF(ISNUMBER(FIND("ISED",B27)),CONCATENATE(Overview!$AB$10,";",Overview!$Y$12),Overview!$AB$10)),IF(ISNUMBER(FIND("FCC",B27)),IF(ISNUMBER(FIND("ISED",B27)),CONCATENATE(Overview!$Y$11,";",Overview!$Y$12),"IEEE Std 1528™"),Overview!$Y$12))</f>
        <v/>
      </c>
      <c r="F27" s="3394" t="inlineStr">
        <is>
          <t>2.1</t>
        </is>
      </c>
      <c r="G27" s="2897">
        <f>Overview!$E$28</f>
        <v/>
      </c>
      <c r="H27" s="3395"/>
      <c r="I27" s="3396"/>
      <c r="J27" s="2896" t="inlineStr">
        <is>
          <t>GSM</t>
        </is>
      </c>
      <c r="K27" s="2897">
        <v>1800</v>
      </c>
      <c r="L27" s="3396"/>
      <c r="M27" s="117"/>
      <c r="N27" s="117"/>
      <c r="O27" s="3397"/>
      <c r="P27" s="6061"/>
      <c r="Q27" s="3397"/>
      <c r="R27" s="3397"/>
      <c r="S27" s="117"/>
      <c r="T27" s="2898">
        <v>512</v>
      </c>
      <c r="U27" s="2898">
        <v>1710.2</v>
      </c>
      <c r="V27" s="117"/>
      <c r="W27" s="3398"/>
      <c r="X27" s="2897">
        <v>1</v>
      </c>
      <c r="Y27" s="2824"/>
      <c r="Z27" s="2897">
        <v>0</v>
      </c>
      <c r="AA27" s="3396"/>
      <c r="AB27" s="3396"/>
      <c r="AC27" s="3396"/>
      <c r="AD27" s="3396"/>
      <c r="AE27" s="3396"/>
      <c r="AF27" s="3396"/>
      <c r="AG27" s="3399" t="inlineStr">
        <is>
          <t>N/A</t>
        </is>
      </c>
      <c r="AH27" s="2964"/>
      <c r="AI27" s="7157"/>
      <c r="AJ27" s="7189">
        <f>AI27+$CL$2</f>
        <v/>
      </c>
      <c r="AK27" s="7146"/>
      <c r="AL27" s="3396"/>
      <c r="AM27" s="117"/>
      <c r="AN27" s="117"/>
      <c r="AO27" s="117"/>
      <c r="AP27" s="117"/>
      <c r="AQ27" s="3400"/>
      <c r="AR27" s="117"/>
      <c r="AS27" s="117"/>
      <c r="AT27" s="3400"/>
      <c r="AU27" s="117"/>
      <c r="AV27" s="117"/>
      <c r="AW27" s="117"/>
      <c r="AX27" s="117"/>
      <c r="AY27" s="117"/>
      <c r="AZ27" s="117"/>
      <c r="BA27" s="117"/>
      <c r="BB27" s="117"/>
      <c r="BC27" s="117"/>
      <c r="BD27" s="117"/>
      <c r="BE27" s="6942">
        <f>MyTimestamp(AI27)</f>
        <v/>
      </c>
      <c r="BF27" s="2825">
        <v>60</v>
      </c>
      <c r="BG27" s="121">
        <f>BE27</f>
        <v/>
      </c>
      <c r="BH27" s="2825">
        <v>60</v>
      </c>
      <c r="BI27" s="2845" t="inlineStr">
        <is>
          <t>S/01</t>
        </is>
      </c>
      <c r="BJ27" s="117"/>
      <c r="BK27" s="120">
        <f>Overview!$E$7</f>
        <v/>
      </c>
      <c r="BL27" s="117"/>
      <c r="BM27" s="2845" t="inlineStr">
        <is>
          <t>ANT-SAR Conducted</t>
        </is>
      </c>
      <c r="BN27" s="812">
        <f>Overview!$P$153</f>
        <v/>
      </c>
      <c r="BO27" s="117"/>
      <c r="BP27" s="117"/>
      <c r="BQ27" s="115"/>
      <c r="BR27" s="1478" t="inlineStr">
        <is>
          <t>N/A</t>
        </is>
      </c>
      <c r="BS27" s="37"/>
      <c r="BT27" s="234">
        <f>IF(COUNT(AI27:AI29)=0,"",MAX(AI27:AI29))</f>
        <v/>
      </c>
      <c r="BU27" s="37"/>
      <c r="BV27" s="230" t="inlineStr">
        <is>
          <t>1º Max GSM:</t>
        </is>
      </c>
      <c r="BW27" s="228">
        <f>IF(COUNT(AI27:AI29)=0,"",IF(MAX(AI27:AI29)=AI27,"Low",IF(MAX(AI27:AI29)=AI28,"Mid","High")))</f>
        <v/>
      </c>
      <c r="BX27" s="228">
        <f>IF(BW27="",T28,IF(BW27="Low",T27,IF(BW27="Mid",T28,T29)))</f>
        <v>698</v>
      </c>
      <c r="BY27" s="228">
        <f>IF(BW27="",U28,IF(BW27="Low",U27,IF(BW27="Mid",U28,U29)))</f>
        <v>1747.4</v>
      </c>
      <c r="BZ27" s="228">
        <f>IF(BW27="","",IF(BW27="Low",AI27,IF(BW27="Mid",AI28,AI29)))</f>
        <v/>
      </c>
      <c r="CA27" s="1593"/>
      <c r="CB27" s="1593"/>
      <c r="CC27" s="1593"/>
      <c r="CD27" s="1593"/>
      <c r="CE27" s="1593"/>
      <c r="CF27" s="1593"/>
      <c r="CG27" s="1593"/>
      <c r="CH27" s="1593"/>
      <c r="CI27" s="1593"/>
      <c r="CJ27" s="1593"/>
      <c r="CK27" s="1593"/>
      <c r="CL27" s="1593"/>
      <c r="CM27" s="1603"/>
      <c r="CN27" s="1603"/>
      <c r="CO27" s="1603"/>
      <c r="CP27" s="1584"/>
      <c r="CQ27" s="1584"/>
      <c r="CR27" s="1584"/>
      <c r="CS27" s="1584"/>
      <c r="CT27" s="1584"/>
      <c r="CU27" s="1584"/>
      <c r="CV27" s="1584"/>
      <c r="CW27" s="1584"/>
      <c r="CX27" s="1584"/>
      <c r="CY27" s="1584"/>
      <c r="CZ27" s="1584"/>
      <c r="DA27" s="1584"/>
      <c r="DB27" s="1584"/>
      <c r="DC27" s="1584"/>
    </row>
    <row r="28" customHeight="1" ht="12.6" x14ac:dyDescent="0.2">
      <c r="A28" s="1584"/>
      <c r="B28" s="2899" t="inlineStr">
        <is>
          <t>EN</t>
        </is>
      </c>
      <c r="C28" s="3393"/>
      <c r="D28" s="812">
        <f>IF(ISNUMBER(FIND("EN",B28)),IF(ISNUMBER(FIND("FCC",B28)),IF(ISNUMBER(FIND("ISED",B28)),CONCATENATE(Overview!$V$10,";",Overview!$S$11,";",Overview!$S$12),CONCATENATE(Overview!$V$10,";",Overview!$S$11)),IF(ISNUMBER(FIND("ISED",B28)),CONCATENATE(Overview!$V$10,";",Overview!$S$12),Overview!$V$10)),IF(ISNUMBER(FIND("FCC",B28)),IF(ISNUMBER(FIND("ISED",B28)),CONCATENATE(Overview!$S$11,";",Overview!$S$12),"IEEE Std 1528™"),Overview!$S$12))</f>
        <v/>
      </c>
      <c r="E28" s="812">
        <f>IF(ISNUMBER(FIND("EN",B28)),IF(ISNUMBER(FIND("FCC",B28)),IF(ISNUMBER(FIND("ISED",B28)),CONCATENATE(Overview!$AB$10,";",Overview!$Y$11,";",Overview!$Y$12),CONCATENATE(Overview!$AB$10,";",Overview!$Y$11)),IF(ISNUMBER(FIND("ISED",B28)),CONCATENATE(Overview!$AB$10,";",Overview!$Y$12),Overview!$AB$10)),IF(ISNUMBER(FIND("FCC",B28)),IF(ISNUMBER(FIND("ISED",B28)),CONCATENATE(Overview!$Y$11,";",Overview!$Y$12),"IEEE Std 1528™"),Overview!$Y$12))</f>
        <v/>
      </c>
      <c r="F28" s="3394" t="inlineStr">
        <is>
          <t>2.1</t>
        </is>
      </c>
      <c r="G28" s="2900">
        <f>Overview!$E$28</f>
        <v/>
      </c>
      <c r="H28" s="3395"/>
      <c r="I28" s="3396"/>
      <c r="J28" s="2899" t="inlineStr">
        <is>
          <t>GSM</t>
        </is>
      </c>
      <c r="K28" s="2900">
        <v>1800</v>
      </c>
      <c r="L28" s="3396"/>
      <c r="M28" s="117"/>
      <c r="N28" s="117"/>
      <c r="O28" s="3397"/>
      <c r="P28" s="6061"/>
      <c r="Q28" s="3397"/>
      <c r="R28" s="3397"/>
      <c r="S28" s="117"/>
      <c r="T28" s="2901">
        <v>698</v>
      </c>
      <c r="U28" s="2901">
        <v>1747.4</v>
      </c>
      <c r="V28" s="117"/>
      <c r="W28" s="3398"/>
      <c r="X28" s="2900">
        <v>1</v>
      </c>
      <c r="Y28" s="2830"/>
      <c r="Z28" s="2900">
        <v>0</v>
      </c>
      <c r="AA28" s="3396"/>
      <c r="AB28" s="3396"/>
      <c r="AC28" s="3396"/>
      <c r="AD28" s="3396"/>
      <c r="AE28" s="3396"/>
      <c r="AF28" s="3396"/>
      <c r="AG28" s="3399" t="inlineStr">
        <is>
          <t>N/A</t>
        </is>
      </c>
      <c r="AH28" s="2970"/>
      <c r="AI28" s="7155"/>
      <c r="AJ28" s="7190">
        <f>AI28+$CL$2</f>
        <v/>
      </c>
      <c r="AK28" s="7146"/>
      <c r="AL28" s="3396"/>
      <c r="AM28" s="117"/>
      <c r="AN28" s="117"/>
      <c r="AO28" s="117"/>
      <c r="AP28" s="117"/>
      <c r="AQ28" s="3400"/>
      <c r="AR28" s="117"/>
      <c r="AS28" s="117"/>
      <c r="AT28" s="3400"/>
      <c r="AU28" s="117"/>
      <c r="AV28" s="117"/>
      <c r="AW28" s="117"/>
      <c r="AX28" s="117"/>
      <c r="AY28" s="117"/>
      <c r="AZ28" s="117"/>
      <c r="BA28" s="117"/>
      <c r="BB28" s="117"/>
      <c r="BC28" s="117"/>
      <c r="BD28" s="117"/>
      <c r="BE28" s="2831">
        <f>MyTimestamp(AI28)</f>
        <v/>
      </c>
      <c r="BF28" s="2832">
        <v>60</v>
      </c>
      <c r="BG28" s="121">
        <f>BE28</f>
        <v/>
      </c>
      <c r="BH28" s="2832">
        <v>60</v>
      </c>
      <c r="BI28" s="2833" t="inlineStr">
        <is>
          <t>S/01</t>
        </is>
      </c>
      <c r="BJ28" s="117"/>
      <c r="BK28" s="120">
        <f>Overview!$E$7</f>
        <v/>
      </c>
      <c r="BL28" s="117"/>
      <c r="BM28" s="2833" t="inlineStr">
        <is>
          <t>ANT-SAR Conducted</t>
        </is>
      </c>
      <c r="BN28" s="812">
        <f>Overview!$P$153</f>
        <v/>
      </c>
      <c r="BO28" s="117"/>
      <c r="BP28" s="117"/>
      <c r="BQ28" s="115"/>
      <c r="BR28" s="1478" t="inlineStr">
        <is>
          <t>N/A</t>
        </is>
      </c>
      <c r="BS28" s="37"/>
      <c r="BT28" s="234"/>
      <c r="BU28" s="37"/>
      <c r="BV28" s="231" t="inlineStr">
        <is>
          <t>2º Max GSM:</t>
        </is>
      </c>
      <c r="BW28" s="229">
        <f>IF(COUNT(AI27:AI29)&lt;2,"",IF(BW27="Low",IF(MAX(AI28:AI29)=AI28,"Mid","High"),IF(BW27="Mid",IF(MAX(AI27,AI29)=AI27,"Low","High"),IF(MAX(AI27:AI28)=AI27,"Low","Mid"))))</f>
        <v/>
      </c>
      <c r="BX28" s="229">
        <f>IF(BW28="",T27,IF(BW28="Low",T27,IF(BW28="Mid",T28,T29)))</f>
        <v>512</v>
      </c>
      <c r="BY28" s="229">
        <f>IF(BW28="",U27,IF(BW28="Low",U27,IF(BW28="Mid",U28,U29)))</f>
        <v>1710.2</v>
      </c>
      <c r="BZ28" s="229">
        <f>IF(BW28="","",IF(BW28="Low",AI27,IF(BW28="Mid",AI28,AI29)))</f>
        <v/>
      </c>
      <c r="CA28" s="1593"/>
      <c r="CB28" s="1593"/>
      <c r="CC28" s="1593"/>
      <c r="CD28" s="1593"/>
      <c r="CE28" s="1593"/>
      <c r="CF28" s="1593"/>
      <c r="CG28" s="1593"/>
      <c r="CH28" s="1593"/>
      <c r="CI28" s="1593"/>
      <c r="CJ28" s="1593"/>
      <c r="CK28" s="1593"/>
      <c r="CL28" s="1593"/>
      <c r="CM28" s="1603"/>
      <c r="CN28" s="1603"/>
      <c r="CO28" s="1603"/>
      <c r="CP28" s="1584"/>
      <c r="CQ28" s="1584"/>
      <c r="CR28" s="1584"/>
      <c r="CS28" s="1584"/>
      <c r="CT28" s="1584"/>
      <c r="CU28" s="1584"/>
      <c r="CV28" s="1584"/>
      <c r="CW28" s="1584"/>
      <c r="CX28" s="1584"/>
      <c r="CY28" s="1584"/>
      <c r="CZ28" s="1584"/>
      <c r="DA28" s="1584"/>
      <c r="DB28" s="1584"/>
      <c r="DC28" s="1584"/>
    </row>
    <row r="29" x14ac:dyDescent="0.2">
      <c r="A29" s="1584"/>
      <c r="B29" s="2902" t="inlineStr">
        <is>
          <t>EN</t>
        </is>
      </c>
      <c r="C29" s="3393"/>
      <c r="D29" s="812">
        <f>IF(ISNUMBER(FIND("EN",B29)),IF(ISNUMBER(FIND("FCC",B29)),IF(ISNUMBER(FIND("ISED",B29)),CONCATENATE(Overview!$V$10,";",Overview!$S$11,";",Overview!$S$12),CONCATENATE(Overview!$V$10,";",Overview!$S$11)),IF(ISNUMBER(FIND("ISED",B29)),CONCATENATE(Overview!$V$10,";",Overview!$S$12),Overview!$V$10)),IF(ISNUMBER(FIND("FCC",B29)),IF(ISNUMBER(FIND("ISED",B29)),CONCATENATE(Overview!$S$11,";",Overview!$S$12),"IEEE Std 1528™"),Overview!$S$12))</f>
        <v/>
      </c>
      <c r="E29" s="812">
        <f>IF(ISNUMBER(FIND("EN",B29)),IF(ISNUMBER(FIND("FCC",B29)),IF(ISNUMBER(FIND("ISED",B29)),CONCATENATE(Overview!$AB$10,";",Overview!$Y$11,";",Overview!$Y$12),CONCATENATE(Overview!$AB$10,";",Overview!$Y$11)),IF(ISNUMBER(FIND("ISED",B29)),CONCATENATE(Overview!$AB$10,";",Overview!$Y$12),Overview!$AB$10)),IF(ISNUMBER(FIND("FCC",B29)),IF(ISNUMBER(FIND("ISED",B29)),CONCATENATE(Overview!$Y$11,";",Overview!$Y$12),"IEEE Std 1528™"),Overview!$Y$12))</f>
        <v/>
      </c>
      <c r="F29" s="3394" t="inlineStr">
        <is>
          <t>2.1</t>
        </is>
      </c>
      <c r="G29" s="2903">
        <f>Overview!$E$28</f>
        <v/>
      </c>
      <c r="H29" s="3395"/>
      <c r="I29" s="3396"/>
      <c r="J29" s="2902" t="inlineStr">
        <is>
          <t>GSM</t>
        </is>
      </c>
      <c r="K29" s="2903">
        <v>1800</v>
      </c>
      <c r="L29" s="3396"/>
      <c r="M29" s="117"/>
      <c r="N29" s="117"/>
      <c r="O29" s="3397"/>
      <c r="P29" s="6061"/>
      <c r="Q29" s="3397"/>
      <c r="R29" s="3397"/>
      <c r="S29" s="117"/>
      <c r="T29" s="2904">
        <v>885</v>
      </c>
      <c r="U29" s="2904">
        <v>1784.8</v>
      </c>
      <c r="V29" s="117"/>
      <c r="W29" s="3398"/>
      <c r="X29" s="2903">
        <v>1</v>
      </c>
      <c r="Y29" s="2837"/>
      <c r="Z29" s="2903">
        <v>0</v>
      </c>
      <c r="AA29" s="3396"/>
      <c r="AB29" s="3396"/>
      <c r="AC29" s="3396"/>
      <c r="AD29" s="3396"/>
      <c r="AE29" s="3396"/>
      <c r="AF29" s="3396"/>
      <c r="AG29" s="3399" t="inlineStr">
        <is>
          <t>N/A</t>
        </is>
      </c>
      <c r="AH29" s="2976"/>
      <c r="AI29" s="7160"/>
      <c r="AJ29" s="7191">
        <f>AI29+$CL$2</f>
        <v/>
      </c>
      <c r="AK29" s="7146"/>
      <c r="AL29" s="3396"/>
      <c r="AM29" s="117"/>
      <c r="AN29" s="117"/>
      <c r="AO29" s="117"/>
      <c r="AP29" s="117"/>
      <c r="AQ29" s="3400"/>
      <c r="AR29" s="117"/>
      <c r="AS29" s="117"/>
      <c r="AT29" s="3400"/>
      <c r="AU29" s="117"/>
      <c r="AV29" s="117"/>
      <c r="AW29" s="117"/>
      <c r="AX29" s="117"/>
      <c r="AY29" s="117"/>
      <c r="AZ29" s="117"/>
      <c r="BA29" s="117"/>
      <c r="BB29" s="117"/>
      <c r="BC29" s="117"/>
      <c r="BD29" s="117"/>
      <c r="BE29" s="7143">
        <f>MyTimestamp(AI29)</f>
        <v/>
      </c>
      <c r="BF29" s="2839">
        <v>60</v>
      </c>
      <c r="BG29" s="121">
        <f>BE29</f>
        <v/>
      </c>
      <c r="BH29" s="2839">
        <v>60</v>
      </c>
      <c r="BI29" s="2840" t="inlineStr">
        <is>
          <t>S/01</t>
        </is>
      </c>
      <c r="BJ29" s="117"/>
      <c r="BK29" s="120">
        <f>Overview!$E$7</f>
        <v/>
      </c>
      <c r="BL29" s="117"/>
      <c r="BM29" s="2840" t="inlineStr">
        <is>
          <t>ANT-SAR Conducted</t>
        </is>
      </c>
      <c r="BN29" s="812">
        <f>Overview!$P$153</f>
        <v/>
      </c>
      <c r="BO29" s="117"/>
      <c r="BP29" s="117"/>
      <c r="BQ29" s="115"/>
      <c r="BR29" s="1478" t="inlineStr">
        <is>
          <t>N/A</t>
        </is>
      </c>
      <c r="BS29" s="37"/>
      <c r="BT29" s="235"/>
      <c r="BU29" s="37"/>
      <c r="BV29" s="232" t="inlineStr">
        <is>
          <t>3º Max GSM:</t>
        </is>
      </c>
      <c r="BW29" s="227">
        <f>IF(COUNT(AI27:AI29)&lt;3,"",IF(AND(OR(BW27="Low",BW27="Mid"),OR(BW28="Low",BW28="Mid")),"High",IF(AND(OR(BW27="Low",BW27="High"),OR(BW28="Low",BW28="High")),"Mid","Low")))</f>
        <v/>
      </c>
      <c r="BX29" s="227">
        <f>IF(BW29="",T29,IF(BW29="Low",T27,IF(BW29="Mid",T28,T29)))</f>
        <v>885</v>
      </c>
      <c r="BY29" s="227">
        <f>IF(BW29="",U29,IF(BW29="Low",U27,IF(BW29="Mid",U28,U29)))</f>
        <v>1784.8</v>
      </c>
      <c r="BZ29" s="227">
        <f>IF(BW29="","",IF(BW29="Low",AI27,IF(BW29="Mid",AI28,AI29)))</f>
        <v/>
      </c>
      <c r="CA29" s="1593"/>
      <c r="CB29" s="1593"/>
      <c r="CC29" s="1593"/>
      <c r="CD29" s="1593"/>
      <c r="CE29" s="1593"/>
      <c r="CF29" s="1593"/>
      <c r="CG29" s="1593"/>
      <c r="CH29" s="1593"/>
      <c r="CI29" s="1593"/>
      <c r="CJ29" s="1593"/>
      <c r="CK29" s="1593"/>
      <c r="CL29" s="1593"/>
      <c r="CM29" s="1603"/>
      <c r="CN29" s="1603"/>
      <c r="CO29" s="1603"/>
      <c r="CP29" s="1584"/>
      <c r="CQ29" s="1584"/>
      <c r="CR29" s="1584"/>
      <c r="CS29" s="1584"/>
      <c r="CT29" s="1584"/>
      <c r="CU29" s="1584"/>
      <c r="CV29" s="1584"/>
      <c r="CW29" s="1584"/>
      <c r="CX29" s="1584"/>
      <c r="CY29" s="1584"/>
      <c r="CZ29" s="1584"/>
      <c r="DA29" s="1584"/>
      <c r="DB29" s="1584"/>
      <c r="DC29" s="1584"/>
    </row>
    <row r="30" x14ac:dyDescent="0.2">
      <c r="A30" s="1584"/>
      <c r="B30" s="2896" t="inlineStr">
        <is>
          <t>EN</t>
        </is>
      </c>
      <c r="C30" s="3393"/>
      <c r="D30" s="812">
        <f>IF(ISNUMBER(FIND("EN",B30)),IF(ISNUMBER(FIND("FCC",B30)),IF(ISNUMBER(FIND("ISED",B30)),CONCATENATE(Overview!$V$10,";",Overview!$S$11,";",Overview!$S$12),CONCATENATE(Overview!$V$10,";",Overview!$S$11)),IF(ISNUMBER(FIND("ISED",B30)),CONCATENATE(Overview!$V$10,";",Overview!$S$12),Overview!$V$10)),IF(ISNUMBER(FIND("FCC",B30)),IF(ISNUMBER(FIND("ISED",B30)),CONCATENATE(Overview!$S$11,";",Overview!$S$12),"IEEE Std 1528™"),Overview!$S$12))</f>
        <v/>
      </c>
      <c r="E30" s="812">
        <f>IF(ISNUMBER(FIND("EN",B30)),IF(ISNUMBER(FIND("FCC",B30)),IF(ISNUMBER(FIND("ISED",B30)),CONCATENATE(Overview!$AB$10,";",Overview!$Y$11,";",Overview!$Y$12),CONCATENATE(Overview!$AB$10,";",Overview!$Y$11)),IF(ISNUMBER(FIND("ISED",B30)),CONCATENATE(Overview!$AB$10,";",Overview!$Y$12),Overview!$AB$10)),IF(ISNUMBER(FIND("FCC",B30)),IF(ISNUMBER(FIND("ISED",B30)),CONCATENATE(Overview!$Y$11,";",Overview!$Y$12),"IEEE Std 1528™"),Overview!$Y$12))</f>
        <v/>
      </c>
      <c r="F30" s="3394" t="inlineStr">
        <is>
          <t>2.1</t>
        </is>
      </c>
      <c r="G30" s="2897">
        <f>Overview!$E$29</f>
        <v/>
      </c>
      <c r="H30" s="3395"/>
      <c r="I30" s="3396"/>
      <c r="J30" s="2896" t="inlineStr">
        <is>
          <t>GSM</t>
        </is>
      </c>
      <c r="K30" s="2897">
        <v>1800</v>
      </c>
      <c r="L30" s="3396"/>
      <c r="M30" s="117"/>
      <c r="N30" s="117"/>
      <c r="O30" s="3397"/>
      <c r="P30" s="6061"/>
      <c r="Q30" s="3397"/>
      <c r="R30" s="3397"/>
      <c r="S30" s="117"/>
      <c r="T30" s="2898">
        <v>512</v>
      </c>
      <c r="U30" s="2898">
        <v>1710.2</v>
      </c>
      <c r="V30" s="117"/>
      <c r="W30" s="3398"/>
      <c r="X30" s="2897">
        <v>1</v>
      </c>
      <c r="Y30" s="2824"/>
      <c r="Z30" s="2897">
        <v>0</v>
      </c>
      <c r="AA30" s="3396"/>
      <c r="AB30" s="3396"/>
      <c r="AC30" s="3396"/>
      <c r="AD30" s="3396"/>
      <c r="AE30" s="3396"/>
      <c r="AF30" s="3396"/>
      <c r="AG30" s="3399" t="inlineStr">
        <is>
          <t>N/A</t>
        </is>
      </c>
      <c r="AH30" s="2964"/>
      <c r="AI30" s="7159"/>
      <c r="AJ30" s="7189">
        <f>AI30+$CL$2</f>
        <v/>
      </c>
      <c r="AK30" s="7146"/>
      <c r="AL30" s="3396"/>
      <c r="AM30" s="117"/>
      <c r="AN30" s="117"/>
      <c r="AO30" s="117"/>
      <c r="AP30" s="117"/>
      <c r="AQ30" s="3400"/>
      <c r="AR30" s="117"/>
      <c r="AS30" s="117"/>
      <c r="AT30" s="3400"/>
      <c r="AU30" s="117"/>
      <c r="AV30" s="117"/>
      <c r="AW30" s="117"/>
      <c r="AX30" s="117"/>
      <c r="AY30" s="117"/>
      <c r="AZ30" s="117"/>
      <c r="BA30" s="117"/>
      <c r="BB30" s="117"/>
      <c r="BC30" s="117"/>
      <c r="BD30" s="117"/>
      <c r="BE30" s="7145">
        <f>MyTimestamp(AI30)</f>
        <v/>
      </c>
      <c r="BF30" s="2825">
        <v>60</v>
      </c>
      <c r="BG30" s="121">
        <f>BE30</f>
        <v/>
      </c>
      <c r="BH30" s="2825">
        <v>60</v>
      </c>
      <c r="BI30" s="2845" t="inlineStr">
        <is>
          <t>S/01</t>
        </is>
      </c>
      <c r="BJ30" s="117"/>
      <c r="BK30" s="120">
        <f>Overview!$E$7</f>
        <v/>
      </c>
      <c r="BL30" s="117"/>
      <c r="BM30" s="2845" t="inlineStr">
        <is>
          <t>ANT-SAR Conducted</t>
        </is>
      </c>
      <c r="BN30" s="812">
        <f>Overview!$P$153</f>
        <v/>
      </c>
      <c r="BO30" s="117"/>
      <c r="BP30" s="117"/>
      <c r="BQ30" s="115"/>
      <c r="BR30" s="1478" t="inlineStr">
        <is>
          <t>N/A</t>
        </is>
      </c>
      <c r="BS30" s="37"/>
      <c r="BT30" s="234">
        <f>IF(COUNT(AI30:AI32)=0,"",MAX(AI30:AI32))</f>
        <v/>
      </c>
      <c r="BU30" s="37"/>
      <c r="BV30" s="230" t="inlineStr">
        <is>
          <t>1º Max GSM:</t>
        </is>
      </c>
      <c r="BW30" s="228">
        <f>IF(COUNT(AI30:AI32)=0,"",IF(MAX(AI30:AI32)=AI30,"Low",IF(MAX(AI30:AI32)=AI31,"Mid","High")))</f>
        <v/>
      </c>
      <c r="BX30" s="228">
        <f>IF(BW30="",T31,IF(BW30="Low",T30,IF(BW30="Mid",T31,T32)))</f>
        <v>698</v>
      </c>
      <c r="BY30" s="228">
        <f>IF(BW30="",U31,IF(BW30="Low",U30,IF(BW30="Mid",U31,U32)))</f>
        <v>1747.4</v>
      </c>
      <c r="BZ30" s="228">
        <f>IF(BW30="","",IF(BW30="Low",AI30,IF(BW30="Mid",AI31,AI32)))</f>
        <v/>
      </c>
      <c r="CA30" s="1593"/>
      <c r="CB30" s="1593"/>
      <c r="CC30" s="1593"/>
      <c r="CD30" s="1593"/>
      <c r="CE30" s="1593"/>
      <c r="CF30" s="1593"/>
      <c r="CG30" s="1593"/>
      <c r="CH30" s="1593"/>
      <c r="CI30" s="1593"/>
      <c r="CJ30" s="1593"/>
      <c r="CK30" s="1593"/>
      <c r="CL30" s="1593"/>
      <c r="CM30" s="1593"/>
      <c r="CN30" s="1593"/>
      <c r="CO30" s="1593"/>
      <c r="CP30" s="1584"/>
      <c r="CQ30" s="1584"/>
      <c r="CR30" s="1584"/>
      <c r="CS30" s="1584"/>
      <c r="CT30" s="1584"/>
      <c r="CU30" s="1584"/>
      <c r="CV30" s="1584"/>
      <c r="CW30" s="1584"/>
      <c r="CX30" s="1584"/>
      <c r="CY30" s="1584"/>
      <c r="CZ30" s="1584"/>
      <c r="DA30" s="1584"/>
      <c r="DB30" s="1584"/>
      <c r="DC30" s="1584"/>
    </row>
    <row r="31" x14ac:dyDescent="0.2">
      <c r="A31" s="1584"/>
      <c r="B31" s="2899" t="inlineStr">
        <is>
          <t>EN</t>
        </is>
      </c>
      <c r="C31" s="3393"/>
      <c r="D31" s="812">
        <f>IF(ISNUMBER(FIND("EN",B31)),IF(ISNUMBER(FIND("FCC",B31)),IF(ISNUMBER(FIND("ISED",B31)),CONCATENATE(Overview!$V$10,";",Overview!$S$11,";",Overview!$S$12),CONCATENATE(Overview!$V$10,";",Overview!$S$11)),IF(ISNUMBER(FIND("ISED",B31)),CONCATENATE(Overview!$V$10,";",Overview!$S$12),Overview!$V$10)),IF(ISNUMBER(FIND("FCC",B31)),IF(ISNUMBER(FIND("ISED",B31)),CONCATENATE(Overview!$S$11,";",Overview!$S$12),"IEEE Std 1528™"),Overview!$S$12))</f>
        <v/>
      </c>
      <c r="E31" s="812">
        <f>IF(ISNUMBER(FIND("EN",B31)),IF(ISNUMBER(FIND("FCC",B31)),IF(ISNUMBER(FIND("ISED",B31)),CONCATENATE(Overview!$AB$10,";",Overview!$Y$11,";",Overview!$Y$12),CONCATENATE(Overview!$AB$10,";",Overview!$Y$11)),IF(ISNUMBER(FIND("ISED",B31)),CONCATENATE(Overview!$AB$10,";",Overview!$Y$12),Overview!$AB$10)),IF(ISNUMBER(FIND("FCC",B31)),IF(ISNUMBER(FIND("ISED",B31)),CONCATENATE(Overview!$Y$11,";",Overview!$Y$12),"IEEE Std 1528™"),Overview!$Y$12))</f>
        <v/>
      </c>
      <c r="F31" s="3394" t="inlineStr">
        <is>
          <t>2.1</t>
        </is>
      </c>
      <c r="G31" s="2900">
        <f>Overview!$E$29</f>
        <v/>
      </c>
      <c r="H31" s="3395"/>
      <c r="I31" s="3396"/>
      <c r="J31" s="2899" t="inlineStr">
        <is>
          <t>GSM</t>
        </is>
      </c>
      <c r="K31" s="2900">
        <v>1800</v>
      </c>
      <c r="L31" s="3396"/>
      <c r="M31" s="117"/>
      <c r="N31" s="117"/>
      <c r="O31" s="3397"/>
      <c r="P31" s="6061"/>
      <c r="Q31" s="3397"/>
      <c r="R31" s="3397"/>
      <c r="S31" s="117"/>
      <c r="T31" s="2901">
        <v>698</v>
      </c>
      <c r="U31" s="2901">
        <v>1747.4</v>
      </c>
      <c r="V31" s="117"/>
      <c r="W31" s="3398"/>
      <c r="X31" s="2900">
        <v>1</v>
      </c>
      <c r="Y31" s="2830"/>
      <c r="Z31" s="2900">
        <v>0</v>
      </c>
      <c r="AA31" s="3396"/>
      <c r="AB31" s="3396"/>
      <c r="AC31" s="3396"/>
      <c r="AD31" s="3396"/>
      <c r="AE31" s="3396"/>
      <c r="AF31" s="3396"/>
      <c r="AG31" s="3399" t="inlineStr">
        <is>
          <t>N/A</t>
        </is>
      </c>
      <c r="AH31" s="2970"/>
      <c r="AI31" s="7155"/>
      <c r="AJ31" s="7190">
        <f>AI31+$CL$2</f>
        <v/>
      </c>
      <c r="AK31" s="7146"/>
      <c r="AL31" s="3396"/>
      <c r="AM31" s="117"/>
      <c r="AN31" s="117"/>
      <c r="AO31" s="117"/>
      <c r="AP31" s="117"/>
      <c r="AQ31" s="3400"/>
      <c r="AR31" s="117"/>
      <c r="AS31" s="117"/>
      <c r="AT31" s="3400"/>
      <c r="AU31" s="117"/>
      <c r="AV31" s="117"/>
      <c r="AW31" s="117"/>
      <c r="AX31" s="117"/>
      <c r="AY31" s="117"/>
      <c r="AZ31" s="117"/>
      <c r="BA31" s="117"/>
      <c r="BB31" s="117"/>
      <c r="BC31" s="117"/>
      <c r="BD31" s="117"/>
      <c r="BE31" s="2831">
        <f>MyTimestamp(AI31)</f>
        <v/>
      </c>
      <c r="BF31" s="2832">
        <v>60</v>
      </c>
      <c r="BG31" s="121">
        <f>BE31</f>
        <v/>
      </c>
      <c r="BH31" s="2832">
        <v>60</v>
      </c>
      <c r="BI31" s="2833" t="inlineStr">
        <is>
          <t>S/01</t>
        </is>
      </c>
      <c r="BJ31" s="117"/>
      <c r="BK31" s="120">
        <f>Overview!$E$7</f>
        <v/>
      </c>
      <c r="BL31" s="117"/>
      <c r="BM31" s="2833" t="inlineStr">
        <is>
          <t>ANT-SAR Conducted</t>
        </is>
      </c>
      <c r="BN31" s="812">
        <f>Overview!$P$153</f>
        <v/>
      </c>
      <c r="BO31" s="117"/>
      <c r="BP31" s="117"/>
      <c r="BQ31" s="115"/>
      <c r="BR31" s="1478" t="inlineStr">
        <is>
          <t>N/A</t>
        </is>
      </c>
      <c r="BS31" s="37"/>
      <c r="BT31" s="234"/>
      <c r="BU31" s="37"/>
      <c r="BV31" s="231" t="inlineStr">
        <is>
          <t>2º Max GSM:</t>
        </is>
      </c>
      <c r="BW31" s="229">
        <f>IF(COUNT(AI30:AI32)&lt;2,"",IF(BW30="Low",IF(MAX(AI31:AI32)=AI31,"Mid","High"),IF(BW30="Mid",IF(MAX(AI30,AI32)=AI30,"Low","High"),IF(MAX(AI30:AI31)=AI30,"Low","Mid"))))</f>
        <v/>
      </c>
      <c r="BX31" s="229">
        <f>IF(BW31="",T30,IF(BW31="Low",T30,IF(BW31="Mid",T31,T32)))</f>
        <v>512</v>
      </c>
      <c r="BY31" s="229">
        <f>IF(BW31="",U30,IF(BW31="Low",U30,IF(BW31="Mid",U31,U32)))</f>
        <v>1710.2</v>
      </c>
      <c r="BZ31" s="229">
        <f>IF(BW31="","",IF(BW31="Low",AI30,IF(BW31="Mid",AI31,AI32)))</f>
        <v/>
      </c>
      <c r="CA31" s="1593"/>
      <c r="CB31" s="1593"/>
      <c r="CC31" s="1593"/>
      <c r="CD31" s="1593"/>
      <c r="CE31" s="1593"/>
      <c r="CF31" s="1593"/>
      <c r="CG31" s="1593"/>
      <c r="CH31" s="1593"/>
      <c r="CI31" s="1593"/>
      <c r="CJ31" s="1593"/>
      <c r="CK31" s="1593"/>
      <c r="CL31" s="1593"/>
      <c r="CM31" s="1593"/>
      <c r="CN31" s="1593"/>
      <c r="CO31" s="1593"/>
      <c r="CP31" s="1584"/>
      <c r="CQ31" s="1584"/>
      <c r="CR31" s="1584"/>
      <c r="CS31" s="1584"/>
      <c r="CT31" s="1584"/>
      <c r="CU31" s="1584"/>
      <c r="CV31" s="1584"/>
      <c r="CW31" s="1584"/>
      <c r="CX31" s="1584"/>
      <c r="CY31" s="1584"/>
      <c r="CZ31" s="1584"/>
      <c r="DA31" s="1584"/>
      <c r="DB31" s="1584"/>
      <c r="DC31" s="1584"/>
    </row>
    <row r="32" x14ac:dyDescent="0.2">
      <c r="A32" s="1584"/>
      <c r="B32" s="2902" t="inlineStr">
        <is>
          <t>EN</t>
        </is>
      </c>
      <c r="C32" s="3393"/>
      <c r="D32" s="812">
        <f>IF(ISNUMBER(FIND("EN",B32)),IF(ISNUMBER(FIND("FCC",B32)),IF(ISNUMBER(FIND("ISED",B32)),CONCATENATE(Overview!$V$10,";",Overview!$S$11,";",Overview!$S$12),CONCATENATE(Overview!$V$10,";",Overview!$S$11)),IF(ISNUMBER(FIND("ISED",B32)),CONCATENATE(Overview!$V$10,";",Overview!$S$12),Overview!$V$10)),IF(ISNUMBER(FIND("FCC",B32)),IF(ISNUMBER(FIND("ISED",B32)),CONCATENATE(Overview!$S$11,";",Overview!$S$12),"IEEE Std 1528™"),Overview!$S$12))</f>
        <v/>
      </c>
      <c r="E32" s="812">
        <f>IF(ISNUMBER(FIND("EN",B32)),IF(ISNUMBER(FIND("FCC",B32)),IF(ISNUMBER(FIND("ISED",B32)),CONCATENATE(Overview!$AB$10,";",Overview!$Y$11,";",Overview!$Y$12),CONCATENATE(Overview!$AB$10,";",Overview!$Y$11)),IF(ISNUMBER(FIND("ISED",B32)),CONCATENATE(Overview!$AB$10,";",Overview!$Y$12),Overview!$AB$10)),IF(ISNUMBER(FIND("FCC",B32)),IF(ISNUMBER(FIND("ISED",B32)),CONCATENATE(Overview!$Y$11,";",Overview!$Y$12),"IEEE Std 1528™"),Overview!$Y$12))</f>
        <v/>
      </c>
      <c r="F32" s="3394" t="inlineStr">
        <is>
          <t>2.1</t>
        </is>
      </c>
      <c r="G32" s="2903">
        <f>Overview!$E$29</f>
        <v/>
      </c>
      <c r="H32" s="3395"/>
      <c r="I32" s="3396"/>
      <c r="J32" s="2902" t="inlineStr">
        <is>
          <t>GSM</t>
        </is>
      </c>
      <c r="K32" s="2903">
        <v>1800</v>
      </c>
      <c r="L32" s="3396"/>
      <c r="M32" s="117"/>
      <c r="N32" s="117"/>
      <c r="O32" s="3397"/>
      <c r="P32" s="6061"/>
      <c r="Q32" s="3397"/>
      <c r="R32" s="3397"/>
      <c r="S32" s="117"/>
      <c r="T32" s="2904">
        <v>885</v>
      </c>
      <c r="U32" s="2904">
        <v>1784.8</v>
      </c>
      <c r="V32" s="117"/>
      <c r="W32" s="3398"/>
      <c r="X32" s="2903">
        <v>1</v>
      </c>
      <c r="Y32" s="2837"/>
      <c r="Z32" s="2903">
        <v>0</v>
      </c>
      <c r="AA32" s="3396"/>
      <c r="AB32" s="3396"/>
      <c r="AC32" s="3396"/>
      <c r="AD32" s="3396"/>
      <c r="AE32" s="3396"/>
      <c r="AF32" s="3396"/>
      <c r="AG32" s="3399" t="inlineStr">
        <is>
          <t>N/A</t>
        </is>
      </c>
      <c r="AH32" s="2976"/>
      <c r="AI32" s="7160"/>
      <c r="AJ32" s="7191">
        <f>AI32+$CL$2</f>
        <v/>
      </c>
      <c r="AK32" s="7146"/>
      <c r="AL32" s="3396"/>
      <c r="AM32" s="117"/>
      <c r="AN32" s="117"/>
      <c r="AO32" s="117"/>
      <c r="AP32" s="117"/>
      <c r="AQ32" s="3400"/>
      <c r="AR32" s="117"/>
      <c r="AS32" s="117"/>
      <c r="AT32" s="3400"/>
      <c r="AU32" s="117"/>
      <c r="AV32" s="117"/>
      <c r="AW32" s="117"/>
      <c r="AX32" s="117"/>
      <c r="AY32" s="117"/>
      <c r="AZ32" s="117"/>
      <c r="BA32" s="117"/>
      <c r="BB32" s="117"/>
      <c r="BC32" s="117"/>
      <c r="BD32" s="117"/>
      <c r="BE32" s="7143">
        <f>MyTimestamp(AI32)</f>
        <v/>
      </c>
      <c r="BF32" s="2839">
        <v>60</v>
      </c>
      <c r="BG32" s="121">
        <f>BE32</f>
        <v/>
      </c>
      <c r="BH32" s="2839">
        <v>60</v>
      </c>
      <c r="BI32" s="2840" t="inlineStr">
        <is>
          <t>S/01</t>
        </is>
      </c>
      <c r="BJ32" s="117"/>
      <c r="BK32" s="120">
        <f>Overview!$E$7</f>
        <v/>
      </c>
      <c r="BL32" s="117"/>
      <c r="BM32" s="2840" t="inlineStr">
        <is>
          <t>ANT-SAR Conducted</t>
        </is>
      </c>
      <c r="BN32" s="812">
        <f>Overview!$P$153</f>
        <v/>
      </c>
      <c r="BO32" s="117"/>
      <c r="BP32" s="117"/>
      <c r="BQ32" s="115"/>
      <c r="BR32" s="1478" t="inlineStr">
        <is>
          <t>N/A</t>
        </is>
      </c>
      <c r="BS32" s="37"/>
      <c r="BT32" s="235"/>
      <c r="BU32" s="37"/>
      <c r="BV32" s="232" t="inlineStr">
        <is>
          <t>3º Max GSM:</t>
        </is>
      </c>
      <c r="BW32" s="227">
        <f>IF(COUNT(AI30:AI32)&lt;3,"",IF(AND(OR(BW30="Low",BW30="Mid"),OR(BW31="Low",BW31="Mid")),"High",IF(AND(OR(BW30="Low",BW30="High"),OR(BW31="Low",BW31="High")),"Mid","Low")))</f>
        <v/>
      </c>
      <c r="BX32" s="227">
        <f>IF(BW32="",T32,IF(BW32="Low",T30,IF(BW32="Mid",T31,T32)))</f>
        <v>885</v>
      </c>
      <c r="BY32" s="227">
        <f>IF(BW32="",U32,IF(BW32="Low",U30,IF(BW32="Mid",U31,U32)))</f>
        <v>1784.8</v>
      </c>
      <c r="BZ32" s="227">
        <f>IF(BW32="","",IF(BW32="Low",AI30,IF(BW32="Mid",AI31,AI32)))</f>
        <v/>
      </c>
      <c r="CA32" s="1593"/>
      <c r="CB32" s="1593"/>
      <c r="CC32" s="1593"/>
      <c r="CD32" s="1593"/>
      <c r="CE32" s="1593"/>
      <c r="CF32" s="1593"/>
      <c r="CG32" s="1593"/>
      <c r="CH32" s="1593"/>
      <c r="CI32" s="1593"/>
      <c r="CJ32" s="1593"/>
      <c r="CK32" s="1593"/>
      <c r="CL32" s="1593"/>
      <c r="CM32" s="1593"/>
      <c r="CN32" s="1593"/>
      <c r="CO32" s="1593"/>
      <c r="CP32" s="1584"/>
      <c r="CQ32" s="1584"/>
      <c r="CR32" s="1584"/>
      <c r="CS32" s="1584"/>
      <c r="CT32" s="1584"/>
      <c r="CU32" s="1584"/>
      <c r="CV32" s="1584"/>
      <c r="CW32" s="1584"/>
      <c r="CX32" s="1584"/>
      <c r="CY32" s="1584"/>
      <c r="CZ32" s="1584"/>
      <c r="DA32" s="1584"/>
      <c r="DB32" s="1584"/>
      <c r="DC32" s="1584"/>
    </row>
    <row r="33" x14ac:dyDescent="0.2">
      <c r="A33" s="1584"/>
      <c r="B33" s="2896" t="inlineStr">
        <is>
          <t>EN</t>
        </is>
      </c>
      <c r="C33" s="3393"/>
      <c r="D33" s="812">
        <f>IF(ISNUMBER(FIND("EN",B33)),IF(ISNUMBER(FIND("FCC",B33)),IF(ISNUMBER(FIND("ISED",B33)),CONCATENATE(Overview!$V$10,";",Overview!$S$11,";",Overview!$S$12),CONCATENATE(Overview!$V$10,";",Overview!$S$11)),IF(ISNUMBER(FIND("ISED",B33)),CONCATENATE(Overview!$V$10,";",Overview!$S$12),Overview!$V$10)),IF(ISNUMBER(FIND("FCC",B33)),IF(ISNUMBER(FIND("ISED",B33)),CONCATENATE(Overview!$S$11,";",Overview!$S$12),"IEEE Std 1528™"),Overview!$S$12))</f>
        <v/>
      </c>
      <c r="E33" s="812">
        <f>IF(ISNUMBER(FIND("EN",B33)),IF(ISNUMBER(FIND("FCC",B33)),IF(ISNUMBER(FIND("ISED",B33)),CONCATENATE(Overview!$AB$10,";",Overview!$Y$11,";",Overview!$Y$12),CONCATENATE(Overview!$AB$10,";",Overview!$Y$11)),IF(ISNUMBER(FIND("ISED",B33)),CONCATENATE(Overview!$AB$10,";",Overview!$Y$12),Overview!$AB$10)),IF(ISNUMBER(FIND("FCC",B33)),IF(ISNUMBER(FIND("ISED",B33)),CONCATENATE(Overview!$Y$11,";",Overview!$Y$12),"IEEE Std 1528™"),Overview!$Y$12))</f>
        <v/>
      </c>
      <c r="F33" s="3394" t="inlineStr">
        <is>
          <t>2.1</t>
        </is>
      </c>
      <c r="G33" s="2897">
        <f>Overview!$E$30</f>
        <v/>
      </c>
      <c r="H33" s="3395"/>
      <c r="I33" s="3396"/>
      <c r="J33" s="2896" t="inlineStr">
        <is>
          <t>GSM</t>
        </is>
      </c>
      <c r="K33" s="2897">
        <v>1800</v>
      </c>
      <c r="L33" s="3396"/>
      <c r="M33" s="117"/>
      <c r="N33" s="117"/>
      <c r="O33" s="3397"/>
      <c r="P33" s="6061"/>
      <c r="Q33" s="3397"/>
      <c r="R33" s="3397"/>
      <c r="S33" s="117"/>
      <c r="T33" s="2898">
        <v>512</v>
      </c>
      <c r="U33" s="2898">
        <v>1710.2</v>
      </c>
      <c r="V33" s="117"/>
      <c r="W33" s="3398"/>
      <c r="X33" s="2897">
        <v>1</v>
      </c>
      <c r="Y33" s="2824"/>
      <c r="Z33" s="2897">
        <v>0</v>
      </c>
      <c r="AA33" s="3396"/>
      <c r="AB33" s="3396"/>
      <c r="AC33" s="3396"/>
      <c r="AD33" s="3396"/>
      <c r="AE33" s="3396"/>
      <c r="AF33" s="3396"/>
      <c r="AG33" s="3399" t="inlineStr">
        <is>
          <t>N/A</t>
        </is>
      </c>
      <c r="AH33" s="2964"/>
      <c r="AI33" s="7159"/>
      <c r="AJ33" s="7189">
        <f>AI33+$CL$2</f>
        <v/>
      </c>
      <c r="AK33" s="7146"/>
      <c r="AL33" s="3396"/>
      <c r="AM33" s="117"/>
      <c r="AN33" s="117"/>
      <c r="AO33" s="117"/>
      <c r="AP33" s="117"/>
      <c r="AQ33" s="3400"/>
      <c r="AR33" s="117"/>
      <c r="AS33" s="117"/>
      <c r="AT33" s="3400"/>
      <c r="AU33" s="117"/>
      <c r="AV33" s="117"/>
      <c r="AW33" s="117"/>
      <c r="AX33" s="117"/>
      <c r="AY33" s="117"/>
      <c r="AZ33" s="117"/>
      <c r="BA33" s="117"/>
      <c r="BB33" s="117"/>
      <c r="BC33" s="117"/>
      <c r="BD33" s="117"/>
      <c r="BE33" s="7145">
        <f>MyTimestamp(AI33)</f>
        <v/>
      </c>
      <c r="BF33" s="2825">
        <v>60</v>
      </c>
      <c r="BG33" s="121">
        <f>BE33</f>
        <v/>
      </c>
      <c r="BH33" s="2825">
        <v>60</v>
      </c>
      <c r="BI33" s="2845" t="inlineStr">
        <is>
          <t>S/01</t>
        </is>
      </c>
      <c r="BJ33" s="117"/>
      <c r="BK33" s="120">
        <f>Overview!$E$7</f>
        <v/>
      </c>
      <c r="BL33" s="117"/>
      <c r="BM33" s="2845" t="inlineStr">
        <is>
          <t>ANT-SAR Conducted</t>
        </is>
      </c>
      <c r="BN33" s="812">
        <f>Overview!$P$153</f>
        <v/>
      </c>
      <c r="BO33" s="117"/>
      <c r="BP33" s="117"/>
      <c r="BQ33" s="115"/>
      <c r="BR33" s="1478" t="inlineStr">
        <is>
          <t>N/A</t>
        </is>
      </c>
      <c r="BS33" s="37"/>
      <c r="BT33" s="234">
        <f>IF(COUNT(AI33:AI35)=0,"",MAX(AI33:AI35))</f>
        <v/>
      </c>
      <c r="BU33" s="37"/>
      <c r="BV33" s="230" t="inlineStr">
        <is>
          <t>1º Max GSM:</t>
        </is>
      </c>
      <c r="BW33" s="228">
        <f>IF(COUNT(AI33:AI35)=0,"",IF(MAX(AI33:AI35)=AI33,"Low",IF(MAX(AI33:AI35)=AI34,"Mid","High")))</f>
        <v/>
      </c>
      <c r="BX33" s="228">
        <f>IF(BW33="",T34,IF(BW33="Low",T33,IF(BW33="Mid",T34,T35)))</f>
        <v>698</v>
      </c>
      <c r="BY33" s="228">
        <f>IF(BW33="",U34,IF(BW33="Low",U33,IF(BW33="Mid",U34,U35)))</f>
        <v>1747.4</v>
      </c>
      <c r="BZ33" s="228">
        <f>IF(BW33="","",IF(BW33="Low",AI33,IF(BW33="Mid",AI34,AI35)))</f>
        <v/>
      </c>
      <c r="CA33" s="1593"/>
      <c r="CB33" s="1593"/>
      <c r="CC33" s="1593"/>
      <c r="CD33" s="1593"/>
      <c r="CE33" s="1593"/>
      <c r="CF33" s="1593"/>
      <c r="CG33" s="1593"/>
      <c r="CH33" s="1593"/>
      <c r="CI33" s="1593"/>
      <c r="CJ33" s="1593"/>
      <c r="CK33" s="1593"/>
      <c r="CL33" s="1593"/>
      <c r="CM33" s="1593"/>
      <c r="CN33" s="1593"/>
      <c r="CO33" s="1593"/>
      <c r="CP33" s="1584"/>
      <c r="CQ33" s="1584"/>
      <c r="CR33" s="1584"/>
      <c r="CS33" s="1584"/>
      <c r="CT33" s="1584"/>
      <c r="CU33" s="1584"/>
      <c r="CV33" s="1584"/>
      <c r="CW33" s="1584"/>
      <c r="CX33" s="1584"/>
      <c r="CY33" s="1584"/>
      <c r="CZ33" s="1584"/>
      <c r="DA33" s="1584"/>
      <c r="DB33" s="1584"/>
      <c r="DC33" s="1584"/>
    </row>
    <row r="34" x14ac:dyDescent="0.2">
      <c r="A34" s="1584"/>
      <c r="B34" s="2899" t="inlineStr">
        <is>
          <t>EN</t>
        </is>
      </c>
      <c r="C34" s="3393"/>
      <c r="D34" s="812">
        <f>IF(ISNUMBER(FIND("EN",B34)),IF(ISNUMBER(FIND("FCC",B34)),IF(ISNUMBER(FIND("ISED",B34)),CONCATENATE(Overview!$V$10,";",Overview!$S$11,";",Overview!$S$12),CONCATENATE(Overview!$V$10,";",Overview!$S$11)),IF(ISNUMBER(FIND("ISED",B34)),CONCATENATE(Overview!$V$10,";",Overview!$S$12),Overview!$V$10)),IF(ISNUMBER(FIND("FCC",B34)),IF(ISNUMBER(FIND("ISED",B34)),CONCATENATE(Overview!$S$11,";",Overview!$S$12),"IEEE Std 1528™"),Overview!$S$12))</f>
        <v/>
      </c>
      <c r="E34" s="812">
        <f>IF(ISNUMBER(FIND("EN",B34)),IF(ISNUMBER(FIND("FCC",B34)),IF(ISNUMBER(FIND("ISED",B34)),CONCATENATE(Overview!$AB$10,";",Overview!$Y$11,";",Overview!$Y$12),CONCATENATE(Overview!$AB$10,";",Overview!$Y$11)),IF(ISNUMBER(FIND("ISED",B34)),CONCATENATE(Overview!$AB$10,";",Overview!$Y$12),Overview!$AB$10)),IF(ISNUMBER(FIND("FCC",B34)),IF(ISNUMBER(FIND("ISED",B34)),CONCATENATE(Overview!$Y$11,";",Overview!$Y$12),"IEEE Std 1528™"),Overview!$Y$12))</f>
        <v/>
      </c>
      <c r="F34" s="3394" t="inlineStr">
        <is>
          <t>2.1</t>
        </is>
      </c>
      <c r="G34" s="2900">
        <f>Overview!$E$30</f>
        <v/>
      </c>
      <c r="H34" s="3395"/>
      <c r="I34" s="3396"/>
      <c r="J34" s="2899" t="inlineStr">
        <is>
          <t>GSM</t>
        </is>
      </c>
      <c r="K34" s="2900">
        <v>1800</v>
      </c>
      <c r="L34" s="3396"/>
      <c r="M34" s="117"/>
      <c r="N34" s="117"/>
      <c r="O34" s="3397"/>
      <c r="P34" s="6061"/>
      <c r="Q34" s="3397"/>
      <c r="R34" s="3397"/>
      <c r="S34" s="117"/>
      <c r="T34" s="2901">
        <v>698</v>
      </c>
      <c r="U34" s="2901">
        <v>1747.4</v>
      </c>
      <c r="V34" s="117"/>
      <c r="W34" s="3398"/>
      <c r="X34" s="2900">
        <v>1</v>
      </c>
      <c r="Y34" s="2830"/>
      <c r="Z34" s="2900">
        <v>0</v>
      </c>
      <c r="AA34" s="3396"/>
      <c r="AB34" s="3396"/>
      <c r="AC34" s="3396"/>
      <c r="AD34" s="3396"/>
      <c r="AE34" s="3396"/>
      <c r="AF34" s="3396"/>
      <c r="AG34" s="3399" t="inlineStr">
        <is>
          <t>N/A</t>
        </is>
      </c>
      <c r="AH34" s="2970"/>
      <c r="AI34" s="7155"/>
      <c r="AJ34" s="7190">
        <f>AI34+$CL$2</f>
        <v/>
      </c>
      <c r="AK34" s="7146"/>
      <c r="AL34" s="3396"/>
      <c r="AM34" s="117"/>
      <c r="AN34" s="117"/>
      <c r="AO34" s="117"/>
      <c r="AP34" s="117"/>
      <c r="AQ34" s="3400"/>
      <c r="AR34" s="117"/>
      <c r="AS34" s="117"/>
      <c r="AT34" s="3400"/>
      <c r="AU34" s="117"/>
      <c r="AV34" s="117"/>
      <c r="AW34" s="117"/>
      <c r="AX34" s="117"/>
      <c r="AY34" s="117"/>
      <c r="AZ34" s="117"/>
      <c r="BA34" s="117"/>
      <c r="BB34" s="117"/>
      <c r="BC34" s="117"/>
      <c r="BD34" s="117"/>
      <c r="BE34" s="2831">
        <f>MyTimestamp(AI34)</f>
        <v/>
      </c>
      <c r="BF34" s="2832">
        <v>60</v>
      </c>
      <c r="BG34" s="121">
        <f>BE34</f>
        <v/>
      </c>
      <c r="BH34" s="2832">
        <v>60</v>
      </c>
      <c r="BI34" s="2833" t="inlineStr">
        <is>
          <t>S/01</t>
        </is>
      </c>
      <c r="BJ34" s="117"/>
      <c r="BK34" s="120">
        <f>Overview!$E$7</f>
        <v/>
      </c>
      <c r="BL34" s="117"/>
      <c r="BM34" s="2833" t="inlineStr">
        <is>
          <t>ANT-SAR Conducted</t>
        </is>
      </c>
      <c r="BN34" s="812">
        <f>Overview!$P$153</f>
        <v/>
      </c>
      <c r="BO34" s="117"/>
      <c r="BP34" s="117"/>
      <c r="BQ34" s="115"/>
      <c r="BR34" s="1478" t="inlineStr">
        <is>
          <t>N/A</t>
        </is>
      </c>
      <c r="BS34" s="37"/>
      <c r="BT34" s="234"/>
      <c r="BU34" s="37"/>
      <c r="BV34" s="231" t="inlineStr">
        <is>
          <t>2º Max GSM:</t>
        </is>
      </c>
      <c r="BW34" s="229">
        <f>IF(COUNT(AI33:AI35)&lt;2,"",IF(BW33="Low",IF(MAX(AI34:AI35)=AI34,"Mid","High"),IF(BW33="Mid",IF(MAX(AI33,AI35)=AI33,"Low","High"),IF(MAX(AI33:AI34)=AI33,"Low","Mid"))))</f>
        <v/>
      </c>
      <c r="BX34" s="229">
        <f>IF(BW34="",T33,IF(BW34="Low",T33,IF(BW34="Mid",T34,T35)))</f>
        <v>512</v>
      </c>
      <c r="BY34" s="229">
        <f>IF(BW34="",U33,IF(BW34="Low",U33,IF(BW34="Mid",U34,U35)))</f>
        <v>1710.2</v>
      </c>
      <c r="BZ34" s="229">
        <f>IF(BW34="","",IF(BW34="Low",AI33,IF(BW34="Mid",AI34,AI35)))</f>
        <v/>
      </c>
      <c r="CA34" s="1593"/>
      <c r="CB34" s="1593"/>
      <c r="CC34" s="1593"/>
      <c r="CD34" s="1593"/>
      <c r="CE34" s="1593"/>
      <c r="CF34" s="1593"/>
      <c r="CG34" s="1593"/>
      <c r="CH34" s="1593"/>
      <c r="CI34" s="1593"/>
      <c r="CJ34" s="1593"/>
      <c r="CK34" s="1593"/>
      <c r="CL34" s="1593"/>
      <c r="CM34" s="1593"/>
      <c r="CN34" s="1593"/>
      <c r="CO34" s="1593"/>
      <c r="CP34" s="1584"/>
      <c r="CQ34" s="1584"/>
      <c r="CR34" s="1584"/>
      <c r="CS34" s="1584"/>
      <c r="CT34" s="1584"/>
      <c r="CU34" s="1584"/>
      <c r="CV34" s="1584"/>
      <c r="CW34" s="1584"/>
      <c r="CX34" s="1584"/>
      <c r="CY34" s="1584"/>
      <c r="CZ34" s="1584"/>
      <c r="DA34" s="1584"/>
      <c r="DB34" s="1584"/>
      <c r="DC34" s="1584"/>
    </row>
    <row r="35" x14ac:dyDescent="0.2">
      <c r="A35" s="1584"/>
      <c r="B35" s="2902" t="inlineStr">
        <is>
          <t>EN</t>
        </is>
      </c>
      <c r="C35" s="3393"/>
      <c r="D35" s="812">
        <f>IF(ISNUMBER(FIND("EN",B35)),IF(ISNUMBER(FIND("FCC",B35)),IF(ISNUMBER(FIND("ISED",B35)),CONCATENATE(Overview!$V$10,";",Overview!$S$11,";",Overview!$S$12),CONCATENATE(Overview!$V$10,";",Overview!$S$11)),IF(ISNUMBER(FIND("ISED",B35)),CONCATENATE(Overview!$V$10,";",Overview!$S$12),Overview!$V$10)),IF(ISNUMBER(FIND("FCC",B35)),IF(ISNUMBER(FIND("ISED",B35)),CONCATENATE(Overview!$S$11,";",Overview!$S$12),"IEEE Std 1528™"),Overview!$S$12))</f>
        <v/>
      </c>
      <c r="E35" s="812">
        <f>IF(ISNUMBER(FIND("EN",B35)),IF(ISNUMBER(FIND("FCC",B35)),IF(ISNUMBER(FIND("ISED",B35)),CONCATENATE(Overview!$AB$10,";",Overview!$Y$11,";",Overview!$Y$12),CONCATENATE(Overview!$AB$10,";",Overview!$Y$11)),IF(ISNUMBER(FIND("ISED",B35)),CONCATENATE(Overview!$AB$10,";",Overview!$Y$12),Overview!$AB$10)),IF(ISNUMBER(FIND("FCC",B35)),IF(ISNUMBER(FIND("ISED",B35)),CONCATENATE(Overview!$Y$11,";",Overview!$Y$12),"IEEE Std 1528™"),Overview!$Y$12))</f>
        <v/>
      </c>
      <c r="F35" s="3394" t="inlineStr">
        <is>
          <t>2.1</t>
        </is>
      </c>
      <c r="G35" s="2903">
        <f>Overview!$E$30</f>
        <v/>
      </c>
      <c r="H35" s="3395"/>
      <c r="I35" s="3396"/>
      <c r="J35" s="2902" t="inlineStr">
        <is>
          <t>GSM</t>
        </is>
      </c>
      <c r="K35" s="2903">
        <v>1800</v>
      </c>
      <c r="L35" s="3396"/>
      <c r="M35" s="117"/>
      <c r="N35" s="117"/>
      <c r="O35" s="3397"/>
      <c r="P35" s="6061"/>
      <c r="Q35" s="3397"/>
      <c r="R35" s="3397"/>
      <c r="S35" s="117"/>
      <c r="T35" s="2904">
        <v>885</v>
      </c>
      <c r="U35" s="2904">
        <v>1784.8</v>
      </c>
      <c r="V35" s="117"/>
      <c r="W35" s="3398"/>
      <c r="X35" s="2903">
        <v>1</v>
      </c>
      <c r="Y35" s="2837"/>
      <c r="Z35" s="2903">
        <v>0</v>
      </c>
      <c r="AA35" s="3396"/>
      <c r="AB35" s="3396"/>
      <c r="AC35" s="3396"/>
      <c r="AD35" s="3396"/>
      <c r="AE35" s="3396"/>
      <c r="AF35" s="3396"/>
      <c r="AG35" s="3399" t="inlineStr">
        <is>
          <t>N/A</t>
        </is>
      </c>
      <c r="AH35" s="2976"/>
      <c r="AI35" s="7160"/>
      <c r="AJ35" s="7191">
        <f>AI35+$CL$2</f>
        <v/>
      </c>
      <c r="AK35" s="7146"/>
      <c r="AL35" s="3396"/>
      <c r="AM35" s="117"/>
      <c r="AN35" s="117"/>
      <c r="AO35" s="117"/>
      <c r="AP35" s="117"/>
      <c r="AQ35" s="3400"/>
      <c r="AR35" s="117"/>
      <c r="AS35" s="117"/>
      <c r="AT35" s="3400"/>
      <c r="AU35" s="117"/>
      <c r="AV35" s="117"/>
      <c r="AW35" s="117"/>
      <c r="AX35" s="117"/>
      <c r="AY35" s="117"/>
      <c r="AZ35" s="117"/>
      <c r="BA35" s="117"/>
      <c r="BB35" s="117"/>
      <c r="BC35" s="117"/>
      <c r="BD35" s="117"/>
      <c r="BE35" s="7143">
        <f>MyTimestamp(AI35)</f>
        <v/>
      </c>
      <c r="BF35" s="2839">
        <v>60</v>
      </c>
      <c r="BG35" s="121">
        <f>BE35</f>
        <v/>
      </c>
      <c r="BH35" s="2839">
        <v>60</v>
      </c>
      <c r="BI35" s="2840" t="inlineStr">
        <is>
          <t>S/01</t>
        </is>
      </c>
      <c r="BJ35" s="117"/>
      <c r="BK35" s="120">
        <f>Overview!$E$7</f>
        <v/>
      </c>
      <c r="BL35" s="117"/>
      <c r="BM35" s="2840" t="inlineStr">
        <is>
          <t>ANT-SAR Conducted</t>
        </is>
      </c>
      <c r="BN35" s="812">
        <f>Overview!$P$153</f>
        <v/>
      </c>
      <c r="BO35" s="117"/>
      <c r="BP35" s="117"/>
      <c r="BQ35" s="115"/>
      <c r="BR35" s="1478" t="inlineStr">
        <is>
          <t>N/A</t>
        </is>
      </c>
      <c r="BS35" s="37"/>
      <c r="BT35" s="235"/>
      <c r="BU35" s="37"/>
      <c r="BV35" s="232" t="inlineStr">
        <is>
          <t>3º Max GSM:</t>
        </is>
      </c>
      <c r="BW35" s="227">
        <f>IF(COUNT(AI33:AI35)&lt;3,"",IF(AND(OR(BW33="Low",BW33="Mid"),OR(BW34="Low",BW34="Mid")),"High",IF(AND(OR(BW33="Low",BW33="High"),OR(BW34="Low",BW34="High")),"Mid","Low")))</f>
        <v/>
      </c>
      <c r="BX35" s="227">
        <f>IF(BW35="",T35,IF(BW35="Low",T33,IF(BW35="Mid",T34,T35)))</f>
        <v>885</v>
      </c>
      <c r="BY35" s="227">
        <f>IF(BW35="",U35,IF(BW35="Low",U33,IF(BW35="Mid",U34,U35)))</f>
        <v>1784.8</v>
      </c>
      <c r="BZ35" s="227">
        <f>IF(BW35="","",IF(BW35="Low",AI33,IF(BW35="Mid",AI34,AI35)))</f>
        <v/>
      </c>
      <c r="CA35" s="1593"/>
      <c r="CB35" s="1593"/>
      <c r="CC35" s="1593"/>
      <c r="CD35" s="1593"/>
      <c r="CE35" s="1593"/>
      <c r="CF35" s="1593"/>
      <c r="CG35" s="1593"/>
      <c r="CH35" s="1593"/>
      <c r="CI35" s="1593"/>
      <c r="CJ35" s="1593"/>
      <c r="CK35" s="1593"/>
      <c r="CL35" s="1593"/>
      <c r="CM35" s="1593"/>
      <c r="CN35" s="1593"/>
      <c r="CO35" s="1593"/>
      <c r="CP35" s="1584"/>
      <c r="CQ35" s="1584"/>
      <c r="CR35" s="1584"/>
      <c r="CS35" s="1584"/>
      <c r="CT35" s="1584"/>
      <c r="CU35" s="1584"/>
      <c r="CV35" s="1584"/>
      <c r="CW35" s="1584"/>
      <c r="CX35" s="1584"/>
      <c r="CY35" s="1584"/>
      <c r="CZ35" s="1584"/>
      <c r="DA35" s="1584"/>
      <c r="DB35" s="1584"/>
      <c r="DC35" s="1584"/>
    </row>
    <row r="36" x14ac:dyDescent="0.2">
      <c r="A36" s="1584"/>
      <c r="B36" s="2896" t="inlineStr">
        <is>
          <t>EN</t>
        </is>
      </c>
      <c r="C36" s="3393"/>
      <c r="D36" s="812">
        <f>IF(ISNUMBER(FIND("EN",B36)),IF(ISNUMBER(FIND("FCC",B36)),IF(ISNUMBER(FIND("ISED",B36)),CONCATENATE(Overview!$V$10,";",Overview!$S$11,";",Overview!$S$12),CONCATENATE(Overview!$V$10,";",Overview!$S$11)),IF(ISNUMBER(FIND("ISED",B36)),CONCATENATE(Overview!$V$10,";",Overview!$S$12),Overview!$V$10)),IF(ISNUMBER(FIND("FCC",B36)),IF(ISNUMBER(FIND("ISED",B36)),CONCATENATE(Overview!$S$11,";",Overview!$S$12),"IEEE Std 1528™"),Overview!$S$12))</f>
        <v/>
      </c>
      <c r="E36" s="812">
        <f>IF(ISNUMBER(FIND("EN",B36)),IF(ISNUMBER(FIND("FCC",B36)),IF(ISNUMBER(FIND("ISED",B36)),CONCATENATE(Overview!$AB$10,";",Overview!$Y$11,";",Overview!$Y$12),CONCATENATE(Overview!$AB$10,";",Overview!$Y$11)),IF(ISNUMBER(FIND("ISED",B36)),CONCATENATE(Overview!$AB$10,";",Overview!$Y$12),Overview!$AB$10)),IF(ISNUMBER(FIND("FCC",B36)),IF(ISNUMBER(FIND("ISED",B36)),CONCATENATE(Overview!$Y$11,";",Overview!$Y$12),"IEEE Std 1528™"),Overview!$Y$12))</f>
        <v/>
      </c>
      <c r="F36" s="3394" t="inlineStr">
        <is>
          <t>2.1</t>
        </is>
      </c>
      <c r="G36" s="2897">
        <f>Overview!$E$31</f>
        <v/>
      </c>
      <c r="H36" s="3395"/>
      <c r="I36" s="3396"/>
      <c r="J36" s="2896" t="inlineStr">
        <is>
          <t>GSM</t>
        </is>
      </c>
      <c r="K36" s="2897">
        <v>1800</v>
      </c>
      <c r="L36" s="3396"/>
      <c r="M36" s="117"/>
      <c r="N36" s="117"/>
      <c r="O36" s="3397"/>
      <c r="P36" s="6061"/>
      <c r="Q36" s="3397"/>
      <c r="R36" s="3397"/>
      <c r="S36" s="117"/>
      <c r="T36" s="2898">
        <v>512</v>
      </c>
      <c r="U36" s="2898">
        <v>1710.2</v>
      </c>
      <c r="V36" s="117"/>
      <c r="W36" s="3398"/>
      <c r="X36" s="2897">
        <v>1</v>
      </c>
      <c r="Y36" s="2824"/>
      <c r="Z36" s="2897">
        <v>0</v>
      </c>
      <c r="AA36" s="3396"/>
      <c r="AB36" s="3396"/>
      <c r="AC36" s="3396"/>
      <c r="AD36" s="3396"/>
      <c r="AE36" s="3396"/>
      <c r="AF36" s="3396"/>
      <c r="AG36" s="3399" t="inlineStr">
        <is>
          <t>N/A</t>
        </is>
      </c>
      <c r="AH36" s="2964"/>
      <c r="AI36" s="7159"/>
      <c r="AJ36" s="7189">
        <f>AI36+$CL$2</f>
        <v/>
      </c>
      <c r="AK36" s="7146"/>
      <c r="AL36" s="3396"/>
      <c r="AM36" s="117"/>
      <c r="AN36" s="117"/>
      <c r="AO36" s="117"/>
      <c r="AP36" s="117"/>
      <c r="AQ36" s="3400"/>
      <c r="AR36" s="117"/>
      <c r="AS36" s="117"/>
      <c r="AT36" s="3400"/>
      <c r="AU36" s="117"/>
      <c r="AV36" s="117"/>
      <c r="AW36" s="117"/>
      <c r="AX36" s="117"/>
      <c r="AY36" s="117"/>
      <c r="AZ36" s="117"/>
      <c r="BA36" s="117"/>
      <c r="BB36" s="117"/>
      <c r="BC36" s="117"/>
      <c r="BD36" s="117"/>
      <c r="BE36" s="7145">
        <f>MyTimestamp(AI36)</f>
        <v/>
      </c>
      <c r="BF36" s="2825">
        <v>60</v>
      </c>
      <c r="BG36" s="121">
        <f>BE36</f>
        <v/>
      </c>
      <c r="BH36" s="2825">
        <v>60</v>
      </c>
      <c r="BI36" s="2845" t="inlineStr">
        <is>
          <t>S/01</t>
        </is>
      </c>
      <c r="BJ36" s="117"/>
      <c r="BK36" s="120">
        <f>Overview!$E$7</f>
        <v/>
      </c>
      <c r="BL36" s="117"/>
      <c r="BM36" s="2845" t="inlineStr">
        <is>
          <t>ANT-SAR Conducted</t>
        </is>
      </c>
      <c r="BN36" s="812">
        <f>Overview!$P$153</f>
        <v/>
      </c>
      <c r="BO36" s="117"/>
      <c r="BP36" s="117"/>
      <c r="BQ36" s="115"/>
      <c r="BR36" s="1478" t="inlineStr">
        <is>
          <t>N/A</t>
        </is>
      </c>
      <c r="BS36" s="37"/>
      <c r="BT36" s="234">
        <f>IF(COUNT(AI36:AI38)=0,"",MAX(AI36:AI38))</f>
        <v/>
      </c>
      <c r="BU36" s="37"/>
      <c r="BV36" s="230" t="inlineStr">
        <is>
          <t>1º Max GSM:</t>
        </is>
      </c>
      <c r="BW36" s="228">
        <f>IF(COUNT(AI36:AI38)=0,"",IF(MAX(AI36:AI38)=AI36,"Low",IF(MAX(AI36:AI38)=AI37,"Mid","High")))</f>
        <v/>
      </c>
      <c r="BX36" s="228">
        <f>IF(BW36="",T37,IF(BW36="Low",T36,IF(BW36="Mid",T37,T38)))</f>
        <v>698</v>
      </c>
      <c r="BY36" s="228">
        <f>IF(BW36="",U37,IF(BW36="Low",U36,IF(BW36="Mid",U37,U38)))</f>
        <v>1747.4</v>
      </c>
      <c r="BZ36" s="228">
        <f>IF(BW36="","",IF(BW36="Low",AI36,IF(BW36="Mid",AI37,AI38)))</f>
        <v/>
      </c>
      <c r="CA36" s="1593"/>
      <c r="CB36" s="1593"/>
      <c r="CC36" s="1593"/>
      <c r="CD36" s="1593"/>
      <c r="CE36" s="1593"/>
      <c r="CF36" s="1593"/>
      <c r="CG36" s="1593"/>
      <c r="CH36" s="1603"/>
      <c r="CI36" s="1603"/>
      <c r="CJ36" s="1603"/>
      <c r="CK36" s="1603"/>
      <c r="CL36" s="1593"/>
      <c r="CM36" s="1603"/>
      <c r="CN36" s="1603"/>
      <c r="CO36" s="1603"/>
      <c r="CP36" s="1584"/>
      <c r="CQ36" s="1584"/>
      <c r="CR36" s="1584"/>
      <c r="CS36" s="1584"/>
      <c r="CT36" s="1584"/>
      <c r="CU36" s="1584"/>
      <c r="CV36" s="1584"/>
      <c r="CW36" s="1584"/>
      <c r="CX36" s="1584"/>
      <c r="CY36" s="1584"/>
      <c r="CZ36" s="1584"/>
      <c r="DA36" s="1584"/>
      <c r="DB36" s="1584"/>
      <c r="DC36" s="1584"/>
    </row>
    <row r="37" x14ac:dyDescent="0.2">
      <c r="A37" s="1584"/>
      <c r="B37" s="2899" t="inlineStr">
        <is>
          <t>EN</t>
        </is>
      </c>
      <c r="C37" s="3393"/>
      <c r="D37" s="812">
        <f>IF(ISNUMBER(FIND("EN",B37)),IF(ISNUMBER(FIND("FCC",B37)),IF(ISNUMBER(FIND("ISED",B37)),CONCATENATE(Overview!$V$10,";",Overview!$S$11,";",Overview!$S$12),CONCATENATE(Overview!$V$10,";",Overview!$S$11)),IF(ISNUMBER(FIND("ISED",B37)),CONCATENATE(Overview!$V$10,";",Overview!$S$12),Overview!$V$10)),IF(ISNUMBER(FIND("FCC",B37)),IF(ISNUMBER(FIND("ISED",B37)),CONCATENATE(Overview!$S$11,";",Overview!$S$12),"IEEE Std 1528™"),Overview!$S$12))</f>
        <v/>
      </c>
      <c r="E37" s="812">
        <f>IF(ISNUMBER(FIND("EN",B37)),IF(ISNUMBER(FIND("FCC",B37)),IF(ISNUMBER(FIND("ISED",B37)),CONCATENATE(Overview!$AB$10,";",Overview!$Y$11,";",Overview!$Y$12),CONCATENATE(Overview!$AB$10,";",Overview!$Y$11)),IF(ISNUMBER(FIND("ISED",B37)),CONCATENATE(Overview!$AB$10,";",Overview!$Y$12),Overview!$AB$10)),IF(ISNUMBER(FIND("FCC",B37)),IF(ISNUMBER(FIND("ISED",B37)),CONCATENATE(Overview!$Y$11,";",Overview!$Y$12),"IEEE Std 1528™"),Overview!$Y$12))</f>
        <v/>
      </c>
      <c r="F37" s="3394" t="inlineStr">
        <is>
          <t>2.1</t>
        </is>
      </c>
      <c r="G37" s="2900">
        <f>Overview!$E$31</f>
        <v/>
      </c>
      <c r="H37" s="3395"/>
      <c r="I37" s="3396"/>
      <c r="J37" s="2899" t="inlineStr">
        <is>
          <t>GSM</t>
        </is>
      </c>
      <c r="K37" s="2900">
        <v>1800</v>
      </c>
      <c r="L37" s="3396"/>
      <c r="M37" s="117"/>
      <c r="N37" s="117"/>
      <c r="O37" s="3397"/>
      <c r="P37" s="6061"/>
      <c r="Q37" s="3397"/>
      <c r="R37" s="3397"/>
      <c r="S37" s="117"/>
      <c r="T37" s="2901">
        <v>698</v>
      </c>
      <c r="U37" s="2901">
        <v>1747.4</v>
      </c>
      <c r="V37" s="117"/>
      <c r="W37" s="3398"/>
      <c r="X37" s="2900">
        <v>1</v>
      </c>
      <c r="Y37" s="2830"/>
      <c r="Z37" s="2900">
        <v>0</v>
      </c>
      <c r="AA37" s="3396"/>
      <c r="AB37" s="3396"/>
      <c r="AC37" s="3396"/>
      <c r="AD37" s="3396"/>
      <c r="AE37" s="3396"/>
      <c r="AF37" s="3396"/>
      <c r="AG37" s="3399" t="inlineStr">
        <is>
          <t>N/A</t>
        </is>
      </c>
      <c r="AH37" s="2970"/>
      <c r="AI37" s="7155"/>
      <c r="AJ37" s="7190">
        <f>AI37+$CL$2</f>
        <v/>
      </c>
      <c r="AK37" s="7146"/>
      <c r="AL37" s="3396"/>
      <c r="AM37" s="117"/>
      <c r="AN37" s="117"/>
      <c r="AO37" s="117"/>
      <c r="AP37" s="117"/>
      <c r="AQ37" s="3400"/>
      <c r="AR37" s="117"/>
      <c r="AS37" s="117"/>
      <c r="AT37" s="3400"/>
      <c r="AU37" s="117"/>
      <c r="AV37" s="117"/>
      <c r="AW37" s="117"/>
      <c r="AX37" s="117"/>
      <c r="AY37" s="117"/>
      <c r="AZ37" s="117"/>
      <c r="BA37" s="117"/>
      <c r="BB37" s="117"/>
      <c r="BC37" s="117"/>
      <c r="BD37" s="117"/>
      <c r="BE37" s="2831">
        <f>MyTimestamp(AI37)</f>
        <v/>
      </c>
      <c r="BF37" s="2832">
        <v>60</v>
      </c>
      <c r="BG37" s="121">
        <f>BE37</f>
        <v/>
      </c>
      <c r="BH37" s="2832">
        <v>60</v>
      </c>
      <c r="BI37" s="2833" t="inlineStr">
        <is>
          <t>S/01</t>
        </is>
      </c>
      <c r="BJ37" s="117"/>
      <c r="BK37" s="120">
        <f>Overview!$E$7</f>
        <v/>
      </c>
      <c r="BL37" s="117"/>
      <c r="BM37" s="2833" t="inlineStr">
        <is>
          <t>ANT-SAR Conducted</t>
        </is>
      </c>
      <c r="BN37" s="812">
        <f>Overview!$P$153</f>
        <v/>
      </c>
      <c r="BO37" s="117"/>
      <c r="BP37" s="117"/>
      <c r="BQ37" s="115"/>
      <c r="BR37" s="1478" t="inlineStr">
        <is>
          <t>N/A</t>
        </is>
      </c>
      <c r="BS37" s="37"/>
      <c r="BT37" s="234"/>
      <c r="BU37" s="37"/>
      <c r="BV37" s="231" t="inlineStr">
        <is>
          <t>2º Max GSM:</t>
        </is>
      </c>
      <c r="BW37" s="229">
        <f>IF(COUNT(AI36:AI38)&lt;2,"",IF(BW36="Low",IF(MAX(AI37:AI38)=AI37,"Mid","High"),IF(BW36="Mid",IF(MAX(AI36,AI38)=AI36,"Low","High"),IF(MAX(AI36:AI37)=AI36,"Low","Mid"))))</f>
        <v/>
      </c>
      <c r="BX37" s="229">
        <f>IF(BW37="",T36,IF(BW37="Low",T36,IF(BW37="Mid",T37,T38)))</f>
        <v>512</v>
      </c>
      <c r="BY37" s="229">
        <f>IF(BW37="",U36,IF(BW37="Low",U36,IF(BW37="Mid",U37,U38)))</f>
        <v>1710.2</v>
      </c>
      <c r="BZ37" s="229">
        <f>IF(BW37="","",IF(BW37="Low",AI36,IF(BW37="Mid",AI37,AI38)))</f>
        <v/>
      </c>
      <c r="CA37" s="1593"/>
      <c r="CB37" s="1593"/>
      <c r="CC37" s="1593"/>
      <c r="CD37" s="1593"/>
      <c r="CE37" s="1593"/>
      <c r="CF37" s="1593"/>
      <c r="CG37" s="1593"/>
      <c r="CH37" s="1603"/>
      <c r="CI37" s="1603"/>
      <c r="CJ37" s="1603"/>
      <c r="CK37" s="1603"/>
      <c r="CL37" s="1593"/>
      <c r="CM37" s="1603"/>
      <c r="CN37" s="1603"/>
      <c r="CO37" s="1603"/>
      <c r="CP37" s="1584"/>
      <c r="CQ37" s="1584"/>
      <c r="CR37" s="1584"/>
      <c r="CS37" s="1584"/>
      <c r="CT37" s="1584"/>
      <c r="CU37" s="1584"/>
      <c r="CV37" s="1584"/>
      <c r="CW37" s="1584"/>
      <c r="CX37" s="1584"/>
      <c r="CY37" s="1584"/>
      <c r="CZ37" s="1584"/>
      <c r="DA37" s="1584"/>
      <c r="DB37" s="1584"/>
      <c r="DC37" s="1584"/>
    </row>
    <row r="38" x14ac:dyDescent="0.2">
      <c r="A38" s="1584"/>
      <c r="B38" s="2902" t="inlineStr">
        <is>
          <t>EN</t>
        </is>
      </c>
      <c r="C38" s="3393"/>
      <c r="D38" s="812">
        <f>IF(ISNUMBER(FIND("EN",B38)),IF(ISNUMBER(FIND("FCC",B38)),IF(ISNUMBER(FIND("ISED",B38)),CONCATENATE(Overview!$V$10,";",Overview!$S$11,";",Overview!$S$12),CONCATENATE(Overview!$V$10,";",Overview!$S$11)),IF(ISNUMBER(FIND("ISED",B38)),CONCATENATE(Overview!$V$10,";",Overview!$S$12),Overview!$V$10)),IF(ISNUMBER(FIND("FCC",B38)),IF(ISNUMBER(FIND("ISED",B38)),CONCATENATE(Overview!$S$11,";",Overview!$S$12),"IEEE Std 1528™"),Overview!$S$12))</f>
        <v/>
      </c>
      <c r="E38" s="812">
        <f>IF(ISNUMBER(FIND("EN",B38)),IF(ISNUMBER(FIND("FCC",B38)),IF(ISNUMBER(FIND("ISED",B38)),CONCATENATE(Overview!$AB$10,";",Overview!$Y$11,";",Overview!$Y$12),CONCATENATE(Overview!$AB$10,";",Overview!$Y$11)),IF(ISNUMBER(FIND("ISED",B38)),CONCATENATE(Overview!$AB$10,";",Overview!$Y$12),Overview!$AB$10)),IF(ISNUMBER(FIND("FCC",B38)),IF(ISNUMBER(FIND("ISED",B38)),CONCATENATE(Overview!$Y$11,";",Overview!$Y$12),"IEEE Std 1528™"),Overview!$Y$12))</f>
        <v/>
      </c>
      <c r="F38" s="3394" t="inlineStr">
        <is>
          <t>2.1</t>
        </is>
      </c>
      <c r="G38" s="2903">
        <f>Overview!$E$31</f>
        <v/>
      </c>
      <c r="H38" s="3395"/>
      <c r="I38" s="3396"/>
      <c r="J38" s="2902" t="inlineStr">
        <is>
          <t>GSM</t>
        </is>
      </c>
      <c r="K38" s="2903">
        <v>1800</v>
      </c>
      <c r="L38" s="3396"/>
      <c r="M38" s="117"/>
      <c r="N38" s="117"/>
      <c r="O38" s="3397"/>
      <c r="P38" s="6061"/>
      <c r="Q38" s="3397"/>
      <c r="R38" s="3397"/>
      <c r="S38" s="117"/>
      <c r="T38" s="2904">
        <v>885</v>
      </c>
      <c r="U38" s="2904">
        <v>1784.8</v>
      </c>
      <c r="V38" s="117"/>
      <c r="W38" s="3398"/>
      <c r="X38" s="2903">
        <v>1</v>
      </c>
      <c r="Y38" s="2837"/>
      <c r="Z38" s="2903">
        <v>0</v>
      </c>
      <c r="AA38" s="3396"/>
      <c r="AB38" s="3396"/>
      <c r="AC38" s="3396"/>
      <c r="AD38" s="3396"/>
      <c r="AE38" s="3396"/>
      <c r="AF38" s="3396"/>
      <c r="AG38" s="3399" t="inlineStr">
        <is>
          <t>N/A</t>
        </is>
      </c>
      <c r="AH38" s="2976"/>
      <c r="AI38" s="7160"/>
      <c r="AJ38" s="7191">
        <f>AI38+$CL$2</f>
        <v/>
      </c>
      <c r="AK38" s="7146"/>
      <c r="AL38" s="3396"/>
      <c r="AM38" s="117"/>
      <c r="AN38" s="117"/>
      <c r="AO38" s="117"/>
      <c r="AP38" s="117"/>
      <c r="AQ38" s="3400"/>
      <c r="AR38" s="117"/>
      <c r="AS38" s="117"/>
      <c r="AT38" s="3400"/>
      <c r="AU38" s="117"/>
      <c r="AV38" s="117"/>
      <c r="AW38" s="117"/>
      <c r="AX38" s="117"/>
      <c r="AY38" s="117"/>
      <c r="AZ38" s="117"/>
      <c r="BA38" s="117"/>
      <c r="BB38" s="117"/>
      <c r="BC38" s="117"/>
      <c r="BD38" s="117"/>
      <c r="BE38" s="7143">
        <f>MyTimestamp(AI38)</f>
        <v/>
      </c>
      <c r="BF38" s="2839">
        <v>60</v>
      </c>
      <c r="BG38" s="121">
        <f>BE38</f>
        <v/>
      </c>
      <c r="BH38" s="2839">
        <v>60</v>
      </c>
      <c r="BI38" s="2840" t="inlineStr">
        <is>
          <t>S/01</t>
        </is>
      </c>
      <c r="BJ38" s="117"/>
      <c r="BK38" s="120">
        <f>Overview!$E$7</f>
        <v/>
      </c>
      <c r="BL38" s="117"/>
      <c r="BM38" s="2840" t="inlineStr">
        <is>
          <t>ANT-SAR Conducted</t>
        </is>
      </c>
      <c r="BN38" s="812">
        <f>Overview!$P$153</f>
        <v/>
      </c>
      <c r="BO38" s="117"/>
      <c r="BP38" s="117"/>
      <c r="BQ38" s="115"/>
      <c r="BR38" s="1478" t="inlineStr">
        <is>
          <t>N/A</t>
        </is>
      </c>
      <c r="BS38" s="37"/>
      <c r="BT38" s="235"/>
      <c r="BU38" s="37"/>
      <c r="BV38" s="232" t="inlineStr">
        <is>
          <t>3º Max GSM:</t>
        </is>
      </c>
      <c r="BW38" s="227">
        <f>IF(COUNT(AI36:AI38)&lt;3,"",IF(AND(OR(BW36="Low",BW36="Mid"),OR(BW37="Low",BW37="Mid")),"High",IF(AND(OR(BW36="Low",BW36="High"),OR(BW37="Low",BW37="High")),"Mid","Low")))</f>
        <v/>
      </c>
      <c r="BX38" s="227">
        <f>IF(BW38="",T38,IF(BW38="Low",T36,IF(BW38="Mid",T37,T38)))</f>
        <v>885</v>
      </c>
      <c r="BY38" s="227">
        <f>IF(BW38="",U38,IF(BW38="Low",U36,IF(BW38="Mid",U37,U38)))</f>
        <v>1784.8</v>
      </c>
      <c r="BZ38" s="227">
        <f>IF(BW38="","",IF(BW38="Low",AI36,IF(BW38="Mid",AI37,AI38)))</f>
        <v/>
      </c>
      <c r="CA38" s="1593"/>
      <c r="CB38" s="1593"/>
      <c r="CC38" s="1593"/>
      <c r="CD38" s="1593"/>
      <c r="CE38" s="1593"/>
      <c r="CF38" s="1593"/>
      <c r="CG38" s="1593"/>
      <c r="CH38" s="1603"/>
      <c r="CI38" s="1603"/>
      <c r="CJ38" s="1603"/>
      <c r="CK38" s="1603"/>
      <c r="CL38" s="1593"/>
      <c r="CM38" s="1603"/>
      <c r="CN38" s="1603"/>
      <c r="CO38" s="1603"/>
      <c r="CP38" s="1584"/>
      <c r="CQ38" s="1584"/>
      <c r="CR38" s="1584"/>
      <c r="CS38" s="1584"/>
      <c r="CT38" s="1584"/>
      <c r="CU38" s="1584"/>
      <c r="CV38" s="1584"/>
      <c r="CW38" s="1584"/>
      <c r="CX38" s="1584"/>
      <c r="CY38" s="1584"/>
      <c r="CZ38" s="1584"/>
      <c r="DA38" s="1584"/>
      <c r="DB38" s="1584"/>
      <c r="DC38" s="1584"/>
    </row>
    <row r="39" x14ac:dyDescent="0.2">
      <c r="A39" s="1584"/>
      <c r="B39" s="2933" t="inlineStr">
        <is>
          <t>FCC/ISED</t>
        </is>
      </c>
      <c r="C39" s="3393"/>
      <c r="D39" s="812">
        <f>IF(ISNUMBER(FIND("EN",B39)),IF(ISNUMBER(FIND("FCC",B39)),IF(ISNUMBER(FIND("ISED",B39)),CONCATENATE(Overview!$V$10,";",Overview!$S$11,";",Overview!$S$12),CONCATENATE(Overview!$V$10,";",Overview!$S$11)),IF(ISNUMBER(FIND("ISED",B39)),CONCATENATE(Overview!$V$10,";",Overview!$S$12),Overview!$V$10)),IF(ISNUMBER(FIND("FCC",B39)),IF(ISNUMBER(FIND("ISED",B39)),CONCATENATE(Overview!$S$11,";",Overview!$S$12),"IEEE Std 1528™"),Overview!$S$12))</f>
        <v/>
      </c>
      <c r="E39" s="812">
        <f>IF(ISNUMBER(FIND("EN",B39)),IF(ISNUMBER(FIND("FCC",B39)),IF(ISNUMBER(FIND("ISED",B39)),CONCATENATE(Overview!$AB$10,";",Overview!$Y$11,";",Overview!$Y$12),CONCATENATE(Overview!$AB$10,";",Overview!$Y$11)),IF(ISNUMBER(FIND("ISED",B39)),CONCATENATE(Overview!$AB$10,";",Overview!$Y$12),Overview!$AB$10)),IF(ISNUMBER(FIND("FCC",B39)),IF(ISNUMBER(FIND("ISED",B39)),CONCATENATE(Overview!$Y$11,";",Overview!$Y$12),"IEEE Std 1528™"),Overview!$Y$12))</f>
        <v/>
      </c>
      <c r="F39" s="3394" t="inlineStr">
        <is>
          <t>2.1</t>
        </is>
      </c>
      <c r="G39" s="2933">
        <f>Overview!$E$28</f>
        <v/>
      </c>
      <c r="H39" s="3395"/>
      <c r="I39" s="3396"/>
      <c r="J39" s="2933" t="inlineStr">
        <is>
          <t>GSM</t>
        </is>
      </c>
      <c r="K39" s="2933">
        <v>1900</v>
      </c>
      <c r="L39" s="3396"/>
      <c r="M39" s="117"/>
      <c r="N39" s="117"/>
      <c r="O39" s="3397"/>
      <c r="P39" s="6061"/>
      <c r="Q39" s="3397"/>
      <c r="R39" s="3397"/>
      <c r="S39" s="117"/>
      <c r="T39" s="2934">
        <v>512</v>
      </c>
      <c r="U39" s="2934">
        <v>1850.2</v>
      </c>
      <c r="V39" s="117"/>
      <c r="W39" s="3398"/>
      <c r="X39" s="2933">
        <v>1</v>
      </c>
      <c r="Y39" s="2824"/>
      <c r="Z39" s="2933">
        <v>0</v>
      </c>
      <c r="AA39" s="3396"/>
      <c r="AB39" s="3396"/>
      <c r="AC39" s="3396"/>
      <c r="AD39" s="3396"/>
      <c r="AE39" s="3396"/>
      <c r="AF39" s="3396"/>
      <c r="AG39" s="3399" t="inlineStr">
        <is>
          <t>N/A</t>
        </is>
      </c>
      <c r="AH39" s="2964"/>
      <c r="AI39" s="7159"/>
      <c r="AJ39" s="7198">
        <f>AI39+$CL$2</f>
        <v/>
      </c>
      <c r="AK39" s="7146"/>
      <c r="AL39" s="3396"/>
      <c r="AM39" s="117"/>
      <c r="AN39" s="117"/>
      <c r="AO39" s="117"/>
      <c r="AP39" s="117"/>
      <c r="AQ39" s="3400"/>
      <c r="AR39" s="117"/>
      <c r="AS39" s="117"/>
      <c r="AT39" s="3400"/>
      <c r="AU39" s="117"/>
      <c r="AV39" s="117"/>
      <c r="AW39" s="117"/>
      <c r="AX39" s="117"/>
      <c r="AY39" s="117"/>
      <c r="AZ39" s="117"/>
      <c r="BA39" s="117"/>
      <c r="BB39" s="117"/>
      <c r="BC39" s="117"/>
      <c r="BD39" s="117"/>
      <c r="BE39" s="7145">
        <f>MyTimestamp(AI39)</f>
        <v/>
      </c>
      <c r="BF39" s="2825">
        <v>60</v>
      </c>
      <c r="BG39" s="121">
        <f>BE39</f>
        <v/>
      </c>
      <c r="BH39" s="2825">
        <v>60</v>
      </c>
      <c r="BI39" s="2845" t="inlineStr">
        <is>
          <t>S/01</t>
        </is>
      </c>
      <c r="BJ39" s="117"/>
      <c r="BK39" s="120">
        <f>Overview!$E$7</f>
        <v/>
      </c>
      <c r="BL39" s="117"/>
      <c r="BM39" s="2845" t="inlineStr">
        <is>
          <t>ANT-SAR Conducted</t>
        </is>
      </c>
      <c r="BN39" s="812">
        <f>Overview!$P$153</f>
        <v/>
      </c>
      <c r="BO39" s="117"/>
      <c r="BP39" s="117"/>
      <c r="BQ39" s="115"/>
      <c r="BR39" s="1478" t="inlineStr">
        <is>
          <t>N/A</t>
        </is>
      </c>
      <c r="BS39" s="37"/>
      <c r="BT39" s="234">
        <f>IF(COUNT(AI39:AI41)=0,"",MAX(AI39:AI41))</f>
        <v/>
      </c>
      <c r="BU39" s="37"/>
      <c r="BV39" s="230" t="inlineStr">
        <is>
          <t>1º Max GSM:</t>
        </is>
      </c>
      <c r="BW39" s="228">
        <f>IF(COUNT(AI39:AI41)=0,"",IF(MAX(AI39:AI41)=AI39,"Low",IF(MAX(AI39:AI41)=AI40,"Mid","High")))</f>
        <v/>
      </c>
      <c r="BX39" s="228">
        <f>IF(BW39="",T40,IF(BW39="Low",T39,IF(BW39="Mid",T40,T41)))</f>
        <v>661</v>
      </c>
      <c r="BY39" s="228">
        <f>IF(BW39="",U40,IF(BW39="Low",U39,IF(BW39="Mid",U40,U41)))</f>
        <v>1880</v>
      </c>
      <c r="BZ39" s="228">
        <f>IF(BW39="","",IF(BW39="Low",AI39,IF(BW39="Mid",AI40,AI41)))</f>
        <v/>
      </c>
      <c r="CA39" s="1593"/>
      <c r="CB39" s="1593"/>
      <c r="CC39" s="1593"/>
      <c r="CD39" s="1593"/>
      <c r="CE39" s="1593"/>
      <c r="CF39" s="1593"/>
      <c r="CG39" s="1593"/>
      <c r="CH39" s="1593"/>
      <c r="CI39" s="1593"/>
      <c r="CJ39" s="1593"/>
      <c r="CK39" s="1593"/>
      <c r="CL39" s="1593"/>
      <c r="CM39" s="1603"/>
      <c r="CN39" s="1603"/>
      <c r="CO39" s="1603"/>
      <c r="CP39" s="1584"/>
      <c r="CQ39" s="1584"/>
      <c r="CR39" s="1584"/>
      <c r="CS39" s="1584"/>
      <c r="CT39" s="1584"/>
      <c r="CU39" s="1584"/>
      <c r="CV39" s="1584"/>
      <c r="CW39" s="1584"/>
      <c r="CX39" s="1584"/>
      <c r="CY39" s="1584"/>
      <c r="CZ39" s="1584"/>
      <c r="DA39" s="1584"/>
      <c r="DB39" s="1584"/>
      <c r="DC39" s="1584"/>
    </row>
    <row r="40" x14ac:dyDescent="0.2">
      <c r="A40" s="1584"/>
      <c r="B40" s="2935" t="inlineStr">
        <is>
          <t>FCC/ISED</t>
        </is>
      </c>
      <c r="C40" s="3393"/>
      <c r="D40" s="812">
        <f>IF(ISNUMBER(FIND("EN",B40)),IF(ISNUMBER(FIND("FCC",B40)),IF(ISNUMBER(FIND("ISED",B40)),CONCATENATE(Overview!$V$10,";",Overview!$S$11,";",Overview!$S$12),CONCATENATE(Overview!$V$10,";",Overview!$S$11)),IF(ISNUMBER(FIND("ISED",B40)),CONCATENATE(Overview!$V$10,";",Overview!$S$12),Overview!$V$10)),IF(ISNUMBER(FIND("FCC",B40)),IF(ISNUMBER(FIND("ISED",B40)),CONCATENATE(Overview!$S$11,";",Overview!$S$12),"IEEE Std 1528™"),Overview!$S$12))</f>
        <v/>
      </c>
      <c r="E40" s="812">
        <f>IF(ISNUMBER(FIND("EN",B40)),IF(ISNUMBER(FIND("FCC",B40)),IF(ISNUMBER(FIND("ISED",B40)),CONCATENATE(Overview!$AB$10,";",Overview!$Y$11,";",Overview!$Y$12),CONCATENATE(Overview!$AB$10,";",Overview!$Y$11)),IF(ISNUMBER(FIND("ISED",B40)),CONCATENATE(Overview!$AB$10,";",Overview!$Y$12),Overview!$AB$10)),IF(ISNUMBER(FIND("FCC",B40)),IF(ISNUMBER(FIND("ISED",B40)),CONCATENATE(Overview!$Y$11,";",Overview!$Y$12),"IEEE Std 1528™"),Overview!$Y$12))</f>
        <v/>
      </c>
      <c r="F40" s="3394" t="inlineStr">
        <is>
          <t>2.1</t>
        </is>
      </c>
      <c r="G40" s="2935">
        <f>Overview!$E$28</f>
        <v/>
      </c>
      <c r="H40" s="3395"/>
      <c r="I40" s="3396"/>
      <c r="J40" s="2935" t="inlineStr">
        <is>
          <t>GSM</t>
        </is>
      </c>
      <c r="K40" s="2935">
        <v>1900</v>
      </c>
      <c r="L40" s="3396"/>
      <c r="M40" s="117"/>
      <c r="N40" s="117"/>
      <c r="O40" s="3397"/>
      <c r="P40" s="6061"/>
      <c r="Q40" s="3397"/>
      <c r="R40" s="3397"/>
      <c r="S40" s="117"/>
      <c r="T40" s="2936">
        <v>661</v>
      </c>
      <c r="U40" s="2936">
        <v>1880</v>
      </c>
      <c r="V40" s="117"/>
      <c r="W40" s="3398"/>
      <c r="X40" s="2935">
        <v>1</v>
      </c>
      <c r="Y40" s="2830"/>
      <c r="Z40" s="2935">
        <v>0</v>
      </c>
      <c r="AA40" s="3396"/>
      <c r="AB40" s="3396"/>
      <c r="AC40" s="3396"/>
      <c r="AD40" s="3396"/>
      <c r="AE40" s="3396"/>
      <c r="AF40" s="3396"/>
      <c r="AG40" s="3399" t="inlineStr">
        <is>
          <t>N/A</t>
        </is>
      </c>
      <c r="AH40" s="2970"/>
      <c r="AI40" s="7155"/>
      <c r="AJ40" s="7199">
        <f>AI40+$CL$2</f>
        <v/>
      </c>
      <c r="AK40" s="7146"/>
      <c r="AL40" s="3396"/>
      <c r="AM40" s="117"/>
      <c r="AN40" s="117"/>
      <c r="AO40" s="117"/>
      <c r="AP40" s="117"/>
      <c r="AQ40" s="3400"/>
      <c r="AR40" s="117"/>
      <c r="AS40" s="117"/>
      <c r="AT40" s="3400"/>
      <c r="AU40" s="117"/>
      <c r="AV40" s="117"/>
      <c r="AW40" s="117"/>
      <c r="AX40" s="117"/>
      <c r="AY40" s="117"/>
      <c r="AZ40" s="117"/>
      <c r="BA40" s="117"/>
      <c r="BB40" s="117"/>
      <c r="BC40" s="117"/>
      <c r="BD40" s="117"/>
      <c r="BE40" s="2831">
        <f>MyTimestamp(AI40)</f>
        <v/>
      </c>
      <c r="BF40" s="2832">
        <v>60</v>
      </c>
      <c r="BG40" s="121">
        <f>BE40</f>
        <v/>
      </c>
      <c r="BH40" s="2832">
        <v>60</v>
      </c>
      <c r="BI40" s="2833" t="inlineStr">
        <is>
          <t>S/01</t>
        </is>
      </c>
      <c r="BJ40" s="117"/>
      <c r="BK40" s="120">
        <f>Overview!$E$7</f>
        <v/>
      </c>
      <c r="BL40" s="117"/>
      <c r="BM40" s="2833" t="inlineStr">
        <is>
          <t>ANT-SAR Conducted</t>
        </is>
      </c>
      <c r="BN40" s="812">
        <f>Overview!$P$153</f>
        <v/>
      </c>
      <c r="BO40" s="117"/>
      <c r="BP40" s="117"/>
      <c r="BQ40" s="115"/>
      <c r="BR40" s="1478" t="inlineStr">
        <is>
          <t>N/A</t>
        </is>
      </c>
      <c r="BS40" s="37"/>
      <c r="BT40" s="234"/>
      <c r="BU40" s="37"/>
      <c r="BV40" s="231" t="inlineStr">
        <is>
          <t>2º Max GSM:</t>
        </is>
      </c>
      <c r="BW40" s="229">
        <f>IF(COUNT(AI39:AI41)&lt;2,"",IF(BW39="Low",IF(MAX(AI40:AI41)=AI40,"Mid","High"),IF(BW39="Mid",IF(MAX(AI39,AI41)=AI39,"Low","High"),IF(MAX(AI39:AI40)=AI39,"Low","Mid"))))</f>
        <v/>
      </c>
      <c r="BX40" s="229">
        <f>IF(BW40="",T39,IF(BW40="Low",T39,IF(BW40="Mid",T40,T41)))</f>
        <v>512</v>
      </c>
      <c r="BY40" s="229">
        <f>IF(BW40="",U39,IF(BW40="Low",U39,IF(BW40="Mid",U40,U41)))</f>
        <v>1850.2</v>
      </c>
      <c r="BZ40" s="229">
        <f>IF(BW40="","",IF(BW40="Low",AI39,IF(BW40="Mid",AI40,AI41)))</f>
        <v/>
      </c>
      <c r="CA40" s="1593"/>
      <c r="CB40" s="1593"/>
      <c r="CC40" s="1593"/>
      <c r="CD40" s="1593"/>
      <c r="CE40" s="1593"/>
      <c r="CF40" s="1593"/>
      <c r="CG40" s="1593"/>
      <c r="CH40" s="1593"/>
      <c r="CI40" s="1593"/>
      <c r="CJ40" s="1593"/>
      <c r="CK40" s="1593"/>
      <c r="CL40" s="1593"/>
      <c r="CM40" s="1603"/>
      <c r="CN40" s="1603"/>
      <c r="CO40" s="1603"/>
      <c r="CP40" s="1584"/>
      <c r="CQ40" s="1584"/>
      <c r="CR40" s="1584"/>
      <c r="CS40" s="1584"/>
      <c r="CT40" s="1584"/>
      <c r="CU40" s="1584"/>
      <c r="CV40" s="1584"/>
      <c r="CW40" s="1584"/>
      <c r="CX40" s="1584"/>
      <c r="CY40" s="1584"/>
      <c r="CZ40" s="1584"/>
      <c r="DA40" s="1584"/>
      <c r="DB40" s="1584"/>
      <c r="DC40" s="1584"/>
    </row>
    <row r="41" x14ac:dyDescent="0.2">
      <c r="A41" s="1584"/>
      <c r="B41" s="2937" t="inlineStr">
        <is>
          <t>FCC/ISED</t>
        </is>
      </c>
      <c r="C41" s="3393"/>
      <c r="D41" s="812">
        <f>IF(ISNUMBER(FIND("EN",B41)),IF(ISNUMBER(FIND("FCC",B41)),IF(ISNUMBER(FIND("ISED",B41)),CONCATENATE(Overview!$V$10,";",Overview!$S$11,";",Overview!$S$12),CONCATENATE(Overview!$V$10,";",Overview!$S$11)),IF(ISNUMBER(FIND("ISED",B41)),CONCATENATE(Overview!$V$10,";",Overview!$S$12),Overview!$V$10)),IF(ISNUMBER(FIND("FCC",B41)),IF(ISNUMBER(FIND("ISED",B41)),CONCATENATE(Overview!$S$11,";",Overview!$S$12),"IEEE Std 1528™"),Overview!$S$12))</f>
        <v/>
      </c>
      <c r="E41" s="812">
        <f>IF(ISNUMBER(FIND("EN",B41)),IF(ISNUMBER(FIND("FCC",B41)),IF(ISNUMBER(FIND("ISED",B41)),CONCATENATE(Overview!$AB$10,";",Overview!$Y$11,";",Overview!$Y$12),CONCATENATE(Overview!$AB$10,";",Overview!$Y$11)),IF(ISNUMBER(FIND("ISED",B41)),CONCATENATE(Overview!$AB$10,";",Overview!$Y$12),Overview!$AB$10)),IF(ISNUMBER(FIND("FCC",B41)),IF(ISNUMBER(FIND("ISED",B41)),CONCATENATE(Overview!$Y$11,";",Overview!$Y$12),"IEEE Std 1528™"),Overview!$Y$12))</f>
        <v/>
      </c>
      <c r="F41" s="3394" t="inlineStr">
        <is>
          <t>2.1</t>
        </is>
      </c>
      <c r="G41" s="2937">
        <f>Overview!$E$28</f>
        <v/>
      </c>
      <c r="H41" s="3395"/>
      <c r="I41" s="3396"/>
      <c r="J41" s="2937" t="inlineStr">
        <is>
          <t>GSM</t>
        </is>
      </c>
      <c r="K41" s="2937">
        <v>1900</v>
      </c>
      <c r="L41" s="3396"/>
      <c r="M41" s="117"/>
      <c r="N41" s="117"/>
      <c r="O41" s="3397"/>
      <c r="P41" s="6061"/>
      <c r="Q41" s="3397"/>
      <c r="R41" s="3397"/>
      <c r="S41" s="117"/>
      <c r="T41" s="2938">
        <v>810</v>
      </c>
      <c r="U41" s="2938">
        <v>1909.8</v>
      </c>
      <c r="V41" s="117"/>
      <c r="W41" s="3398"/>
      <c r="X41" s="2937">
        <v>1</v>
      </c>
      <c r="Y41" s="2837"/>
      <c r="Z41" s="2937">
        <v>0</v>
      </c>
      <c r="AA41" s="3396"/>
      <c r="AB41" s="3396"/>
      <c r="AC41" s="3396"/>
      <c r="AD41" s="3396"/>
      <c r="AE41" s="3396"/>
      <c r="AF41" s="3396"/>
      <c r="AG41" s="3399" t="inlineStr">
        <is>
          <t>N/A</t>
        </is>
      </c>
      <c r="AH41" s="2976"/>
      <c r="AI41" s="7160"/>
      <c r="AJ41" s="7200">
        <f>AI41+$CL$2</f>
        <v/>
      </c>
      <c r="AK41" s="7146"/>
      <c r="AL41" s="3396"/>
      <c r="AM41" s="117"/>
      <c r="AN41" s="117"/>
      <c r="AO41" s="117"/>
      <c r="AP41" s="117"/>
      <c r="AQ41" s="3400"/>
      <c r="AR41" s="117"/>
      <c r="AS41" s="117"/>
      <c r="AT41" s="3400"/>
      <c r="AU41" s="117"/>
      <c r="AV41" s="117"/>
      <c r="AW41" s="117"/>
      <c r="AX41" s="117"/>
      <c r="AY41" s="117"/>
      <c r="AZ41" s="117"/>
      <c r="BA41" s="117"/>
      <c r="BB41" s="117"/>
      <c r="BC41" s="117"/>
      <c r="BD41" s="117"/>
      <c r="BE41" s="7143">
        <f>MyTimestamp(AI41)</f>
        <v/>
      </c>
      <c r="BF41" s="2839">
        <v>60</v>
      </c>
      <c r="BG41" s="121">
        <f>BE41</f>
        <v/>
      </c>
      <c r="BH41" s="2839">
        <v>60</v>
      </c>
      <c r="BI41" s="2840" t="inlineStr">
        <is>
          <t>S/01</t>
        </is>
      </c>
      <c r="BJ41" s="117"/>
      <c r="BK41" s="120">
        <f>Overview!$E$7</f>
        <v/>
      </c>
      <c r="BL41" s="117"/>
      <c r="BM41" s="2840" t="inlineStr">
        <is>
          <t>ANT-SAR Conducted</t>
        </is>
      </c>
      <c r="BN41" s="812">
        <f>Overview!$P$153</f>
        <v/>
      </c>
      <c r="BO41" s="117"/>
      <c r="BP41" s="117"/>
      <c r="BQ41" s="115"/>
      <c r="BR41" s="1478" t="inlineStr">
        <is>
          <t>N/A</t>
        </is>
      </c>
      <c r="BS41" s="37"/>
      <c r="BT41" s="235"/>
      <c r="BU41" s="37"/>
      <c r="BV41" s="232" t="inlineStr">
        <is>
          <t>3º Max GSM:</t>
        </is>
      </c>
      <c r="BW41" s="227">
        <f>IF(COUNT(AI39:AI41)&lt;3,"",IF(AND(OR(BW39="Low",BW39="Mid"),OR(BW40="Low",BW40="Mid")),"High",IF(AND(OR(BW39="Low",BW39="High"),OR(BW40="Low",BW40="High")),"Mid","Low")))</f>
        <v/>
      </c>
      <c r="BX41" s="227">
        <f>IF(BW41="",T41,IF(BW41="Low",T39,IF(BW41="Mid",T40,T41)))</f>
        <v>810</v>
      </c>
      <c r="BY41" s="227">
        <f>IF(BW41="",U41,IF(BW41="Low",U39,IF(BW41="Mid",U40,U41)))</f>
        <v>1909.8</v>
      </c>
      <c r="BZ41" s="227">
        <f>IF(BW41="","",IF(BW41="Low",AI39,IF(BW41="Mid",AI40,AI41)))</f>
        <v/>
      </c>
      <c r="CA41" s="1593"/>
      <c r="CB41" s="1593"/>
      <c r="CC41" s="1593"/>
      <c r="CD41" s="1593"/>
      <c r="CE41" s="1593"/>
      <c r="CF41" s="1593"/>
      <c r="CG41" s="1593"/>
      <c r="CH41" s="1593"/>
      <c r="CI41" s="1593"/>
      <c r="CJ41" s="1593"/>
      <c r="CK41" s="1593"/>
      <c r="CL41" s="1593"/>
      <c r="CM41" s="1603"/>
      <c r="CN41" s="1603"/>
      <c r="CO41" s="1603"/>
      <c r="CP41" s="1584"/>
      <c r="CQ41" s="1584"/>
      <c r="CR41" s="1584"/>
      <c r="CS41" s="1584"/>
      <c r="CT41" s="1584"/>
      <c r="CU41" s="1584"/>
      <c r="CV41" s="1584"/>
      <c r="CW41" s="1584"/>
      <c r="CX41" s="1584"/>
      <c r="CY41" s="1584"/>
      <c r="CZ41" s="1584"/>
      <c r="DA41" s="1584"/>
      <c r="DB41" s="1584"/>
      <c r="DC41" s="1584"/>
    </row>
    <row r="42" x14ac:dyDescent="0.2">
      <c r="A42" s="1584"/>
      <c r="B42" s="2933" t="inlineStr">
        <is>
          <t>FCC/ISED</t>
        </is>
      </c>
      <c r="C42" s="3393"/>
      <c r="D42" s="812">
        <f>IF(ISNUMBER(FIND("EN",B42)),IF(ISNUMBER(FIND("FCC",B42)),IF(ISNUMBER(FIND("ISED",B42)),CONCATENATE(Overview!$V$10,";",Overview!$S$11,";",Overview!$S$12),CONCATENATE(Overview!$V$10,";",Overview!$S$11)),IF(ISNUMBER(FIND("ISED",B42)),CONCATENATE(Overview!$V$10,";",Overview!$S$12),Overview!$V$10)),IF(ISNUMBER(FIND("FCC",B42)),IF(ISNUMBER(FIND("ISED",B42)),CONCATENATE(Overview!$S$11,";",Overview!$S$12),"IEEE Std 1528™"),Overview!$S$12))</f>
        <v/>
      </c>
      <c r="E42" s="812">
        <f>IF(ISNUMBER(FIND("EN",B42)),IF(ISNUMBER(FIND("FCC",B42)),IF(ISNUMBER(FIND("ISED",B42)),CONCATENATE(Overview!$AB$10,";",Overview!$Y$11,";",Overview!$Y$12),CONCATENATE(Overview!$AB$10,";",Overview!$Y$11)),IF(ISNUMBER(FIND("ISED",B42)),CONCATENATE(Overview!$AB$10,";",Overview!$Y$12),Overview!$AB$10)),IF(ISNUMBER(FIND("FCC",B42)),IF(ISNUMBER(FIND("ISED",B42)),CONCATENATE(Overview!$Y$11,";",Overview!$Y$12),"IEEE Std 1528™"),Overview!$Y$12))</f>
        <v/>
      </c>
      <c r="F42" s="3394" t="inlineStr">
        <is>
          <t>2.1</t>
        </is>
      </c>
      <c r="G42" s="2933">
        <f>Overview!$E$29</f>
        <v/>
      </c>
      <c r="H42" s="3395"/>
      <c r="I42" s="3396"/>
      <c r="J42" s="2933" t="inlineStr">
        <is>
          <t>GSM</t>
        </is>
      </c>
      <c r="K42" s="2933">
        <v>1900</v>
      </c>
      <c r="L42" s="3396"/>
      <c r="M42" s="117"/>
      <c r="N42" s="117"/>
      <c r="O42" s="3397"/>
      <c r="P42" s="6061"/>
      <c r="Q42" s="3397"/>
      <c r="R42" s="3397"/>
      <c r="S42" s="117"/>
      <c r="T42" s="2934">
        <v>512</v>
      </c>
      <c r="U42" s="2934">
        <v>1850.2</v>
      </c>
      <c r="V42" s="117"/>
      <c r="W42" s="3398"/>
      <c r="X42" s="2933">
        <v>1</v>
      </c>
      <c r="Y42" s="2824"/>
      <c r="Z42" s="2933">
        <v>0</v>
      </c>
      <c r="AA42" s="3396"/>
      <c r="AB42" s="3396"/>
      <c r="AC42" s="3396"/>
      <c r="AD42" s="3396"/>
      <c r="AE42" s="3396"/>
      <c r="AF42" s="3396"/>
      <c r="AG42" s="3399" t="inlineStr">
        <is>
          <t>N/A</t>
        </is>
      </c>
      <c r="AH42" s="2964"/>
      <c r="AI42" s="7157"/>
      <c r="AJ42" s="7198">
        <f>AI42+$CL$2</f>
        <v/>
      </c>
      <c r="AK42" s="7146"/>
      <c r="AL42" s="3396"/>
      <c r="AM42" s="117"/>
      <c r="AN42" s="117"/>
      <c r="AO42" s="117"/>
      <c r="AP42" s="117"/>
      <c r="AQ42" s="3400"/>
      <c r="AR42" s="117"/>
      <c r="AS42" s="117"/>
      <c r="AT42" s="3400"/>
      <c r="AU42" s="117"/>
      <c r="AV42" s="117"/>
      <c r="AW42" s="117"/>
      <c r="AX42" s="117"/>
      <c r="AY42" s="117"/>
      <c r="AZ42" s="117"/>
      <c r="BA42" s="117"/>
      <c r="BB42" s="117"/>
      <c r="BC42" s="117"/>
      <c r="BD42" s="117"/>
      <c r="BE42" s="6942">
        <f>MyTimestamp(AI42)</f>
        <v/>
      </c>
      <c r="BF42" s="2825">
        <v>60</v>
      </c>
      <c r="BG42" s="121">
        <f>BE42</f>
        <v/>
      </c>
      <c r="BH42" s="2825">
        <v>60</v>
      </c>
      <c r="BI42" s="2845" t="inlineStr">
        <is>
          <t>S/01</t>
        </is>
      </c>
      <c r="BJ42" s="117"/>
      <c r="BK42" s="120">
        <f>Overview!$E$7</f>
        <v/>
      </c>
      <c r="BL42" s="117"/>
      <c r="BM42" s="2845" t="inlineStr">
        <is>
          <t>ANT-SAR Conducted</t>
        </is>
      </c>
      <c r="BN42" s="812">
        <f>Overview!$P$153</f>
        <v/>
      </c>
      <c r="BO42" s="117"/>
      <c r="BP42" s="117"/>
      <c r="BQ42" s="115"/>
      <c r="BR42" s="1478" t="inlineStr">
        <is>
          <t>N/A</t>
        </is>
      </c>
      <c r="BS42" s="37"/>
      <c r="BT42" s="234">
        <f>IF(COUNT(AI42:AI44)=0,"",MAX(AI42:AI44))</f>
        <v/>
      </c>
      <c r="BU42" s="37"/>
      <c r="BV42" s="230" t="inlineStr">
        <is>
          <t>1º Max GSM:</t>
        </is>
      </c>
      <c r="BW42" s="228">
        <f>IF(COUNT(AI42:AI44)=0,"",IF(MAX(AI42:AI44)=AI42,"Low",IF(MAX(AI42:AI44)=AI43,"Mid","High")))</f>
        <v/>
      </c>
      <c r="BX42" s="228">
        <f>IF(BW42="",T43,IF(BW42="Low",T42,IF(BW42="Mid",T43,T44)))</f>
        <v>661</v>
      </c>
      <c r="BY42" s="228">
        <f>IF(BW42="",U43,IF(BW42="Low",U42,IF(BW42="Mid",U43,U44)))</f>
        <v>1880</v>
      </c>
      <c r="BZ42" s="228">
        <f>IF(BW42="","",IF(BW42="Low",AI42,IF(BW42="Mid",AI43,AI44)))</f>
        <v/>
      </c>
      <c r="CA42" s="1593"/>
      <c r="CB42" s="1593"/>
      <c r="CC42" s="1593"/>
      <c r="CD42" s="1593"/>
      <c r="CE42" s="1593"/>
      <c r="CF42" s="1593"/>
      <c r="CG42" s="1593"/>
      <c r="CH42" s="1593"/>
      <c r="CI42" s="1593"/>
      <c r="CJ42" s="1593"/>
      <c r="CK42" s="1593"/>
      <c r="CL42" s="1593"/>
      <c r="CM42" s="1593"/>
      <c r="CN42" s="1593"/>
      <c r="CO42" s="1593"/>
      <c r="CP42" s="1584"/>
      <c r="CQ42" s="1584"/>
      <c r="CR42" s="1584"/>
      <c r="CS42" s="1584"/>
      <c r="CT42" s="1584"/>
      <c r="CU42" s="1584"/>
      <c r="CV42" s="1584"/>
      <c r="CW42" s="1584"/>
      <c r="CX42" s="1584"/>
      <c r="CY42" s="1584"/>
      <c r="CZ42" s="1584"/>
      <c r="DA42" s="1584"/>
      <c r="DB42" s="1584"/>
      <c r="DC42" s="1584"/>
    </row>
    <row r="43" x14ac:dyDescent="0.2">
      <c r="A43" s="1584"/>
      <c r="B43" s="2935" t="inlineStr">
        <is>
          <t>FCC/ISED</t>
        </is>
      </c>
      <c r="C43" s="3393"/>
      <c r="D43" s="812">
        <f>IF(ISNUMBER(FIND("EN",B43)),IF(ISNUMBER(FIND("FCC",B43)),IF(ISNUMBER(FIND("ISED",B43)),CONCATENATE(Overview!$V$10,";",Overview!$S$11,";",Overview!$S$12),CONCATENATE(Overview!$V$10,";",Overview!$S$11)),IF(ISNUMBER(FIND("ISED",B43)),CONCATENATE(Overview!$V$10,";",Overview!$S$12),Overview!$V$10)),IF(ISNUMBER(FIND("FCC",B43)),IF(ISNUMBER(FIND("ISED",B43)),CONCATENATE(Overview!$S$11,";",Overview!$S$12),"IEEE Std 1528™"),Overview!$S$12))</f>
        <v/>
      </c>
      <c r="E43" s="812">
        <f>IF(ISNUMBER(FIND("EN",B43)),IF(ISNUMBER(FIND("FCC",B43)),IF(ISNUMBER(FIND("ISED",B43)),CONCATENATE(Overview!$AB$10,";",Overview!$Y$11,";",Overview!$Y$12),CONCATENATE(Overview!$AB$10,";",Overview!$Y$11)),IF(ISNUMBER(FIND("ISED",B43)),CONCATENATE(Overview!$AB$10,";",Overview!$Y$12),Overview!$AB$10)),IF(ISNUMBER(FIND("FCC",B43)),IF(ISNUMBER(FIND("ISED",B43)),CONCATENATE(Overview!$Y$11,";",Overview!$Y$12),"IEEE Std 1528™"),Overview!$Y$12))</f>
        <v/>
      </c>
      <c r="F43" s="3394" t="inlineStr">
        <is>
          <t>2.1</t>
        </is>
      </c>
      <c r="G43" s="2935">
        <f>Overview!$E$29</f>
        <v/>
      </c>
      <c r="H43" s="3395"/>
      <c r="I43" s="3396"/>
      <c r="J43" s="2935" t="inlineStr">
        <is>
          <t>GSM</t>
        </is>
      </c>
      <c r="K43" s="2935">
        <v>1900</v>
      </c>
      <c r="L43" s="3396"/>
      <c r="M43" s="117"/>
      <c r="N43" s="117"/>
      <c r="O43" s="3397"/>
      <c r="P43" s="6061"/>
      <c r="Q43" s="3397"/>
      <c r="R43" s="3397"/>
      <c r="S43" s="117"/>
      <c r="T43" s="2936">
        <v>661</v>
      </c>
      <c r="U43" s="2936">
        <v>1880</v>
      </c>
      <c r="V43" s="117"/>
      <c r="W43" s="3398"/>
      <c r="X43" s="2935">
        <v>1</v>
      </c>
      <c r="Y43" s="2830"/>
      <c r="Z43" s="2935">
        <v>0</v>
      </c>
      <c r="AA43" s="3396"/>
      <c r="AB43" s="3396"/>
      <c r="AC43" s="3396"/>
      <c r="AD43" s="3396"/>
      <c r="AE43" s="3396"/>
      <c r="AF43" s="3396"/>
      <c r="AG43" s="3399" t="inlineStr">
        <is>
          <t>N/A</t>
        </is>
      </c>
      <c r="AH43" s="2970"/>
      <c r="AI43" s="7155"/>
      <c r="AJ43" s="7199">
        <f>AI43+$CL$2</f>
        <v/>
      </c>
      <c r="AK43" s="7146"/>
      <c r="AL43" s="3396"/>
      <c r="AM43" s="117"/>
      <c r="AN43" s="117"/>
      <c r="AO43" s="117"/>
      <c r="AP43" s="117"/>
      <c r="AQ43" s="3400"/>
      <c r="AR43" s="117"/>
      <c r="AS43" s="117"/>
      <c r="AT43" s="3400"/>
      <c r="AU43" s="117"/>
      <c r="AV43" s="117"/>
      <c r="AW43" s="117"/>
      <c r="AX43" s="117"/>
      <c r="AY43" s="117"/>
      <c r="AZ43" s="117"/>
      <c r="BA43" s="117"/>
      <c r="BB43" s="117"/>
      <c r="BC43" s="117"/>
      <c r="BD43" s="117"/>
      <c r="BE43" s="2831">
        <f>MyTimestamp(AI43)</f>
        <v/>
      </c>
      <c r="BF43" s="2832">
        <v>60</v>
      </c>
      <c r="BG43" s="121">
        <f>BE43</f>
        <v/>
      </c>
      <c r="BH43" s="2832">
        <v>60</v>
      </c>
      <c r="BI43" s="2833" t="inlineStr">
        <is>
          <t>S/01</t>
        </is>
      </c>
      <c r="BJ43" s="117"/>
      <c r="BK43" s="120">
        <f>Overview!$E$7</f>
        <v/>
      </c>
      <c r="BL43" s="117"/>
      <c r="BM43" s="2833" t="inlineStr">
        <is>
          <t>ANT-SAR Conducted</t>
        </is>
      </c>
      <c r="BN43" s="812">
        <f>Overview!$P$153</f>
        <v/>
      </c>
      <c r="BO43" s="117"/>
      <c r="BP43" s="117"/>
      <c r="BQ43" s="115"/>
      <c r="BR43" s="1478" t="inlineStr">
        <is>
          <t>N/A</t>
        </is>
      </c>
      <c r="BS43" s="37"/>
      <c r="BT43" s="234"/>
      <c r="BU43" s="37"/>
      <c r="BV43" s="231" t="inlineStr">
        <is>
          <t>2º Max GSM:</t>
        </is>
      </c>
      <c r="BW43" s="229">
        <f>IF(COUNT(AI42:AI44)&lt;2,"",IF(BW42="Low",IF(MAX(AI43:AI44)=AI43,"Mid","High"),IF(BW42="Mid",IF(MAX(AI42,AI44)=AI42,"Low","High"),IF(MAX(AI42:AI43)=AI42,"Low","Mid"))))</f>
        <v/>
      </c>
      <c r="BX43" s="229">
        <f>IF(BW43="",T42,IF(BW43="Low",T42,IF(BW43="Mid",T43,T44)))</f>
        <v>512</v>
      </c>
      <c r="BY43" s="229">
        <f>IF(BW43="",U42,IF(BW43="Low",U42,IF(BW43="Mid",U43,U44)))</f>
        <v>1850.2</v>
      </c>
      <c r="BZ43" s="229">
        <f>IF(BW43="","",IF(BW43="Low",AI42,IF(BW43="Mid",AI43,AI44)))</f>
        <v/>
      </c>
      <c r="CA43" s="1593"/>
      <c r="CB43" s="1593"/>
      <c r="CC43" s="1593"/>
      <c r="CD43" s="1593"/>
      <c r="CE43" s="1593"/>
      <c r="CF43" s="1593"/>
      <c r="CG43" s="1593"/>
      <c r="CH43" s="1593"/>
      <c r="CI43" s="1593"/>
      <c r="CJ43" s="1593"/>
      <c r="CK43" s="1593"/>
      <c r="CL43" s="1593"/>
      <c r="CM43" s="1593"/>
      <c r="CN43" s="1593"/>
      <c r="CO43" s="1593"/>
      <c r="CP43" s="1584"/>
      <c r="CQ43" s="1584"/>
      <c r="CR43" s="1584"/>
      <c r="CS43" s="1584"/>
      <c r="CT43" s="1584"/>
      <c r="CU43" s="1584"/>
      <c r="CV43" s="1584"/>
      <c r="CW43" s="1584"/>
      <c r="CX43" s="1584"/>
      <c r="CY43" s="1584"/>
      <c r="CZ43" s="1584"/>
      <c r="DA43" s="1584"/>
      <c r="DB43" s="1584"/>
      <c r="DC43" s="1584"/>
    </row>
    <row r="44" x14ac:dyDescent="0.2">
      <c r="A44" s="1584"/>
      <c r="B44" s="2937" t="inlineStr">
        <is>
          <t>FCC/ISED</t>
        </is>
      </c>
      <c r="C44" s="3393"/>
      <c r="D44" s="812">
        <f>IF(ISNUMBER(FIND("EN",B44)),IF(ISNUMBER(FIND("FCC",B44)),IF(ISNUMBER(FIND("ISED",B44)),CONCATENATE(Overview!$V$10,";",Overview!$S$11,";",Overview!$S$12),CONCATENATE(Overview!$V$10,";",Overview!$S$11)),IF(ISNUMBER(FIND("ISED",B44)),CONCATENATE(Overview!$V$10,";",Overview!$S$12),Overview!$V$10)),IF(ISNUMBER(FIND("FCC",B44)),IF(ISNUMBER(FIND("ISED",B44)),CONCATENATE(Overview!$S$11,";",Overview!$S$12),"IEEE Std 1528™"),Overview!$S$12))</f>
        <v/>
      </c>
      <c r="E44" s="812">
        <f>IF(ISNUMBER(FIND("EN",B44)),IF(ISNUMBER(FIND("FCC",B44)),IF(ISNUMBER(FIND("ISED",B44)),CONCATENATE(Overview!$AB$10,";",Overview!$Y$11,";",Overview!$Y$12),CONCATENATE(Overview!$AB$10,";",Overview!$Y$11)),IF(ISNUMBER(FIND("ISED",B44)),CONCATENATE(Overview!$AB$10,";",Overview!$Y$12),Overview!$AB$10)),IF(ISNUMBER(FIND("FCC",B44)),IF(ISNUMBER(FIND("ISED",B44)),CONCATENATE(Overview!$Y$11,";",Overview!$Y$12),"IEEE Std 1528™"),Overview!$Y$12))</f>
        <v/>
      </c>
      <c r="F44" s="3394" t="inlineStr">
        <is>
          <t>2.1</t>
        </is>
      </c>
      <c r="G44" s="2937">
        <f>Overview!$E$29</f>
        <v/>
      </c>
      <c r="H44" s="3395"/>
      <c r="I44" s="3396"/>
      <c r="J44" s="2937" t="inlineStr">
        <is>
          <t>GSM</t>
        </is>
      </c>
      <c r="K44" s="2937">
        <v>1900</v>
      </c>
      <c r="L44" s="3396"/>
      <c r="M44" s="117"/>
      <c r="N44" s="117"/>
      <c r="O44" s="3397"/>
      <c r="P44" s="6061"/>
      <c r="Q44" s="3397"/>
      <c r="R44" s="3397"/>
      <c r="S44" s="117"/>
      <c r="T44" s="2938">
        <v>810</v>
      </c>
      <c r="U44" s="2938">
        <v>1909.8</v>
      </c>
      <c r="V44" s="117"/>
      <c r="W44" s="3398"/>
      <c r="X44" s="2937">
        <v>1</v>
      </c>
      <c r="Y44" s="2837"/>
      <c r="Z44" s="2937">
        <v>0</v>
      </c>
      <c r="AA44" s="3396"/>
      <c r="AB44" s="3396"/>
      <c r="AC44" s="3396"/>
      <c r="AD44" s="3396"/>
      <c r="AE44" s="3396"/>
      <c r="AF44" s="3396"/>
      <c r="AG44" s="3399" t="inlineStr">
        <is>
          <t>N/A</t>
        </is>
      </c>
      <c r="AH44" s="2976"/>
      <c r="AI44" s="7160"/>
      <c r="AJ44" s="7200">
        <f>AI44+$CL$2</f>
        <v/>
      </c>
      <c r="AK44" s="7146"/>
      <c r="AL44" s="3396"/>
      <c r="AM44" s="117"/>
      <c r="AN44" s="117"/>
      <c r="AO44" s="117"/>
      <c r="AP44" s="117"/>
      <c r="AQ44" s="3400"/>
      <c r="AR44" s="117"/>
      <c r="AS44" s="117"/>
      <c r="AT44" s="3400"/>
      <c r="AU44" s="117"/>
      <c r="AV44" s="117"/>
      <c r="AW44" s="117"/>
      <c r="AX44" s="117"/>
      <c r="AY44" s="117"/>
      <c r="AZ44" s="117"/>
      <c r="BA44" s="117"/>
      <c r="BB44" s="117"/>
      <c r="BC44" s="117"/>
      <c r="BD44" s="117"/>
      <c r="BE44" s="7143">
        <f>MyTimestamp(AI44)</f>
        <v/>
      </c>
      <c r="BF44" s="2839">
        <v>60</v>
      </c>
      <c r="BG44" s="121">
        <f>BE44</f>
        <v/>
      </c>
      <c r="BH44" s="2839">
        <v>60</v>
      </c>
      <c r="BI44" s="2840" t="inlineStr">
        <is>
          <t>S/01</t>
        </is>
      </c>
      <c r="BJ44" s="117"/>
      <c r="BK44" s="120">
        <f>Overview!$E$7</f>
        <v/>
      </c>
      <c r="BL44" s="117"/>
      <c r="BM44" s="2840" t="inlineStr">
        <is>
          <t>ANT-SAR Conducted</t>
        </is>
      </c>
      <c r="BN44" s="812">
        <f>Overview!$P$153</f>
        <v/>
      </c>
      <c r="BO44" s="117"/>
      <c r="BP44" s="117"/>
      <c r="BQ44" s="115"/>
      <c r="BR44" s="1478" t="inlineStr">
        <is>
          <t>N/A</t>
        </is>
      </c>
      <c r="BS44" s="37"/>
      <c r="BT44" s="235"/>
      <c r="BU44" s="37"/>
      <c r="BV44" s="232" t="inlineStr">
        <is>
          <t>3º Max GSM:</t>
        </is>
      </c>
      <c r="BW44" s="227">
        <f>IF(COUNT(AI42:AI44)&lt;3,"",IF(AND(OR(BW42="Low",BW42="Mid"),OR(BW43="Low",BW43="Mid")),"High",IF(AND(OR(BW42="Low",BW42="High"),OR(BW43="Low",BW43="High")),"Mid","Low")))</f>
        <v/>
      </c>
      <c r="BX44" s="227">
        <f>IF(BW44="",T44,IF(BW44="Low",T42,IF(BW44="Mid",T43,T44)))</f>
        <v>810</v>
      </c>
      <c r="BY44" s="227">
        <f>IF(BW44="",U44,IF(BW44="Low",U42,IF(BW44="Mid",U43,U44)))</f>
        <v>1909.8</v>
      </c>
      <c r="BZ44" s="227">
        <f>IF(BW44="","",IF(BW44="Low",AI42,IF(BW44="Mid",AI43,AI44)))</f>
        <v/>
      </c>
      <c r="CA44" s="1593"/>
      <c r="CB44" s="1593"/>
      <c r="CC44" s="1593"/>
      <c r="CD44" s="1593"/>
      <c r="CE44" s="1593"/>
      <c r="CF44" s="1593"/>
      <c r="CG44" s="1593"/>
      <c r="CH44" s="1593"/>
      <c r="CI44" s="1593"/>
      <c r="CJ44" s="1593"/>
      <c r="CK44" s="1593"/>
      <c r="CL44" s="1593"/>
      <c r="CM44" s="1593"/>
      <c r="CN44" s="1593"/>
      <c r="CO44" s="1593"/>
      <c r="CP44" s="1584"/>
      <c r="CQ44" s="1584"/>
      <c r="CR44" s="1584"/>
      <c r="CS44" s="1584"/>
      <c r="CT44" s="1584"/>
      <c r="CU44" s="1584"/>
      <c r="CV44" s="1584"/>
      <c r="CW44" s="1584"/>
      <c r="CX44" s="1584"/>
      <c r="CY44" s="1584"/>
      <c r="CZ44" s="1584"/>
      <c r="DA44" s="1584"/>
      <c r="DB44" s="1584"/>
      <c r="DC44" s="1584"/>
    </row>
    <row r="45" x14ac:dyDescent="0.2">
      <c r="A45" s="1584"/>
      <c r="B45" s="2933" t="inlineStr">
        <is>
          <t>FCC/ISED</t>
        </is>
      </c>
      <c r="C45" s="3393"/>
      <c r="D45" s="812">
        <f>IF(ISNUMBER(FIND("EN",B45)),IF(ISNUMBER(FIND("FCC",B45)),IF(ISNUMBER(FIND("ISED",B45)),CONCATENATE(Overview!$V$10,";",Overview!$S$11,";",Overview!$S$12),CONCATENATE(Overview!$V$10,";",Overview!$S$11)),IF(ISNUMBER(FIND("ISED",B45)),CONCATENATE(Overview!$V$10,";",Overview!$S$12),Overview!$V$10)),IF(ISNUMBER(FIND("FCC",B45)),IF(ISNUMBER(FIND("ISED",B45)),CONCATENATE(Overview!$S$11,";",Overview!$S$12),"IEEE Std 1528™"),Overview!$S$12))</f>
        <v/>
      </c>
      <c r="E45" s="812">
        <f>IF(ISNUMBER(FIND("EN",B45)),IF(ISNUMBER(FIND("FCC",B45)),IF(ISNUMBER(FIND("ISED",B45)),CONCATENATE(Overview!$AB$10,";",Overview!$Y$11,";",Overview!$Y$12),CONCATENATE(Overview!$AB$10,";",Overview!$Y$11)),IF(ISNUMBER(FIND("ISED",B45)),CONCATENATE(Overview!$AB$10,";",Overview!$Y$12),Overview!$AB$10)),IF(ISNUMBER(FIND("FCC",B45)),IF(ISNUMBER(FIND("ISED",B45)),CONCATENATE(Overview!$Y$11,";",Overview!$Y$12),"IEEE Std 1528™"),Overview!$Y$12))</f>
        <v/>
      </c>
      <c r="F45" s="3394" t="inlineStr">
        <is>
          <t>2.1</t>
        </is>
      </c>
      <c r="G45" s="2933">
        <f>Overview!$E$30</f>
        <v/>
      </c>
      <c r="H45" s="3395"/>
      <c r="I45" s="3396"/>
      <c r="J45" s="2933" t="inlineStr">
        <is>
          <t>GSM</t>
        </is>
      </c>
      <c r="K45" s="2933">
        <v>1900</v>
      </c>
      <c r="L45" s="3396"/>
      <c r="M45" s="117"/>
      <c r="N45" s="117"/>
      <c r="O45" s="3397"/>
      <c r="P45" s="6061"/>
      <c r="Q45" s="3397"/>
      <c r="R45" s="3397"/>
      <c r="S45" s="117"/>
      <c r="T45" s="2934">
        <v>512</v>
      </c>
      <c r="U45" s="2934">
        <v>1850.2</v>
      </c>
      <c r="V45" s="117"/>
      <c r="W45" s="3398"/>
      <c r="X45" s="2933">
        <v>1</v>
      </c>
      <c r="Y45" s="2824"/>
      <c r="Z45" s="2933">
        <v>0</v>
      </c>
      <c r="AA45" s="3396"/>
      <c r="AB45" s="3396"/>
      <c r="AC45" s="3396"/>
      <c r="AD45" s="3396"/>
      <c r="AE45" s="3396"/>
      <c r="AF45" s="3396"/>
      <c r="AG45" s="3399" t="inlineStr">
        <is>
          <t>N/A</t>
        </is>
      </c>
      <c r="AH45" s="2964"/>
      <c r="AI45" s="7157"/>
      <c r="AJ45" s="7198">
        <f>AI45+$CL$2</f>
        <v/>
      </c>
      <c r="AK45" s="7146"/>
      <c r="AL45" s="3396"/>
      <c r="AM45" s="117"/>
      <c r="AN45" s="117"/>
      <c r="AO45" s="117"/>
      <c r="AP45" s="117"/>
      <c r="AQ45" s="3400"/>
      <c r="AR45" s="117"/>
      <c r="AS45" s="117"/>
      <c r="AT45" s="3400"/>
      <c r="AU45" s="117"/>
      <c r="AV45" s="117"/>
      <c r="AW45" s="117"/>
      <c r="AX45" s="117"/>
      <c r="AY45" s="117"/>
      <c r="AZ45" s="117"/>
      <c r="BA45" s="117"/>
      <c r="BB45" s="117"/>
      <c r="BC45" s="117"/>
      <c r="BD45" s="117"/>
      <c r="BE45" s="6942">
        <f>MyTimestamp(AI45)</f>
        <v/>
      </c>
      <c r="BF45" s="2825">
        <v>60</v>
      </c>
      <c r="BG45" s="121">
        <f>BE45</f>
        <v/>
      </c>
      <c r="BH45" s="2825">
        <v>60</v>
      </c>
      <c r="BI45" s="2845" t="inlineStr">
        <is>
          <t>S/01</t>
        </is>
      </c>
      <c r="BJ45" s="117"/>
      <c r="BK45" s="120">
        <f>Overview!$E$7</f>
        <v/>
      </c>
      <c r="BL45" s="117"/>
      <c r="BM45" s="2845" t="inlineStr">
        <is>
          <t>ANT-SAR Conducted</t>
        </is>
      </c>
      <c r="BN45" s="812">
        <f>Overview!$P$153</f>
        <v/>
      </c>
      <c r="BO45" s="117"/>
      <c r="BP45" s="117"/>
      <c r="BQ45" s="115"/>
      <c r="BR45" s="1478" t="inlineStr">
        <is>
          <t>N/A</t>
        </is>
      </c>
      <c r="BS45" s="37"/>
      <c r="BT45" s="234">
        <f>IF(COUNT(AI45:AI47)=0,"",MAX(AI45:AI47))</f>
        <v/>
      </c>
      <c r="BU45" s="37"/>
      <c r="BV45" s="230" t="inlineStr">
        <is>
          <t>1º Max GSM:</t>
        </is>
      </c>
      <c r="BW45" s="228">
        <f>IF(COUNT(AI45:AI47)=0,"",IF(MAX(AI45:AI47)=AI45,"Low",IF(MAX(AI45:AI47)=AI46,"Mid","High")))</f>
        <v/>
      </c>
      <c r="BX45" s="228">
        <f>IF(BW45="",T46,IF(BW45="Low",T45,IF(BW45="Mid",T46,T47)))</f>
        <v>661</v>
      </c>
      <c r="BY45" s="228">
        <f>IF(BW45="",U46,IF(BW45="Low",U45,IF(BW45="Mid",U46,U47)))</f>
        <v>1880</v>
      </c>
      <c r="BZ45" s="228">
        <f>IF(BW45="","",IF(BW45="Low",AI45,IF(BW45="Mid",AI46,AI47)))</f>
        <v/>
      </c>
      <c r="CA45" s="1593"/>
      <c r="CB45" s="1593"/>
      <c r="CC45" s="1593"/>
      <c r="CD45" s="1593"/>
      <c r="CE45" s="1593"/>
      <c r="CF45" s="1593"/>
      <c r="CG45" s="1593"/>
      <c r="CH45" s="1593"/>
      <c r="CI45" s="1593"/>
      <c r="CJ45" s="1593"/>
      <c r="CK45" s="1593"/>
      <c r="CL45" s="1593"/>
      <c r="CM45" s="1593"/>
      <c r="CN45" s="1593"/>
      <c r="CO45" s="1593"/>
      <c r="CP45" s="1584"/>
      <c r="CQ45" s="1584"/>
      <c r="CR45" s="1584"/>
      <c r="CS45" s="1584"/>
      <c r="CT45" s="1584"/>
      <c r="CU45" s="1584"/>
      <c r="CV45" s="1584"/>
      <c r="CW45" s="1584"/>
      <c r="CX45" s="1584"/>
      <c r="CY45" s="1584"/>
      <c r="CZ45" s="1584"/>
      <c r="DA45" s="1584"/>
      <c r="DB45" s="1584"/>
      <c r="DC45" s="1584"/>
    </row>
    <row r="46" x14ac:dyDescent="0.2">
      <c r="A46" s="1584"/>
      <c r="B46" s="2935" t="inlineStr">
        <is>
          <t>FCC/ISED</t>
        </is>
      </c>
      <c r="C46" s="3393"/>
      <c r="D46" s="812">
        <f>IF(ISNUMBER(FIND("EN",B46)),IF(ISNUMBER(FIND("FCC",B46)),IF(ISNUMBER(FIND("ISED",B46)),CONCATENATE(Overview!$V$10,";",Overview!$S$11,";",Overview!$S$12),CONCATENATE(Overview!$V$10,";",Overview!$S$11)),IF(ISNUMBER(FIND("ISED",B46)),CONCATENATE(Overview!$V$10,";",Overview!$S$12),Overview!$V$10)),IF(ISNUMBER(FIND("FCC",B46)),IF(ISNUMBER(FIND("ISED",B46)),CONCATENATE(Overview!$S$11,";",Overview!$S$12),"IEEE Std 1528™"),Overview!$S$12))</f>
        <v/>
      </c>
      <c r="E46" s="812">
        <f>IF(ISNUMBER(FIND("EN",B46)),IF(ISNUMBER(FIND("FCC",B46)),IF(ISNUMBER(FIND("ISED",B46)),CONCATENATE(Overview!$AB$10,";",Overview!$Y$11,";",Overview!$Y$12),CONCATENATE(Overview!$AB$10,";",Overview!$Y$11)),IF(ISNUMBER(FIND("ISED",B46)),CONCATENATE(Overview!$AB$10,";",Overview!$Y$12),Overview!$AB$10)),IF(ISNUMBER(FIND("FCC",B46)),IF(ISNUMBER(FIND("ISED",B46)),CONCATENATE(Overview!$Y$11,";",Overview!$Y$12),"IEEE Std 1528™"),Overview!$Y$12))</f>
        <v/>
      </c>
      <c r="F46" s="3394" t="inlineStr">
        <is>
          <t>2.1</t>
        </is>
      </c>
      <c r="G46" s="2935">
        <f>Overview!$E$30</f>
        <v/>
      </c>
      <c r="H46" s="3395"/>
      <c r="I46" s="3396"/>
      <c r="J46" s="2935" t="inlineStr">
        <is>
          <t>GSM</t>
        </is>
      </c>
      <c r="K46" s="2935">
        <v>1900</v>
      </c>
      <c r="L46" s="3396"/>
      <c r="M46" s="117"/>
      <c r="N46" s="117"/>
      <c r="O46" s="3397"/>
      <c r="P46" s="6061"/>
      <c r="Q46" s="3397"/>
      <c r="R46" s="3397"/>
      <c r="S46" s="117"/>
      <c r="T46" s="2936">
        <v>661</v>
      </c>
      <c r="U46" s="2936">
        <v>1880</v>
      </c>
      <c r="V46" s="117"/>
      <c r="W46" s="3398"/>
      <c r="X46" s="2935">
        <v>1</v>
      </c>
      <c r="Y46" s="2830"/>
      <c r="Z46" s="2935">
        <v>0</v>
      </c>
      <c r="AA46" s="3396"/>
      <c r="AB46" s="3396"/>
      <c r="AC46" s="3396"/>
      <c r="AD46" s="3396"/>
      <c r="AE46" s="3396"/>
      <c r="AF46" s="3396"/>
      <c r="AG46" s="3399" t="inlineStr">
        <is>
          <t>N/A</t>
        </is>
      </c>
      <c r="AH46" s="2970"/>
      <c r="AI46" s="7155"/>
      <c r="AJ46" s="7199">
        <f>AI46+$CL$2</f>
        <v/>
      </c>
      <c r="AK46" s="7146"/>
      <c r="AL46" s="3396"/>
      <c r="AM46" s="117"/>
      <c r="AN46" s="117"/>
      <c r="AO46" s="117"/>
      <c r="AP46" s="117"/>
      <c r="AQ46" s="3400"/>
      <c r="AR46" s="117"/>
      <c r="AS46" s="117"/>
      <c r="AT46" s="3400"/>
      <c r="AU46" s="117"/>
      <c r="AV46" s="117"/>
      <c r="AW46" s="117"/>
      <c r="AX46" s="117"/>
      <c r="AY46" s="117"/>
      <c r="AZ46" s="117"/>
      <c r="BA46" s="117"/>
      <c r="BB46" s="117"/>
      <c r="BC46" s="117"/>
      <c r="BD46" s="117"/>
      <c r="BE46" s="2831">
        <f>MyTimestamp(AI46)</f>
        <v/>
      </c>
      <c r="BF46" s="2832">
        <v>60</v>
      </c>
      <c r="BG46" s="121">
        <f>BE46</f>
        <v/>
      </c>
      <c r="BH46" s="2832">
        <v>60</v>
      </c>
      <c r="BI46" s="2833" t="inlineStr">
        <is>
          <t>S/01</t>
        </is>
      </c>
      <c r="BJ46" s="117"/>
      <c r="BK46" s="120">
        <f>Overview!$E$7</f>
        <v/>
      </c>
      <c r="BL46" s="117"/>
      <c r="BM46" s="2833" t="inlineStr">
        <is>
          <t>ANT-SAR Conducted</t>
        </is>
      </c>
      <c r="BN46" s="812">
        <f>Overview!$P$153</f>
        <v/>
      </c>
      <c r="BO46" s="117"/>
      <c r="BP46" s="117"/>
      <c r="BQ46" s="115"/>
      <c r="BR46" s="1478" t="inlineStr">
        <is>
          <t>N/A</t>
        </is>
      </c>
      <c r="BS46" s="37"/>
      <c r="BT46" s="234"/>
      <c r="BU46" s="37"/>
      <c r="BV46" s="231" t="inlineStr">
        <is>
          <t>2º Max GSM:</t>
        </is>
      </c>
      <c r="BW46" s="229">
        <f>IF(COUNT(AI45:AI47)&lt;2,"",IF(BW45="Low",IF(MAX(AI46:AI47)=AI46,"Mid","High"),IF(BW45="Mid",IF(MAX(AI45,AI47)=AI45,"Low","High"),IF(MAX(AI45:AI46)=AI45,"Low","Mid"))))</f>
        <v/>
      </c>
      <c r="BX46" s="229">
        <f>IF(BW46="",T45,IF(BW46="Low",T45,IF(BW46="Mid",T46,T47)))</f>
        <v>512</v>
      </c>
      <c r="BY46" s="229">
        <f>IF(BW46="",U45,IF(BW46="Low",U45,IF(BW46="Mid",U46,U47)))</f>
        <v>1850.2</v>
      </c>
      <c r="BZ46" s="229">
        <f>IF(BW46="","",IF(BW46="Low",AI45,IF(BW46="Mid",AI46,AI47)))</f>
        <v/>
      </c>
      <c r="CA46" s="1593"/>
      <c r="CB46" s="1593"/>
      <c r="CC46" s="1593"/>
      <c r="CD46" s="1593"/>
      <c r="CE46" s="1593"/>
      <c r="CF46" s="1593"/>
      <c r="CG46" s="1593"/>
      <c r="CH46" s="1593"/>
      <c r="CI46" s="1593"/>
      <c r="CJ46" s="1593"/>
      <c r="CK46" s="1593"/>
      <c r="CL46" s="1593"/>
      <c r="CM46" s="1593"/>
      <c r="CN46" s="1593"/>
      <c r="CO46" s="1593"/>
      <c r="CP46" s="1584"/>
      <c r="CQ46" s="1584"/>
      <c r="CR46" s="1584"/>
      <c r="CS46" s="1584"/>
      <c r="CT46" s="1584"/>
      <c r="CU46" s="1584"/>
      <c r="CV46" s="1584"/>
      <c r="CW46" s="1584"/>
      <c r="CX46" s="1584"/>
      <c r="CY46" s="1584"/>
      <c r="CZ46" s="1584"/>
      <c r="DA46" s="1584"/>
      <c r="DB46" s="1584"/>
      <c r="DC46" s="1584"/>
    </row>
    <row r="47" x14ac:dyDescent="0.2">
      <c r="A47" s="1584"/>
      <c r="B47" s="2937" t="inlineStr">
        <is>
          <t>FCC/ISED</t>
        </is>
      </c>
      <c r="C47" s="3393"/>
      <c r="D47" s="812">
        <f>IF(ISNUMBER(FIND("EN",B47)),IF(ISNUMBER(FIND("FCC",B47)),IF(ISNUMBER(FIND("ISED",B47)),CONCATENATE(Overview!$V$10,";",Overview!$S$11,";",Overview!$S$12),CONCATENATE(Overview!$V$10,";",Overview!$S$11)),IF(ISNUMBER(FIND("ISED",B47)),CONCATENATE(Overview!$V$10,";",Overview!$S$12),Overview!$V$10)),IF(ISNUMBER(FIND("FCC",B47)),IF(ISNUMBER(FIND("ISED",B47)),CONCATENATE(Overview!$S$11,";",Overview!$S$12),"IEEE Std 1528™"),Overview!$S$12))</f>
        <v/>
      </c>
      <c r="E47" s="812">
        <f>IF(ISNUMBER(FIND("EN",B47)),IF(ISNUMBER(FIND("FCC",B47)),IF(ISNUMBER(FIND("ISED",B47)),CONCATENATE(Overview!$AB$10,";",Overview!$Y$11,";",Overview!$Y$12),CONCATENATE(Overview!$AB$10,";",Overview!$Y$11)),IF(ISNUMBER(FIND("ISED",B47)),CONCATENATE(Overview!$AB$10,";",Overview!$Y$12),Overview!$AB$10)),IF(ISNUMBER(FIND("FCC",B47)),IF(ISNUMBER(FIND("ISED",B47)),CONCATENATE(Overview!$Y$11,";",Overview!$Y$12),"IEEE Std 1528™"),Overview!$Y$12))</f>
        <v/>
      </c>
      <c r="F47" s="3394" t="inlineStr">
        <is>
          <t>2.1</t>
        </is>
      </c>
      <c r="G47" s="2937">
        <f>Overview!$E$30</f>
        <v/>
      </c>
      <c r="H47" s="3395"/>
      <c r="I47" s="3396"/>
      <c r="J47" s="2937" t="inlineStr">
        <is>
          <t>GSM</t>
        </is>
      </c>
      <c r="K47" s="2937">
        <v>1900</v>
      </c>
      <c r="L47" s="3396"/>
      <c r="M47" s="117"/>
      <c r="N47" s="117"/>
      <c r="O47" s="3397"/>
      <c r="P47" s="6061"/>
      <c r="Q47" s="3397"/>
      <c r="R47" s="3397"/>
      <c r="S47" s="117"/>
      <c r="T47" s="2938">
        <v>810</v>
      </c>
      <c r="U47" s="2938">
        <v>1909.8</v>
      </c>
      <c r="V47" s="117"/>
      <c r="W47" s="3398"/>
      <c r="X47" s="2937">
        <v>1</v>
      </c>
      <c r="Y47" s="2837"/>
      <c r="Z47" s="2937">
        <v>0</v>
      </c>
      <c r="AA47" s="3396"/>
      <c r="AB47" s="3396"/>
      <c r="AC47" s="3396"/>
      <c r="AD47" s="3396"/>
      <c r="AE47" s="3396"/>
      <c r="AF47" s="3396"/>
      <c r="AG47" s="3399" t="inlineStr">
        <is>
          <t>N/A</t>
        </is>
      </c>
      <c r="AH47" s="2976"/>
      <c r="AI47" s="7160"/>
      <c r="AJ47" s="7200">
        <f>AI47+$CL$2</f>
        <v/>
      </c>
      <c r="AK47" s="7146"/>
      <c r="AL47" s="3396"/>
      <c r="AM47" s="117"/>
      <c r="AN47" s="117"/>
      <c r="AO47" s="117"/>
      <c r="AP47" s="117"/>
      <c r="AQ47" s="3400"/>
      <c r="AR47" s="117"/>
      <c r="AS47" s="117"/>
      <c r="AT47" s="3400"/>
      <c r="AU47" s="117"/>
      <c r="AV47" s="117"/>
      <c r="AW47" s="117"/>
      <c r="AX47" s="117"/>
      <c r="AY47" s="117"/>
      <c r="AZ47" s="117"/>
      <c r="BA47" s="117"/>
      <c r="BB47" s="117"/>
      <c r="BC47" s="117"/>
      <c r="BD47" s="117"/>
      <c r="BE47" s="7143">
        <f>MyTimestamp(AI47)</f>
        <v/>
      </c>
      <c r="BF47" s="2839">
        <v>60</v>
      </c>
      <c r="BG47" s="121">
        <f>BE47</f>
        <v/>
      </c>
      <c r="BH47" s="2839">
        <v>60</v>
      </c>
      <c r="BI47" s="2840" t="inlineStr">
        <is>
          <t>S/01</t>
        </is>
      </c>
      <c r="BJ47" s="117"/>
      <c r="BK47" s="120">
        <f>Overview!$E$7</f>
        <v/>
      </c>
      <c r="BL47" s="117"/>
      <c r="BM47" s="2840" t="inlineStr">
        <is>
          <t>ANT-SAR Conducted</t>
        </is>
      </c>
      <c r="BN47" s="812">
        <f>Overview!$P$153</f>
        <v/>
      </c>
      <c r="BO47" s="117"/>
      <c r="BP47" s="117"/>
      <c r="BQ47" s="115"/>
      <c r="BR47" s="1478" t="inlineStr">
        <is>
          <t>N/A</t>
        </is>
      </c>
      <c r="BS47" s="37"/>
      <c r="BT47" s="235"/>
      <c r="BU47" s="37"/>
      <c r="BV47" s="232" t="inlineStr">
        <is>
          <t>3º Max GSM:</t>
        </is>
      </c>
      <c r="BW47" s="227">
        <f>IF(COUNT(AI45:AI47)&lt;3,"",IF(AND(OR(BW45="Low",BW45="Mid"),OR(BW46="Low",BW46="Mid")),"High",IF(AND(OR(BW45="Low",BW45="High"),OR(BW46="Low",BW46="High")),"Mid","Low")))</f>
        <v/>
      </c>
      <c r="BX47" s="227">
        <f>IF(BW47="",T47,IF(BW47="Low",T45,IF(BW47="Mid",T46,T47)))</f>
        <v>810</v>
      </c>
      <c r="BY47" s="227">
        <f>IF(BW47="",U47,IF(BW47="Low",U45,IF(BW47="Mid",U46,U47)))</f>
        <v>1909.8</v>
      </c>
      <c r="BZ47" s="227">
        <f>IF(BW47="","",IF(BW47="Low",AI45,IF(BW47="Mid",AI46,AI47)))</f>
        <v/>
      </c>
      <c r="CA47" s="1593"/>
      <c r="CB47" s="1593"/>
      <c r="CC47" s="1593"/>
      <c r="CD47" s="1593"/>
      <c r="CE47" s="1593"/>
      <c r="CF47" s="1593"/>
      <c r="CG47" s="1593"/>
      <c r="CH47" s="1593"/>
      <c r="CI47" s="1593"/>
      <c r="CJ47" s="1593"/>
      <c r="CK47" s="1593"/>
      <c r="CL47" s="1593"/>
      <c r="CM47" s="1593"/>
      <c r="CN47" s="1593"/>
      <c r="CO47" s="1593"/>
      <c r="CP47" s="1584"/>
      <c r="CQ47" s="1584"/>
      <c r="CR47" s="1584"/>
      <c r="CS47" s="1584"/>
      <c r="CT47" s="1584"/>
      <c r="CU47" s="1584"/>
      <c r="CV47" s="1584"/>
      <c r="CW47" s="1584"/>
      <c r="CX47" s="1584"/>
      <c r="CY47" s="1584"/>
      <c r="CZ47" s="1584"/>
      <c r="DA47" s="1584"/>
      <c r="DB47" s="1584"/>
      <c r="DC47" s="1584"/>
    </row>
    <row r="48" x14ac:dyDescent="0.2">
      <c r="A48" s="1584"/>
      <c r="B48" s="2933" t="inlineStr">
        <is>
          <t>FCC/ISED</t>
        </is>
      </c>
      <c r="C48" s="3393"/>
      <c r="D48" s="812">
        <f>IF(ISNUMBER(FIND("EN",B48)),IF(ISNUMBER(FIND("FCC",B48)),IF(ISNUMBER(FIND("ISED",B48)),CONCATENATE(Overview!$V$10,";",Overview!$S$11,";",Overview!$S$12),CONCATENATE(Overview!$V$10,";",Overview!$S$11)),IF(ISNUMBER(FIND("ISED",B48)),CONCATENATE(Overview!$V$10,";",Overview!$S$12),Overview!$V$10)),IF(ISNUMBER(FIND("FCC",B48)),IF(ISNUMBER(FIND("ISED",B48)),CONCATENATE(Overview!$S$11,";",Overview!$S$12),"IEEE Std 1528™"),Overview!$S$12))</f>
        <v/>
      </c>
      <c r="E48" s="812">
        <f>IF(ISNUMBER(FIND("EN",B48)),IF(ISNUMBER(FIND("FCC",B48)),IF(ISNUMBER(FIND("ISED",B48)),CONCATENATE(Overview!$AB$10,";",Overview!$Y$11,";",Overview!$Y$12),CONCATENATE(Overview!$AB$10,";",Overview!$Y$11)),IF(ISNUMBER(FIND("ISED",B48)),CONCATENATE(Overview!$AB$10,";",Overview!$Y$12),Overview!$AB$10)),IF(ISNUMBER(FIND("FCC",B48)),IF(ISNUMBER(FIND("ISED",B48)),CONCATENATE(Overview!$Y$11,";",Overview!$Y$12),"IEEE Std 1528™"),Overview!$Y$12))</f>
        <v/>
      </c>
      <c r="F48" s="3394" t="inlineStr">
        <is>
          <t>2.1</t>
        </is>
      </c>
      <c r="G48" s="2933">
        <f>Overview!$E$31</f>
        <v/>
      </c>
      <c r="H48" s="3395"/>
      <c r="I48" s="3396"/>
      <c r="J48" s="2933" t="inlineStr">
        <is>
          <t>GSM</t>
        </is>
      </c>
      <c r="K48" s="2933">
        <v>1900</v>
      </c>
      <c r="L48" s="3396"/>
      <c r="M48" s="117"/>
      <c r="N48" s="117"/>
      <c r="O48" s="3397"/>
      <c r="P48" s="6061"/>
      <c r="Q48" s="3397"/>
      <c r="R48" s="3397"/>
      <c r="S48" s="117"/>
      <c r="T48" s="2934">
        <v>512</v>
      </c>
      <c r="U48" s="2934">
        <v>1850.2</v>
      </c>
      <c r="V48" s="117"/>
      <c r="W48" s="3398"/>
      <c r="X48" s="2933">
        <v>1</v>
      </c>
      <c r="Y48" s="2824"/>
      <c r="Z48" s="2933">
        <v>0</v>
      </c>
      <c r="AA48" s="3396"/>
      <c r="AB48" s="3396"/>
      <c r="AC48" s="3396"/>
      <c r="AD48" s="3396"/>
      <c r="AE48" s="3396"/>
      <c r="AF48" s="3396"/>
      <c r="AG48" s="3399" t="inlineStr">
        <is>
          <t>N/A</t>
        </is>
      </c>
      <c r="AH48" s="2964"/>
      <c r="AI48" s="7157"/>
      <c r="AJ48" s="7198">
        <f>AI48+$CL$2</f>
        <v/>
      </c>
      <c r="AK48" s="7146"/>
      <c r="AL48" s="3396"/>
      <c r="AM48" s="117"/>
      <c r="AN48" s="117"/>
      <c r="AO48" s="117"/>
      <c r="AP48" s="117"/>
      <c r="AQ48" s="3400"/>
      <c r="AR48" s="117"/>
      <c r="AS48" s="117"/>
      <c r="AT48" s="3400"/>
      <c r="AU48" s="117"/>
      <c r="AV48" s="117"/>
      <c r="AW48" s="117"/>
      <c r="AX48" s="117"/>
      <c r="AY48" s="117"/>
      <c r="AZ48" s="117"/>
      <c r="BA48" s="117"/>
      <c r="BB48" s="117"/>
      <c r="BC48" s="117"/>
      <c r="BD48" s="117"/>
      <c r="BE48" s="6942">
        <f>MyTimestamp(AI48)</f>
        <v/>
      </c>
      <c r="BF48" s="2825">
        <v>60</v>
      </c>
      <c r="BG48" s="121">
        <f>BE48</f>
        <v/>
      </c>
      <c r="BH48" s="2825">
        <v>60</v>
      </c>
      <c r="BI48" s="2845" t="inlineStr">
        <is>
          <t>S/01</t>
        </is>
      </c>
      <c r="BJ48" s="117"/>
      <c r="BK48" s="120">
        <f>Overview!$E$7</f>
        <v/>
      </c>
      <c r="BL48" s="117"/>
      <c r="BM48" s="2845" t="inlineStr">
        <is>
          <t>ANT-SAR Conducted</t>
        </is>
      </c>
      <c r="BN48" s="812">
        <f>Overview!$P$153</f>
        <v/>
      </c>
      <c r="BO48" s="117"/>
      <c r="BP48" s="117"/>
      <c r="BQ48" s="115"/>
      <c r="BR48" s="1478" t="inlineStr">
        <is>
          <t>N/A</t>
        </is>
      </c>
      <c r="BS48" s="37"/>
      <c r="BT48" s="234">
        <f>IF(COUNT(AI48:AI50)=0,"",MAX(AI48:AI50))</f>
        <v/>
      </c>
      <c r="BU48" s="37"/>
      <c r="BV48" s="230" t="inlineStr">
        <is>
          <t>1º Max GSM:</t>
        </is>
      </c>
      <c r="BW48" s="228">
        <f>IF(COUNT(AI48:AI50)=0,"",IF(MAX(AI48:AI50)=AI48,"Low",IF(MAX(AI48:AI50)=AI49,"Mid","High")))</f>
        <v/>
      </c>
      <c r="BX48" s="228">
        <f>IF(BW48="",T49,IF(BW48="Low",T48,IF(BW48="Mid",T49,T50)))</f>
        <v>661</v>
      </c>
      <c r="BY48" s="228">
        <f>IF(BW48="",U49,IF(BW48="Low",U48,IF(BW48="Mid",U49,U50)))</f>
        <v>1880</v>
      </c>
      <c r="BZ48" s="228">
        <f>IF(BW48="","",IF(BW48="Low",AI48,IF(BW48="Mid",AI49,AI50)))</f>
        <v/>
      </c>
      <c r="CA48" s="1593"/>
      <c r="CB48" s="1593"/>
      <c r="CC48" s="1593"/>
      <c r="CD48" s="1593"/>
      <c r="CE48" s="1593"/>
      <c r="CF48" s="1593"/>
      <c r="CG48" s="1593"/>
      <c r="CH48" s="1593"/>
      <c r="CI48" s="1593"/>
      <c r="CJ48" s="1593"/>
      <c r="CK48" s="1593"/>
      <c r="CL48" s="1593"/>
      <c r="CM48" s="1593"/>
      <c r="CN48" s="1593"/>
      <c r="CO48" s="1593"/>
      <c r="CP48" s="1584"/>
      <c r="CQ48" s="1584"/>
      <c r="CR48" s="1584"/>
      <c r="CS48" s="1584"/>
      <c r="CT48" s="1584"/>
      <c r="CU48" s="1584"/>
      <c r="CV48" s="1584"/>
      <c r="CW48" s="1584"/>
      <c r="CX48" s="1584"/>
      <c r="CY48" s="1584"/>
      <c r="CZ48" s="1584"/>
      <c r="DA48" s="1584"/>
      <c r="DB48" s="1584"/>
      <c r="DC48" s="1584"/>
    </row>
    <row r="49" x14ac:dyDescent="0.2">
      <c r="A49" s="1584"/>
      <c r="B49" s="2935" t="inlineStr">
        <is>
          <t>FCC/ISED</t>
        </is>
      </c>
      <c r="C49" s="3393"/>
      <c r="D49" s="812">
        <f>IF(ISNUMBER(FIND("EN",B49)),IF(ISNUMBER(FIND("FCC",B49)),IF(ISNUMBER(FIND("ISED",B49)),CONCATENATE(Overview!$V$10,";",Overview!$S$11,";",Overview!$S$12),CONCATENATE(Overview!$V$10,";",Overview!$S$11)),IF(ISNUMBER(FIND("ISED",B49)),CONCATENATE(Overview!$V$10,";",Overview!$S$12),Overview!$V$10)),IF(ISNUMBER(FIND("FCC",B49)),IF(ISNUMBER(FIND("ISED",B49)),CONCATENATE(Overview!$S$11,";",Overview!$S$12),"IEEE Std 1528™"),Overview!$S$12))</f>
        <v/>
      </c>
      <c r="E49" s="812">
        <f>IF(ISNUMBER(FIND("EN",B49)),IF(ISNUMBER(FIND("FCC",B49)),IF(ISNUMBER(FIND("ISED",B49)),CONCATENATE(Overview!$AB$10,";",Overview!$Y$11,";",Overview!$Y$12),CONCATENATE(Overview!$AB$10,";",Overview!$Y$11)),IF(ISNUMBER(FIND("ISED",B49)),CONCATENATE(Overview!$AB$10,";",Overview!$Y$12),Overview!$AB$10)),IF(ISNUMBER(FIND("FCC",B49)),IF(ISNUMBER(FIND("ISED",B49)),CONCATENATE(Overview!$Y$11,";",Overview!$Y$12),"IEEE Std 1528™"),Overview!$Y$12))</f>
        <v/>
      </c>
      <c r="F49" s="3394" t="inlineStr">
        <is>
          <t>2.1</t>
        </is>
      </c>
      <c r="G49" s="2935">
        <f>Overview!$E$31</f>
        <v/>
      </c>
      <c r="H49" s="3395"/>
      <c r="I49" s="3396"/>
      <c r="J49" s="2935" t="inlineStr">
        <is>
          <t>GSM</t>
        </is>
      </c>
      <c r="K49" s="2935">
        <v>1900</v>
      </c>
      <c r="L49" s="3396"/>
      <c r="M49" s="117"/>
      <c r="N49" s="117"/>
      <c r="O49" s="3397"/>
      <c r="P49" s="6061"/>
      <c r="Q49" s="3397"/>
      <c r="R49" s="3397"/>
      <c r="S49" s="117"/>
      <c r="T49" s="2936">
        <v>661</v>
      </c>
      <c r="U49" s="2936">
        <v>1880</v>
      </c>
      <c r="V49" s="117"/>
      <c r="W49" s="3398"/>
      <c r="X49" s="2935">
        <v>1</v>
      </c>
      <c r="Y49" s="2830"/>
      <c r="Z49" s="2935">
        <v>0</v>
      </c>
      <c r="AA49" s="3396"/>
      <c r="AB49" s="3396"/>
      <c r="AC49" s="3396"/>
      <c r="AD49" s="3396"/>
      <c r="AE49" s="3396"/>
      <c r="AF49" s="3396"/>
      <c r="AG49" s="3399" t="inlineStr">
        <is>
          <t>N/A</t>
        </is>
      </c>
      <c r="AH49" s="2970"/>
      <c r="AI49" s="7155"/>
      <c r="AJ49" s="7199">
        <f>AI49+$CL$2</f>
        <v/>
      </c>
      <c r="AK49" s="7146"/>
      <c r="AL49" s="3396"/>
      <c r="AM49" s="117"/>
      <c r="AN49" s="117"/>
      <c r="AO49" s="117"/>
      <c r="AP49" s="117"/>
      <c r="AQ49" s="3400"/>
      <c r="AR49" s="117"/>
      <c r="AS49" s="117"/>
      <c r="AT49" s="3400"/>
      <c r="AU49" s="117"/>
      <c r="AV49" s="117"/>
      <c r="AW49" s="117"/>
      <c r="AX49" s="117"/>
      <c r="AY49" s="117"/>
      <c r="AZ49" s="117"/>
      <c r="BA49" s="117"/>
      <c r="BB49" s="117"/>
      <c r="BC49" s="117"/>
      <c r="BD49" s="117"/>
      <c r="BE49" s="2831">
        <f>MyTimestamp(AI49)</f>
        <v/>
      </c>
      <c r="BF49" s="2832">
        <v>60</v>
      </c>
      <c r="BG49" s="121">
        <f>BE49</f>
        <v/>
      </c>
      <c r="BH49" s="2832">
        <v>60</v>
      </c>
      <c r="BI49" s="2833" t="inlineStr">
        <is>
          <t>S/01</t>
        </is>
      </c>
      <c r="BJ49" s="117"/>
      <c r="BK49" s="120">
        <f>Overview!$E$7</f>
        <v/>
      </c>
      <c r="BL49" s="117"/>
      <c r="BM49" s="2833" t="inlineStr">
        <is>
          <t>ANT-SAR Conducted</t>
        </is>
      </c>
      <c r="BN49" s="812">
        <f>Overview!$P$153</f>
        <v/>
      </c>
      <c r="BO49" s="117"/>
      <c r="BP49" s="117"/>
      <c r="BQ49" s="115"/>
      <c r="BR49" s="1478" t="inlineStr">
        <is>
          <t>N/A</t>
        </is>
      </c>
      <c r="BS49" s="37"/>
      <c r="BT49" s="234"/>
      <c r="BU49" s="37"/>
      <c r="BV49" s="231" t="inlineStr">
        <is>
          <t>2º Max GSM:</t>
        </is>
      </c>
      <c r="BW49" s="229">
        <f>IF(COUNT(AI48:AI50)&lt;2,"",IF(BW48="Low",IF(MAX(AI49:AI50)=AI49,"Mid","High"),IF(BW48="Mid",IF(MAX(AI48,AI50)=AI48,"Low","High"),IF(MAX(AI48:AI49)=AI48,"Low","Mid"))))</f>
        <v/>
      </c>
      <c r="BX49" s="229">
        <f>IF(BW49="",T48,IF(BW49="Low",T48,IF(BW49="Mid",T49,T50)))</f>
        <v>512</v>
      </c>
      <c r="BY49" s="229">
        <f>IF(BW49="",U48,IF(BW49="Low",U48,IF(BW49="Mid",U49,U50)))</f>
        <v>1850.2</v>
      </c>
      <c r="BZ49" s="229">
        <f>IF(BW49="","",IF(BW49="Low",AI48,IF(BW49="Mid",AI49,AI50)))</f>
        <v/>
      </c>
      <c r="CA49" s="1593"/>
      <c r="CB49" s="1593"/>
      <c r="CC49" s="1593"/>
      <c r="CD49" s="1593"/>
      <c r="CE49" s="1593"/>
      <c r="CF49" s="1593"/>
      <c r="CG49" s="1593"/>
      <c r="CH49" s="1593"/>
      <c r="CI49" s="1593"/>
      <c r="CJ49" s="1593"/>
      <c r="CK49" s="1593"/>
      <c r="CL49" s="1593"/>
      <c r="CM49" s="1593"/>
      <c r="CN49" s="1593"/>
      <c r="CO49" s="1593"/>
      <c r="CP49" s="1584"/>
      <c r="CQ49" s="1584"/>
      <c r="CR49" s="1584"/>
      <c r="CS49" s="1584"/>
      <c r="CT49" s="1584"/>
      <c r="CU49" s="1584"/>
      <c r="CV49" s="1584"/>
      <c r="CW49" s="1584"/>
      <c r="CX49" s="1584"/>
      <c r="CY49" s="1584"/>
      <c r="CZ49" s="1584"/>
      <c r="DA49" s="1584"/>
      <c r="DB49" s="1584"/>
      <c r="DC49" s="1584"/>
    </row>
    <row r="50" x14ac:dyDescent="0.2">
      <c r="A50" s="1584"/>
      <c r="B50" s="2937" t="inlineStr">
        <is>
          <t>FCC/ISED</t>
        </is>
      </c>
      <c r="C50" s="3393"/>
      <c r="D50" s="812">
        <f>IF(ISNUMBER(FIND("EN",B50)),IF(ISNUMBER(FIND("FCC",B50)),IF(ISNUMBER(FIND("ISED",B50)),CONCATENATE(Overview!$V$10,";",Overview!$S$11,";",Overview!$S$12),CONCATENATE(Overview!$V$10,";",Overview!$S$11)),IF(ISNUMBER(FIND("ISED",B50)),CONCATENATE(Overview!$V$10,";",Overview!$S$12),Overview!$V$10)),IF(ISNUMBER(FIND("FCC",B50)),IF(ISNUMBER(FIND("ISED",B50)),CONCATENATE(Overview!$S$11,";",Overview!$S$12),"IEEE Std 1528™"),Overview!$S$12))</f>
        <v/>
      </c>
      <c r="E50" s="812">
        <f>IF(ISNUMBER(FIND("EN",B50)),IF(ISNUMBER(FIND("FCC",B50)),IF(ISNUMBER(FIND("ISED",B50)),CONCATENATE(Overview!$AB$10,";",Overview!$Y$11,";",Overview!$Y$12),CONCATENATE(Overview!$AB$10,";",Overview!$Y$11)),IF(ISNUMBER(FIND("ISED",B50)),CONCATENATE(Overview!$AB$10,";",Overview!$Y$12),Overview!$AB$10)),IF(ISNUMBER(FIND("FCC",B50)),IF(ISNUMBER(FIND("ISED",B50)),CONCATENATE(Overview!$Y$11,";",Overview!$Y$12),"IEEE Std 1528™"),Overview!$Y$12))</f>
        <v/>
      </c>
      <c r="F50" s="3394" t="inlineStr">
        <is>
          <t>2.1</t>
        </is>
      </c>
      <c r="G50" s="2937">
        <f>Overview!$E$31</f>
        <v/>
      </c>
      <c r="H50" s="3395"/>
      <c r="I50" s="3396"/>
      <c r="J50" s="2937" t="inlineStr">
        <is>
          <t>GSM</t>
        </is>
      </c>
      <c r="K50" s="2937">
        <v>1900</v>
      </c>
      <c r="L50" s="3396"/>
      <c r="M50" s="117"/>
      <c r="N50" s="117"/>
      <c r="O50" s="3397"/>
      <c r="P50" s="6061"/>
      <c r="Q50" s="3397"/>
      <c r="R50" s="3397"/>
      <c r="S50" s="117"/>
      <c r="T50" s="2938">
        <v>810</v>
      </c>
      <c r="U50" s="2938">
        <v>1909.8</v>
      </c>
      <c r="V50" s="117"/>
      <c r="W50" s="3398"/>
      <c r="X50" s="2937">
        <v>1</v>
      </c>
      <c r="Y50" s="2837"/>
      <c r="Z50" s="2937">
        <v>0</v>
      </c>
      <c r="AA50" s="3396"/>
      <c r="AB50" s="3396"/>
      <c r="AC50" s="3396"/>
      <c r="AD50" s="3396"/>
      <c r="AE50" s="3396"/>
      <c r="AF50" s="3396"/>
      <c r="AG50" s="3399" t="inlineStr">
        <is>
          <t>N/A</t>
        </is>
      </c>
      <c r="AH50" s="2976"/>
      <c r="AI50" s="7160"/>
      <c r="AJ50" s="7200">
        <f>AI50+$CL$2</f>
        <v/>
      </c>
      <c r="AK50" s="7146"/>
      <c r="AL50" s="3396"/>
      <c r="AM50" s="117"/>
      <c r="AN50" s="117"/>
      <c r="AO50" s="117"/>
      <c r="AP50" s="117"/>
      <c r="AQ50" s="3400"/>
      <c r="AR50" s="117"/>
      <c r="AS50" s="117"/>
      <c r="AT50" s="3400"/>
      <c r="AU50" s="117"/>
      <c r="AV50" s="117"/>
      <c r="AW50" s="117"/>
      <c r="AX50" s="117"/>
      <c r="AY50" s="117"/>
      <c r="AZ50" s="117"/>
      <c r="BA50" s="117"/>
      <c r="BB50" s="117"/>
      <c r="BC50" s="117"/>
      <c r="BD50" s="117"/>
      <c r="BE50" s="7143">
        <f>MyTimestamp(AI50)</f>
        <v/>
      </c>
      <c r="BF50" s="2839">
        <v>60</v>
      </c>
      <c r="BG50" s="121">
        <f>BE50</f>
        <v/>
      </c>
      <c r="BH50" s="2839">
        <v>60</v>
      </c>
      <c r="BI50" s="2840" t="inlineStr">
        <is>
          <t>S/01</t>
        </is>
      </c>
      <c r="BJ50" s="117"/>
      <c r="BK50" s="120">
        <f>Overview!$E$7</f>
        <v/>
      </c>
      <c r="BL50" s="117"/>
      <c r="BM50" s="2840" t="inlineStr">
        <is>
          <t>ANT-SAR Conducted</t>
        </is>
      </c>
      <c r="BN50" s="812">
        <f>Overview!$P$153</f>
        <v/>
      </c>
      <c r="BO50" s="117"/>
      <c r="BP50" s="117"/>
      <c r="BQ50" s="115"/>
      <c r="BR50" s="1478" t="inlineStr">
        <is>
          <t>N/A</t>
        </is>
      </c>
      <c r="BS50" s="37"/>
      <c r="BT50" s="235"/>
      <c r="BU50" s="37"/>
      <c r="BV50" s="232" t="inlineStr">
        <is>
          <t>3º Max GSM:</t>
        </is>
      </c>
      <c r="BW50" s="227">
        <f>IF(COUNT(AI48:AI50)&lt;3,"",IF(AND(OR(BW48="Low",BW48="Mid"),OR(BW49="Low",BW49="Mid")),"High",IF(AND(OR(BW48="Low",BW48="High"),OR(BW49="Low",BW49="High")),"Mid","Low")))</f>
        <v/>
      </c>
      <c r="BX50" s="227">
        <f>IF(BW50="",T50,IF(BW50="Low",T48,IF(BW50="Mid",T49,T50)))</f>
        <v>810</v>
      </c>
      <c r="BY50" s="227">
        <f>IF(BW50="",U50,IF(BW50="Low",U48,IF(BW50="Mid",U49,U50)))</f>
        <v>1909.8</v>
      </c>
      <c r="BZ50" s="227">
        <f>IF(BW50="","",IF(BW50="Low",AI48,IF(BW50="Mid",AI49,AI50)))</f>
        <v/>
      </c>
      <c r="CA50" s="1593"/>
      <c r="CB50" s="1593"/>
      <c r="CC50" s="1593"/>
      <c r="CD50" s="1593"/>
      <c r="CE50" s="1593"/>
      <c r="CF50" s="1593"/>
      <c r="CG50" s="1593"/>
      <c r="CH50" s="1593"/>
      <c r="CI50" s="1593"/>
      <c r="CJ50" s="1593"/>
      <c r="CK50" s="1593"/>
      <c r="CL50" s="1593"/>
      <c r="CM50" s="1593"/>
      <c r="CN50" s="1593"/>
      <c r="CO50" s="1593"/>
      <c r="CP50" s="1584"/>
      <c r="CQ50" s="1584"/>
      <c r="CR50" s="1584"/>
      <c r="CS50" s="1584"/>
      <c r="CT50" s="1584"/>
      <c r="CU50" s="1584"/>
      <c r="CV50" s="1584"/>
      <c r="CW50" s="1584"/>
      <c r="CX50" s="1584"/>
      <c r="CY50" s="1584"/>
      <c r="CZ50" s="1584"/>
      <c r="DA50" s="1584"/>
      <c r="DB50" s="1584"/>
      <c r="DC50" s="1584"/>
    </row>
  </sheetData>
  <sheetProtection sheet="1" autoFilter="0"/>
  <autoFilter ref="B2:BR50" xr:uid="{00000000-0009-0000-0000-000002000000}"/>
  <mergeCells count="1">
    <mergeCell ref="BT2:BV2"/>
  </mergeCells>
  <conditionalFormatting sqref="AI3">
    <cfRule type="expression" dxfId="251" priority="1759" stopIfTrue="1">
      <formula>IF(AI3&lt;&gt;"",IF(AI3=MAX(AI3:AI5),TRUE,FALSE))</formula>
    </cfRule>
  </conditionalFormatting>
  <conditionalFormatting sqref="AI4:AI50">
    <cfRule type="expression" dxfId="250" priority="1757" stopIfTrue="1">
      <formula>IF(AI4&lt;&gt;"",IF(AI4=MAX(AI3:AI5),TRUE,FALSE))</formula>
    </cfRule>
  </conditionalFormatting>
  <dataValidations disablePrompts="1" count="12">
    <dataValidation type="list" allowBlank="1" showErrorMessage="1" sqref="BP3:BP50" xr:uid="{00000000-0002-0000-0200-000000000000}">
      <formula1>"Yes,No,N/A"</formula1>
    </dataValidation>
    <dataValidation type="list" allowBlank="1" showErrorMessage="1" sqref="AG3:AG50" xr:uid="{00000000-0002-0000-0200-000001000000}">
      <formula1>"F,I,N/A,P"</formula1>
    </dataValidation>
    <dataValidation type="list" allowBlank="1" showErrorMessage="1" sqref="AF3:AF50" xr:uid="{00000000-0002-0000-0200-000002000000}">
      <formula1>"10-g,1-g"</formula1>
    </dataValidation>
    <dataValidation type="list" allowBlank="1" showErrorMessage="1" sqref="L3:L50" xr:uid="{00000000-0002-0000-0200-000003000000}">
      <formula1>"15,30"</formula1>
    </dataValidation>
    <dataValidation type="decimal" allowBlank="1" showErrorMessage="1" sqref="AA3:AA50 AK3:AK50" xr:uid="{00000000-0002-0000-0200-000004000000}">
      <formula1>0</formula1>
      <formula2>1000</formula2>
    </dataValidation>
    <dataValidation type="decimal" allowBlank="1" showErrorMessage="1" sqref="BD3:BD50" xr:uid="{00000000-0002-0000-0200-000005000000}">
      <formula1>0</formula1>
      <formula2>100</formula2>
    </dataValidation>
    <dataValidation type="decimal" allowBlank="1" showErrorMessage="1" sqref="AE3:AE50" xr:uid="{00000000-0002-0000-0200-000006000000}">
      <formula1>0</formula1>
      <formula2>200</formula2>
    </dataValidation>
    <dataValidation type="decimal" allowBlank="1" showErrorMessage="1" sqref="AQ3:AQ50" xr:uid="{00000000-0002-0000-0200-000007000000}">
      <formula1>2</formula1>
      <formula2>1000</formula2>
    </dataValidation>
    <dataValidation type="decimal" allowBlank="1" showErrorMessage="1" sqref="AS3:AS50 AM3:AN50 AX3:AX50" xr:uid="{00000000-0002-0000-0200-000008000000}">
      <formula1>-100</formula1>
      <formula2>100</formula2>
    </dataValidation>
    <dataValidation allowBlank="1" showErrorMessage="1" sqref="AY2" xr:uid="{00000000-0002-0000-0200-000009000000}"/>
    <dataValidation type="list" allowBlank="1" showErrorMessage="1" sqref="S3:S50" xr:uid="{00000000-0002-0000-0200-00000A000000}">
      <formula1>"1RB Mid,100% RB,50% RB Mid,50% RB High,1RB High,50% RB Low,1RB Low"</formula1>
    </dataValidation>
    <dataValidation type="decimal" allowBlank="1" showErrorMessage="1" sqref="O3:P50 AZ3:BC50 AR3:AR50 AO3:AP50" xr:uid="{00000000-0002-0000-0200-00000B000000}">
      <formula1>0</formula1>
      <formula2>10</formula2>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6">
    <tabColor rgb="FF9900CC"/>
  </sheetPr>
  <dimension ref="A1:DU330"/>
  <sheetViews>
    <sheetView zoomScale="90" zoomScaleNormal="90" workbookViewId="0">
      <pane ySplit="2" topLeftCell="A3" activePane="bottomLeft" state="frozen"/>
      <selection pane="bottomLeft" activeCell="A3" sqref="A3"/>
    </sheetView>
  </sheetViews>
  <sheetFormatPr baseColWidth="10" defaultColWidth="11.42578125" defaultRowHeight="12" x14ac:dyDescent="0.2"/>
  <cols>
    <col min="1" max="1" width="1.5703125" style="396" customWidth="1"/>
    <col min="2" max="3" width="1.5703125" style="396" hidden="1" customWidth="1"/>
    <col min="4" max="4" width="15.28515625" style="396" hidden="1" customWidth="1"/>
    <col min="5" max="5" width="12.42578125" style="396" hidden="1" customWidth="1"/>
    <col min="6" max="6" width="8.42578125" style="396" hidden="1" customWidth="1"/>
    <col min="7" max="7" width="11.42578125" style="396" hidden="1" customWidth="1"/>
    <col min="8" max="8" width="8" style="396" hidden="1" customWidth="1"/>
    <col min="9" max="9" width="14.85546875" style="396" hidden="1" customWidth="1"/>
    <col min="10" max="10" width="10.28515625" style="396" hidden="1" customWidth="1"/>
    <col min="11" max="11" width="5.140625" style="396" hidden="1" customWidth="1"/>
    <col min="12" max="12" width="8.5703125" style="396" hidden="1" customWidth="1"/>
    <col min="13" max="13" width="15.42578125" style="396" hidden="1" customWidth="1"/>
    <col min="14" max="14" width="10.5703125" style="396" hidden="1" customWidth="1"/>
    <col min="15" max="16" width="4.7109375" style="396" hidden="1" customWidth="1"/>
    <col min="17" max="17" width="14.42578125" style="396" hidden="1" customWidth="1"/>
    <col min="18" max="18" width="10.140625" style="396" hidden="1" customWidth="1"/>
    <col min="19" max="19" width="5.7109375" style="396" hidden="1" customWidth="1"/>
    <col min="20" max="20" width="14.85546875" style="396" hidden="1" customWidth="1"/>
    <col min="21" max="21" width="15" style="396" hidden="1" customWidth="1"/>
    <col min="22" max="22" width="9.140625" style="396" hidden="1" customWidth="1"/>
    <col min="23" max="23" width="12.7109375" style="396" hidden="1" customWidth="1"/>
    <col min="24" max="24" width="10.5703125" style="396" hidden="1" customWidth="1"/>
    <col min="25" max="25" width="7.140625" style="396" hidden="1" customWidth="1"/>
    <col min="26" max="26" width="3.85546875" style="396" hidden="1" customWidth="1"/>
    <col min="27" max="27" width="18.42578125" style="396" hidden="1" customWidth="1"/>
    <col min="28" max="28" width="25.140625" style="396" hidden="1" customWidth="1"/>
    <col min="29" max="29" width="18.140625" style="396" hidden="1" customWidth="1"/>
    <col min="30" max="30" width="9.85546875" style="396" hidden="1" customWidth="1"/>
    <col min="31" max="31" width="13" style="396" hidden="1" customWidth="1"/>
    <col min="32" max="32" width="8.140625" style="396" hidden="1" customWidth="1"/>
    <col min="33" max="33" width="6.5703125" style="396" hidden="1" customWidth="1"/>
    <col min="34" max="34" width="25.5703125" style="396" hidden="1" customWidth="1"/>
    <col min="35" max="35" width="31.5703125" style="396" hidden="1" customWidth="1"/>
    <col min="36" max="36" width="30.5703125" style="396" hidden="1" customWidth="1"/>
    <col min="37" max="37" width="22.42578125" style="396" hidden="1" customWidth="1"/>
    <col min="38" max="38" width="28.42578125" style="396" hidden="1" customWidth="1"/>
    <col min="39" max="39" width="22.42578125" style="396" hidden="1" customWidth="1"/>
    <col min="40" max="40" width="23.140625" style="396" hidden="1" customWidth="1"/>
    <col min="41" max="41" width="14.28515625" style="396" hidden="1" customWidth="1"/>
    <col min="42" max="42" width="10.42578125" style="396" hidden="1" customWidth="1"/>
    <col min="43" max="43" width="20" style="396" hidden="1" customWidth="1"/>
    <col min="44" max="44" width="18.28515625" style="396" hidden="1" customWidth="1"/>
    <col min="45" max="45" width="7.85546875" style="396" hidden="1" customWidth="1"/>
    <col min="46" max="46" width="23.42578125" style="396" hidden="1" customWidth="1"/>
    <col min="47" max="47" width="14.42578125" style="396" hidden="1" customWidth="1"/>
    <col min="48" max="48" width="22.42578125" style="396" hidden="1" customWidth="1"/>
    <col min="49" max="49" width="13.42578125" style="396" hidden="1" customWidth="1"/>
    <col min="50" max="50" width="13.5703125" style="396" hidden="1" customWidth="1"/>
    <col min="51" max="51" width="12.85546875" style="396" hidden="1" customWidth="1"/>
    <col min="52" max="52" width="22.85546875" style="396" hidden="1" customWidth="1"/>
    <col min="53" max="53" width="21.85546875" style="396" hidden="1" customWidth="1"/>
    <col min="54" max="54" width="19.85546875" style="396" hidden="1" customWidth="1"/>
    <col min="55" max="55" width="18.85546875" style="396" hidden="1" customWidth="1"/>
    <col min="56" max="56" width="9.85546875" style="396" hidden="1" customWidth="1"/>
    <col min="57" max="57" width="15.5703125" style="396" hidden="1" customWidth="1"/>
    <col min="58" max="58" width="8.28515625" style="396" hidden="1" customWidth="1"/>
    <col min="59" max="59" width="12.28515625" style="396" hidden="1" customWidth="1"/>
    <col min="60" max="60" width="13.5703125" style="396" hidden="1" customWidth="1"/>
    <col min="61" max="61" width="7.7109375" style="396" hidden="1" customWidth="1"/>
    <col min="62" max="62" width="14.7109375" style="396" hidden="1" customWidth="1"/>
    <col min="63" max="63" width="12.5703125" style="396" hidden="1" customWidth="1"/>
    <col min="64" max="64" width="10.5703125" style="396" hidden="1" customWidth="1"/>
    <col min="65" max="65" width="6.140625" style="396" hidden="1" customWidth="1"/>
    <col min="66" max="66" width="18.7109375" style="396" hidden="1" customWidth="1"/>
    <col min="67" max="67" width="9.140625" style="396" hidden="1" customWidth="1"/>
    <col min="68" max="68" width="14.5703125" style="396" hidden="1" customWidth="1"/>
    <col min="69" max="69" width="13.7109375" style="396" hidden="1" customWidth="1"/>
    <col min="70" max="71" width="13.85546875" style="396" hidden="1" customWidth="1"/>
    <col min="72" max="72" width="9" style="36" customWidth="1"/>
    <col min="73" max="73" width="8" style="36" bestFit="1" customWidth="1"/>
    <col min="74" max="74" width="4.42578125" style="36" customWidth="1"/>
    <col min="75" max="75" width="4.5703125" style="36" customWidth="1"/>
    <col min="76" max="76" width="12.42578125" style="36" customWidth="1"/>
    <col min="77" max="77" width="10.5703125" style="36" bestFit="1" customWidth="1"/>
    <col min="78" max="78" width="8" style="36" customWidth="1"/>
    <col min="79" max="79" width="14.42578125" style="36" customWidth="1"/>
    <col min="80" max="80" width="6.42578125" style="36" bestFit="1" customWidth="1"/>
    <col min="81" max="81" width="10.7109375" style="36" customWidth="1"/>
    <col min="82" max="82" width="9.42578125" style="36" customWidth="1"/>
    <col min="83" max="84" width="13.42578125" style="390" customWidth="1"/>
    <col min="85" max="86" width="13.42578125" style="390" hidden="1" customWidth="1"/>
    <col min="87" max="87" width="13.42578125" style="36" hidden="1" customWidth="1"/>
    <col min="88" max="88" width="8.5703125" style="390" customWidth="1"/>
    <col min="89" max="89" width="8.5703125" style="1492" customWidth="1"/>
    <col min="90" max="90" width="9.42578125" style="36" customWidth="1"/>
    <col min="91" max="91" width="13.5703125" style="36" customWidth="1"/>
    <col min="92" max="92" width="8.5703125" style="36" customWidth="1"/>
    <col min="93" max="93" width="9.5703125" style="36" customWidth="1"/>
    <col min="94" max="94" width="8.5703125" style="512" customWidth="1"/>
    <col min="95" max="95" width="8.5703125" style="12" customWidth="1"/>
    <col min="96" max="96" width="4.5703125" style="1485" customWidth="1"/>
    <col min="97" max="97" width="19.5703125" style="1487" customWidth="1"/>
    <col min="98" max="98" width="9.42578125" style="36" customWidth="1"/>
    <col min="99" max="99" width="8.5703125" style="36" customWidth="1"/>
    <col min="100" max="101" width="9.5703125" style="36" customWidth="1"/>
    <col min="102" max="102" width="7" style="396" customWidth="1"/>
    <col min="103" max="103" width="11.42578125" style="396" hidden="1" customWidth="1"/>
    <col min="104" max="104" width="10.42578125" style="36" hidden="1" customWidth="1"/>
    <col min="105" max="105" width="18.5703125" style="390" customWidth="1"/>
    <col min="106" max="106" width="19.42578125" style="390" customWidth="1"/>
    <col min="107" max="107" width="18.5703125" style="390" hidden="1" customWidth="1"/>
    <col min="108" max="108" width="19.42578125" style="390" hidden="1" customWidth="1"/>
    <col min="109" max="109" width="10.42578125" style="36" customWidth="1"/>
    <col min="110" max="122" width="11.42578125" style="396"/>
    <col min="123" max="16384" width="11.42578125" style="36"/>
  </cols>
  <sheetData>
    <row r="1" customFormat="1" customHeight="1" ht="7.5" s="4" x14ac:dyDescent="0.2">
      <c r="A1" s="1548"/>
      <c r="B1" s="1548"/>
      <c r="C1" s="1548"/>
      <c r="D1" s="1548"/>
      <c r="E1" s="1548"/>
      <c r="F1" s="1548"/>
      <c r="G1" s="1548"/>
      <c r="H1" s="1548"/>
      <c r="I1" s="1548"/>
      <c r="J1" s="1548"/>
      <c r="K1" s="1548"/>
      <c r="L1" s="1548"/>
      <c r="M1" s="1548"/>
      <c r="N1" s="1548"/>
      <c r="O1" s="1548"/>
      <c r="P1" s="1548"/>
      <c r="Q1" s="1548"/>
      <c r="R1" s="1548"/>
      <c r="S1" s="1548"/>
      <c r="T1" s="1548"/>
      <c r="U1" s="1548"/>
      <c r="V1" s="1548"/>
      <c r="W1" s="1548"/>
      <c r="X1" s="1548"/>
      <c r="Y1" s="1548"/>
      <c r="Z1" s="1548"/>
      <c r="AA1" s="1548"/>
      <c r="AB1" s="1548"/>
      <c r="AC1" s="1548"/>
      <c r="AD1" s="1548"/>
      <c r="AE1" s="1548"/>
      <c r="AF1" s="1548"/>
      <c r="AG1" s="1548"/>
      <c r="AH1" s="1548"/>
      <c r="AI1" s="1548"/>
      <c r="AJ1" s="1548"/>
      <c r="AK1" s="1548"/>
      <c r="AL1" s="1548"/>
      <c r="AM1" s="1548"/>
      <c r="AN1" s="1548"/>
      <c r="AO1" s="1548"/>
      <c r="AP1" s="1548"/>
      <c r="AQ1" s="1548"/>
      <c r="AR1" s="1548"/>
      <c r="AS1" s="1548"/>
      <c r="AT1" t="inlineStr">
        <is>
          <t>See comment</t>
        </is>
      </c>
      <c r="AU1" t="inlineStr">
        <is>
          <t>See comment</t>
        </is>
      </c>
      <c r="AV1" t="inlineStr">
        <is>
          <t>See comment</t>
        </is>
      </c>
      <c r="AW1" t="inlineStr">
        <is>
          <t>See comment</t>
        </is>
      </c>
      <c r="AX1"/>
      <c r="AY1"/>
      <c r="AZ1" t="inlineStr">
        <is>
          <t>See comment</t>
        </is>
      </c>
      <c r="BA1" t="inlineStr">
        <is>
          <t>See comment</t>
        </is>
      </c>
      <c r="BB1" t="inlineStr">
        <is>
          <t>See comment</t>
        </is>
      </c>
      <c r="BC1" t="inlineStr">
        <is>
          <t>See comment</t>
        </is>
      </c>
      <c r="BD1" s="1548"/>
      <c r="BE1" s="1548"/>
      <c r="BF1" s="1548"/>
      <c r="BG1" s="1548"/>
      <c r="BH1" s="1548"/>
      <c r="BI1" s="1548"/>
      <c r="BJ1" s="1548"/>
      <c r="BK1" s="1548"/>
      <c r="BL1" s="1548"/>
      <c r="BM1" s="1548"/>
      <c r="BN1" s="1548"/>
      <c r="BO1" s="1548"/>
      <c r="BP1" s="1548"/>
      <c r="BQ1" s="1548"/>
      <c r="BR1" s="1548"/>
      <c r="BS1" s="1548"/>
      <c r="BT1" s="1548"/>
      <c r="BU1" s="1548"/>
      <c r="BV1" s="1549"/>
      <c r="BW1" s="1549"/>
      <c r="BX1" s="1548"/>
      <c r="BY1" s="1548"/>
      <c r="BZ1" s="1550"/>
      <c r="CA1" s="1550"/>
      <c r="CB1" s="1550"/>
      <c r="CC1" s="1550"/>
      <c r="CD1" s="1548"/>
      <c r="CE1" s="1550"/>
      <c r="CF1" s="1550"/>
      <c r="CG1" s="1550"/>
      <c r="CH1" s="1550"/>
      <c r="CI1" s="1548"/>
      <c r="CJ1" s="1550"/>
      <c r="CK1" s="1551"/>
      <c r="CL1" s="1551"/>
      <c r="CM1" s="1551"/>
      <c r="CN1" s="1551"/>
      <c r="CO1" s="1552"/>
      <c r="CP1" s="1549"/>
      <c r="CQ1" s="1551"/>
      <c r="CR1" s="1553"/>
      <c r="CS1" s="1554"/>
      <c r="CT1" s="1548"/>
      <c r="CU1" s="1548"/>
      <c r="CV1" s="1548"/>
      <c r="CW1" s="1548"/>
      <c r="CX1" s="1548"/>
      <c r="CY1" s="1555" t="inlineStr">
        <is>
          <t>franky</t>
        </is>
      </c>
      <c r="CZ1" s="1548"/>
      <c r="DA1" s="1550"/>
      <c r="DB1" s="1550"/>
      <c r="DC1" s="1550"/>
      <c r="DD1" s="1550"/>
      <c r="DE1" s="1548"/>
      <c r="DF1" s="1548"/>
      <c r="DG1" s="1548"/>
      <c r="DH1" s="1548"/>
      <c r="DI1" s="1548"/>
      <c r="DJ1" s="1548"/>
      <c r="DK1" s="1548"/>
      <c r="DL1" s="1548"/>
      <c r="DM1" s="1548"/>
      <c r="DN1" s="1548"/>
      <c r="DO1" s="1548"/>
      <c r="DP1" s="1548"/>
      <c r="DQ1" s="1548"/>
      <c r="DR1" s="1548"/>
    </row>
    <row r="2" customFormat="1" customHeight="1" ht="58.5" s="2" x14ac:dyDescent="0.2">
      <c r="A2" s="1556"/>
      <c r="B2" s="1557"/>
      <c r="C2" s="123" t="inlineStr">
        <is>
          <t>TR</t>
        </is>
      </c>
      <c r="D2" s="123" t="inlineStr">
        <is>
          <t>Test specification</t>
        </is>
      </c>
      <c r="E2" s="123" t="inlineStr">
        <is>
          <t>Version</t>
        </is>
      </c>
      <c r="F2" s="123" t="inlineStr">
        <is>
          <t>Test case</t>
        </is>
      </c>
      <c r="G2" s="1494" t="inlineStr">
        <is>
          <t>Module Port</t>
        </is>
      </c>
      <c r="H2" s="1494" t="inlineStr">
        <is>
          <t>Antenna</t>
        </is>
      </c>
      <c r="I2" s="123" t="inlineStr">
        <is>
          <t>TX Configuration</t>
        </is>
      </c>
      <c r="J2" s="123" t="inlineStr">
        <is>
          <t>Technology</t>
        </is>
      </c>
      <c r="K2" s="123" t="inlineStr">
        <is>
          <t>Band</t>
        </is>
      </c>
      <c r="L2" s="123" t="inlineStr">
        <is>
          <t>SCS (kHz)</t>
        </is>
      </c>
      <c r="M2" s="123" t="inlineStr">
        <is>
          <t>Bandwidth (MHz)</t>
        </is>
      </c>
      <c r="N2" s="123" t="inlineStr">
        <is>
          <t>Modulation</t>
        </is>
      </c>
      <c r="O2" s="123" t="inlineStr">
        <is>
          <t>MPR</t>
        </is>
      </c>
      <c r="P2" s="6060" t="inlineStr">
        <is>
          <t>Narrowband Index</t>
        </is>
      </c>
      <c r="Q2" s="123" t="inlineStr">
        <is>
          <t>UL RB Allocation</t>
        </is>
      </c>
      <c r="R2" s="123" t="inlineStr">
        <is>
          <t>UL RB Start</t>
        </is>
      </c>
      <c r="S2" s="123" t="inlineStr">
        <is>
          <t>Mode</t>
        </is>
      </c>
      <c r="T2" s="123" t="inlineStr">
        <is>
          <t>Channel Number</t>
        </is>
      </c>
      <c r="U2" s="123" t="inlineStr">
        <is>
          <t>Frequency (MHz)</t>
        </is>
      </c>
      <c r="V2" s="123" t="inlineStr">
        <is>
          <t>Data Rate</t>
        </is>
      </c>
      <c r="W2" s="1489" t="inlineStr">
        <is>
          <t>Duty Cycle (%)</t>
        </is>
      </c>
      <c r="X2" s="123" t="inlineStr">
        <is>
          <t>Uplink Slots</t>
        </is>
      </c>
      <c r="Y2" s="123" t="inlineStr">
        <is>
          <t>Subtest</t>
        </is>
      </c>
      <c r="Z2" s="123"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t="inlineStr">
        <is>
          <t>Verdict</t>
        </is>
      </c>
      <c r="AH2" s="124" t="inlineStr">
        <is>
          <t>Average Output Power (dBm)</t>
        </is>
      </c>
      <c r="AI2" s="125" t="inlineStr">
        <is>
          <t>Frame Average Output Power (dBm)</t>
        </is>
      </c>
      <c r="AJ2" s="125"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126" t="inlineStr">
        <is>
          <t>Date of Execution</t>
        </is>
      </c>
      <c r="BF2" s="127" t="inlineStr">
        <is>
          <t>Duration</t>
        </is>
      </c>
      <c r="BG2" s="126" t="inlineStr">
        <is>
          <t>Date of Setup</t>
        </is>
      </c>
      <c r="BH2" s="127" t="inlineStr">
        <is>
          <t>Setup Duration</t>
        </is>
      </c>
      <c r="BI2" s="127" t="inlineStr">
        <is>
          <t>Samples</t>
        </is>
      </c>
      <c r="BJ2" s="127" t="inlineStr">
        <is>
          <t>Operation Mode</t>
        </is>
      </c>
      <c r="BK2" s="127" t="inlineStr">
        <is>
          <t>Test Operator</t>
        </is>
      </c>
      <c r="BL2" s="127" t="inlineStr">
        <is>
          <t>Uncertainty</t>
        </is>
      </c>
      <c r="BM2" s="820" t="inlineStr">
        <is>
          <t>Room</t>
        </is>
      </c>
      <c r="BN2" s="127" t="inlineStr">
        <is>
          <t>Used Test Equipment</t>
        </is>
      </c>
      <c r="BO2" s="127" t="inlineStr">
        <is>
          <t>Comment</t>
        </is>
      </c>
      <c r="BP2" s="127" t="inlineStr">
        <is>
          <t>Bug tracking link</t>
        </is>
      </c>
      <c r="BQ2" s="127" t="inlineStr">
        <is>
          <t>Result filename</t>
        </is>
      </c>
      <c r="BR2" s="127" t="inlineStr">
        <is>
          <t>Env. Conditions</t>
        </is>
      </c>
      <c r="BS2" s="1548"/>
      <c r="BT2" s="199" t="inlineStr">
        <is>
          <t>Tech</t>
        </is>
      </c>
      <c r="BU2" s="199" t="inlineStr">
        <is>
          <t>Band</t>
        </is>
      </c>
      <c r="BV2" s="199" t="inlineStr">
        <is>
          <t>Ant</t>
        </is>
      </c>
      <c r="BW2" s="198" t="inlineStr">
        <is>
          <t xml:space="preserve">TX
Config</t>
        </is>
      </c>
      <c r="BX2" s="198" t="inlineStr">
        <is>
          <t xml:space="preserve">Exposure
Conditions</t>
        </is>
      </c>
      <c r="BY2" s="199" t="inlineStr">
        <is>
          <t>Mode</t>
        </is>
      </c>
      <c r="BZ2" s="199" t="inlineStr">
        <is>
          <t>BW</t>
        </is>
      </c>
      <c r="CA2" s="199" t="inlineStr">
        <is>
          <t>Position</t>
        </is>
      </c>
      <c r="CB2" s="198" t="inlineStr">
        <is>
          <t xml:space="preserve">Dist
(mm)</t>
        </is>
      </c>
      <c r="CC2" s="199" t="inlineStr">
        <is>
          <t>Channel</t>
        </is>
      </c>
      <c r="CD2" s="199" t="inlineStr">
        <is>
          <t xml:space="preserve">Freq
(MHz)</t>
        </is>
      </c>
      <c r="CE2" s="385" t="inlineStr">
        <is>
          <t>Estimated SAR 10-g (W/Kg)</t>
        </is>
      </c>
      <c r="CF2" s="385" t="inlineStr">
        <is>
          <t xml:space="preserve">SAR 
10-g
(W/kg)</t>
        </is>
      </c>
      <c r="CG2" s="239" t="inlineStr">
        <is>
          <t>Copy of "Mode" column (shall be hidden)</t>
        </is>
      </c>
      <c r="CH2" s="239" t="inlineStr">
        <is>
          <t>Copy of "BW" column (shall be hidden)</t>
        </is>
      </c>
      <c r="CI2" s="239" t="inlineStr">
        <is>
          <t>Copy of "Position" column (shall be hidden)</t>
        </is>
      </c>
      <c r="CJ2" s="385" t="inlineStr">
        <is>
          <t xml:space="preserve">Power Drift
(dB)</t>
        </is>
      </c>
      <c r="CK2" s="1490" t="inlineStr">
        <is>
          <t xml:space="preserve">Duty Cycle
(%)</t>
        </is>
      </c>
      <c r="CL2" s="215" t="inlineStr">
        <is>
          <t>Estimated SAR validity?</t>
        </is>
      </c>
      <c r="CM2" s="215" t="inlineStr">
        <is>
          <t>Measure Zoom           Scan+ Zoom        Scan next max</t>
        </is>
      </c>
      <c r="CN2" s="216" t="inlineStr">
        <is>
          <t xml:space="preserve">Measure 
Low &amp; High</t>
        </is>
      </c>
      <c r="CO2" s="217" t="inlineStr">
        <is>
          <t xml:space="preserve">Reported
SAR
 10-g
(W/kg)</t>
        </is>
      </c>
      <c r="CP2" s="218" t="inlineStr">
        <is>
          <t xml:space="preserve">Limit SAR
10-g (W/kg)</t>
        </is>
      </c>
      <c r="CQ2" s="217" t="inlineStr">
        <is>
          <t xml:space="preserve">Verdict
(Pass/Fail)</t>
        </is>
      </c>
      <c r="CR2" s="1479" t="inlineStr">
        <is>
          <t xml:space="preserve">Plot
#</t>
        </is>
      </c>
      <c r="CS2" s="1506" t="inlineStr">
        <is>
          <t xml:space="preserve">Date
(yyyy-mm-dd
hh:mm:ss)</t>
        </is>
      </c>
      <c r="CT2" s="397" t="inlineStr">
        <is>
          <t xml:space="preserve">Test duration
(min)</t>
        </is>
      </c>
      <c r="CU2" s="397" t="inlineStr">
        <is>
          <t xml:space="preserve">Setup duration
(min)</t>
        </is>
      </c>
      <c r="CV2" s="397" t="inlineStr">
        <is>
          <t xml:space="preserve">Sample
(S/02-S/02,...)</t>
        </is>
      </c>
      <c r="CW2" s="397" t="inlineStr">
        <is>
          <t xml:space="preserve">Room
(Dasy5 / Dasy6)</t>
        </is>
      </c>
      <c r="CX2" s="1557"/>
      <c r="CY2" s="686" t="inlineStr">
        <is>
          <t>Liquid</t>
        </is>
      </c>
      <c r="CZ2" s="35" t="inlineStr">
        <is>
          <t xml:space="preserve">Drift
(%)</t>
        </is>
      </c>
      <c r="DA2" s="3361" t="inlineStr">
        <is>
          <t>Max Power     (Target+Tune-up) (dBm)</t>
        </is>
      </c>
      <c r="DB2" s="1450" t="inlineStr">
        <is>
          <t>Conducted Power Measured (dBm)</t>
        </is>
      </c>
      <c r="DC2" s="1361" t="inlineStr">
        <is>
          <t>Max Power     (Target+Tune-up) (mW)</t>
        </is>
      </c>
      <c r="DD2" s="1361" t="inlineStr">
        <is>
          <t xml:space="preserve">Conducted
 Power
 Measured
 (mW)</t>
        </is>
      </c>
      <c r="DE2" s="35" t="inlineStr">
        <is>
          <t xml:space="preserve">Scale 
factor</t>
        </is>
      </c>
      <c r="DF2" s="1557"/>
      <c r="DG2" s="1557"/>
      <c r="DH2" s="1557"/>
      <c r="DI2" s="1541"/>
      <c r="DJ2" s="1541"/>
      <c r="DK2" s="1541"/>
      <c r="DL2" s="1541"/>
      <c r="DM2" s="1541"/>
      <c r="DN2" s="1541"/>
      <c r="DO2" s="1541"/>
      <c r="DP2" s="1541"/>
      <c r="DQ2" s="1541"/>
      <c r="DR2" s="1541"/>
      <c r="DS2" s="36"/>
      <c r="DT2" s="36"/>
      <c r="DU2" s="36"/>
    </row>
    <row r="3" ht="12.75" x14ac:dyDescent="0.2">
      <c r="A3" s="1541"/>
      <c r="B3" s="1541"/>
      <c r="C3"/>
      <c r="D3" s="130">
        <f>IF(BX$3="Close to Ear","EN 62209-1","EN 62209-2")</f>
        <v/>
      </c>
      <c r="E3" s="130">
        <f>IF(CG3="Close to Ear","2016","2010/A1:2019")</f>
        <v/>
      </c>
      <c r="F3" s="1488" t="inlineStr">
        <is>
          <t>5.1</t>
        </is>
      </c>
      <c r="G3" s="1497"/>
      <c r="H3" s="120">
        <f>BV3</f>
        <v/>
      </c>
      <c r="I3" s="120">
        <f>BW3</f>
        <v/>
      </c>
      <c r="J3" s="687" t="str">
        <f>BT3</f>
        <v>GSM</v>
      </c>
      <c r="K3" s="194">
        <f>BU3</f>
        <v>900</v>
      </c>
      <c r="L3" s="115"/>
      <c r="M3" s="120">
        <f>BZ3</f>
        <v>0</v>
      </c>
      <c r="N3" s="119"/>
      <c r="O3" s="131"/>
      <c r="P3" s="6597"/>
      <c r="Q3" s="131"/>
      <c r="R3" s="131"/>
      <c r="S3" s="120">
        <f>CG3</f>
        <v>0</v>
      </c>
      <c r="T3" s="120">
        <f>CC3</f>
        <v>37</v>
      </c>
      <c r="U3" s="120">
        <f>CD3</f>
        <v>897.4</v>
      </c>
      <c r="V3" s="119"/>
      <c r="W3" s="197">
        <f>CK3*100</f>
        <v/>
      </c>
      <c r="X3" s="119"/>
      <c r="Y3" s="119"/>
      <c r="Z3" s="119"/>
      <c r="AA3" s="115"/>
      <c r="AB3" s="115"/>
      <c r="AC3" s="689">
        <f>IF(OR(BX$3="Close to Ear",BX$3="Close to Head"),"Head",IF(BX$3="Extremity","Extremity","Body"))</f>
        <v/>
      </c>
      <c r="AD3" s="690">
        <f>CA3</f>
        <v/>
      </c>
      <c r="AE3" s="688">
        <f>CB3</f>
        <v/>
      </c>
      <c r="AF3" s="115"/>
      <c r="AG3" s="808">
        <f>IF(AZ3="","N/A",IF(CQ3="Pass","P","F"))</f>
        <v/>
      </c>
      <c r="AH3" s="129"/>
      <c r="AI3" s="129"/>
      <c r="AJ3" s="129"/>
      <c r="AK3" s="119"/>
      <c r="AL3" s="115"/>
      <c r="AM3" s="119"/>
      <c r="AN3" s="119"/>
      <c r="AO3" s="692"/>
      <c r="AP3" s="692"/>
      <c r="AQ3" s="692"/>
      <c r="AR3" s="692"/>
      <c r="AS3" s="692"/>
      <c r="AT3" s="691">
        <f>CE3</f>
        <v/>
      </c>
      <c r="AU3" s="691">
        <f>CF3</f>
        <v/>
      </c>
      <c r="AV3" s="813"/>
      <c r="AW3" s="813"/>
      <c r="AX3" s="197">
        <f>CZ3</f>
        <v/>
      </c>
      <c r="AY3" s="197">
        <f>DE3</f>
        <v/>
      </c>
      <c r="AZ3" s="3379">
        <f>CO3</f>
        <v/>
      </c>
      <c r="BA3" s="3380"/>
      <c r="BB3" s="197">
        <f>CP3</f>
        <v/>
      </c>
      <c r="BC3" s="813"/>
      <c r="BD3" s="197">
        <f>CR3</f>
        <v/>
      </c>
      <c r="BE3" s="121">
        <f>CS3</f>
        <v/>
      </c>
      <c r="BF3" s="122">
        <f>CT3*60</f>
        <v/>
      </c>
      <c r="BG3" s="121">
        <f>BE3</f>
        <v/>
      </c>
      <c r="BH3" s="122">
        <f>CU3*60</f>
        <v/>
      </c>
      <c r="BI3" s="122">
        <f>CV3</f>
        <v/>
      </c>
      <c r="BJ3" s="117"/>
      <c r="BK3" s="812">
        <f>Overview!$E$7</f>
        <v/>
      </c>
      <c r="BL3" s="117"/>
      <c r="BM3" s="836">
        <f>CW3</f>
        <v/>
      </c>
      <c r="BN3" s="812">
        <f>Overview!$P$153</f>
        <v/>
      </c>
      <c r="BO3" s="117"/>
      <c r="BP3" s="117"/>
      <c r="BQ3" s="115"/>
      <c r="BR3" s="1478" t="inlineStr">
        <is>
          <t>N/A</t>
        </is>
      </c>
      <c r="BS3" s="1548"/>
      <c r="BT3" s="1777" t="inlineStr">
        <is>
          <t>GSM</t>
        </is>
      </c>
      <c r="BU3" s="1777">
        <v>900</v>
      </c>
      <c r="BV3" s="398">
        <f>Overview!$H$28</f>
        <v/>
      </c>
      <c r="BW3" s="2033"/>
      <c r="BX3" s="7672" t="inlineStr">
        <is>
          <t>Close to Ear</t>
        </is>
      </c>
      <c r="BY3" s="7670"/>
      <c r="BZ3" s="2034"/>
      <c r="CA3" s="2035" t="inlineStr">
        <is>
          <t>Left Cheek</t>
        </is>
      </c>
      <c r="CB3" s="2035">
        <v>0</v>
      </c>
      <c r="CC3" s="1062">
        <f>'2G-3G'!BX15</f>
        <v>37</v>
      </c>
      <c r="CD3" s="1062">
        <f>'2G-3G'!BY15</f>
        <v>897.4</v>
      </c>
      <c r="CE3" s="1522"/>
      <c r="CF3" s="1522"/>
      <c r="CG3" s="386" t="str">
        <f>IF(OR($BY$3="",$BY$3=""),"",$BY$3)</f>
        <v/>
      </c>
      <c r="CH3" s="386">
        <f>BZ3</f>
        <v/>
      </c>
      <c r="CI3" s="386">
        <f>CA3</f>
        <v/>
      </c>
      <c r="CJ3" s="1526"/>
      <c r="CK3" s="2036"/>
      <c r="CL3" s="203">
        <f>IF(CF3=""," ",IF(ABS(CE3-CF3)&lt;=0.125,"Valid","Not valid"))</f>
        <v/>
      </c>
      <c r="CM3" s="204">
        <f> IF(CE3="","",IF(AND(CE3&lt;&gt;"",CF3=""),IF(CE3&gt;=1,"Medir+Sig Max","No"),IF(CF3&lt;&gt;"",IF(CF3&gt;=1,"Medir+Sig Max","No"),"")))</f>
        <v/>
      </c>
      <c r="CN3" s="205">
        <f>IF(UPPER(CM1)="X",IF(CF3=""," ",IF((ABS(CE3)&lt;5)*AND(ABS(CF3)&lt;5)*AND(ABS(CO3)&lt;5),"Solo si es max","Medir")),IF(CF3=""," ",IF((ABS(CE3)&lt;1)*AND(ABS(CF3)&lt;1)*AND(ABS(CO3)&lt;1),"Solo si es max","Medir")))</f>
        <v/>
      </c>
      <c r="CO3" s="219">
        <f>IF(CK3="",IF(AND(CE3="",CF3=""),"",IF(CF3="",IF(DE3&gt;1,ROUND(DE3*CE3,3),CE3),IF(DE3&gt;1,ROUND(DE3*CF3,3),CF3))),IF(AND(CE3="",CF3=""),"",IF(CF3="",IF(DE3&gt;1,ROUND(DE3*CE3*(1/(CK3)),3),CE3*(1/(CK3))),IF(DE3&gt;1,ROUND(DE3*CF3*(1/(CK3)),3),CF3*(1/(CK3))))))</f>
        <v/>
      </c>
      <c r="CP3" s="2037">
        <f>IF(COUNTIF(Overview!K10:K11,TRUE)&gt;0,2,IF(COUNTIF(Overview!L10:L11,TRUE)&gt;0,10,0))</f>
        <v/>
      </c>
      <c r="CQ3" s="1471">
        <f>IF(CO3="","",IF(CO3&gt;CP3,"Fail","Pass"))</f>
        <v/>
      </c>
      <c r="CR3" s="1480">
        <f>IF(AND(MAX(CO3:CO8)=CO3,CO3&lt;&gt;0),1,"")</f>
        <v/>
      </c>
      <c r="CS3" s="1564">
        <f>MyTimestamp(CO3)</f>
        <v/>
      </c>
      <c r="CT3" s="1529">
        <f>IF(CE3="",0,15)+IF(CF3="",0,15)</f>
        <v/>
      </c>
      <c r="CU3" s="1530">
        <f>IF(CT3=0,0,2)</f>
        <v/>
      </c>
      <c r="CV3" s="858" t="inlineStr">
        <is>
          <t>S/02</t>
        </is>
      </c>
      <c r="CW3" s="858" t="inlineStr">
        <is>
          <t>Dasy6</t>
        </is>
      </c>
      <c r="CX3" s="2038"/>
      <c r="CY3" s="2039"/>
      <c r="CZ3" s="1542">
        <f>10^(CJ3/20)*100-100</f>
        <v/>
      </c>
      <c r="DA3" s="1318">
        <f>IF('Tune-Up'!$H$12="","",'Tune-Up'!$H$12)</f>
        <v/>
      </c>
      <c r="DB3" s="694">
        <f>'2G-3G'!BZ15</f>
        <v/>
      </c>
      <c r="DC3" s="796">
        <f>IF(DA3="","",10^(DA3/10))</f>
        <v/>
      </c>
      <c r="DD3" s="1362">
        <f>IF(ISNUMBER(DB3)=FALSE,"",10^(DB3/10))</f>
        <v/>
      </c>
      <c r="DE3" s="1542">
        <f>IF(AND(ISNUMBER(DC3),ISNUMBER(DD3)),IF(DC3/DD3&gt;1,ROUND((DC3)/DD3,3),1),1)</f>
        <v/>
      </c>
      <c r="DF3" s="1541"/>
      <c r="DG3" s="1541"/>
      <c r="DH3" s="1541"/>
      <c r="DI3" s="1541"/>
      <c r="DJ3" s="1541"/>
      <c r="DK3" s="1541"/>
      <c r="DL3" s="1541"/>
      <c r="DM3" s="1541"/>
      <c r="DN3" s="1541"/>
      <c r="DO3" s="1541"/>
      <c r="DP3" s="1541"/>
      <c r="DQ3" s="1541"/>
      <c r="DR3" s="1541"/>
    </row>
    <row r="4" ht="12.75" x14ac:dyDescent="0.2">
      <c r="A4" s="1541"/>
      <c r="B4" s="1541"/>
      <c r="C4"/>
      <c r="D4" s="130">
        <f>IF(BX$3="Close to Ear","EN 62209-1","EN 62209-2")</f>
        <v/>
      </c>
      <c r="E4" s="130">
        <f>IF(CG4="Close to Ear","2016","2010/A1:2019")</f>
        <v/>
      </c>
      <c r="F4" s="1488" t="inlineStr">
        <is>
          <t>5.1</t>
        </is>
      </c>
      <c r="G4" s="1497"/>
      <c r="H4" s="120">
        <f>BV4</f>
        <v/>
      </c>
      <c r="I4" s="120">
        <f>BW4</f>
        <v/>
      </c>
      <c r="J4" s="687" t="str">
        <f>BT4</f>
        <v>GSM</v>
      </c>
      <c r="K4" s="194">
        <f>BU4</f>
        <v>900</v>
      </c>
      <c r="L4" s="115"/>
      <c r="M4" s="120">
        <f>BZ4</f>
        <v>0</v>
      </c>
      <c r="N4" s="119"/>
      <c r="O4" s="131"/>
      <c r="P4" s="6597"/>
      <c r="Q4" s="131"/>
      <c r="R4" s="131"/>
      <c r="S4" s="120">
        <f>CG4</f>
        <v>0</v>
      </c>
      <c r="T4" s="120">
        <f>CC4</f>
        <v>37</v>
      </c>
      <c r="U4" s="120">
        <f>CD4</f>
        <v>897.4</v>
      </c>
      <c r="V4" s="119"/>
      <c r="W4" s="197">
        <f>CK4*100</f>
        <v/>
      </c>
      <c r="X4" s="119"/>
      <c r="Y4" s="119"/>
      <c r="Z4" s="119"/>
      <c r="AA4" s="115"/>
      <c r="AB4" s="115"/>
      <c r="AC4" s="689">
        <f>IF(OR(BX$3="Close to Ear",BX$3="Close to Head"),"Head",IF(BX$3="Extremity","Extremity","Body"))</f>
        <v/>
      </c>
      <c r="AD4" s="690">
        <f>CA4</f>
        <v/>
      </c>
      <c r="AE4" s="688">
        <f>CB4</f>
        <v/>
      </c>
      <c r="AF4" s="115"/>
      <c r="AG4" s="808">
        <f>IF(AZ4="","N/A",IF(CQ4="Pass","P","F"))</f>
        <v/>
      </c>
      <c r="AH4" s="129"/>
      <c r="AI4" s="129"/>
      <c r="AJ4" s="129"/>
      <c r="AK4" s="119"/>
      <c r="AL4" s="115"/>
      <c r="AM4" s="119"/>
      <c r="AN4" s="119"/>
      <c r="AO4" s="692"/>
      <c r="AP4" s="692"/>
      <c r="AQ4" s="692"/>
      <c r="AR4" s="692"/>
      <c r="AS4" s="692"/>
      <c r="AT4" s="691">
        <f>CE4</f>
        <v/>
      </c>
      <c r="AU4" s="691">
        <f>CF4</f>
        <v/>
      </c>
      <c r="AV4" s="813"/>
      <c r="AW4" s="813"/>
      <c r="AX4" s="197">
        <f>CZ4</f>
        <v/>
      </c>
      <c r="AY4" s="197">
        <f>DE4</f>
        <v/>
      </c>
      <c r="AZ4" s="3379">
        <f>CO4</f>
        <v/>
      </c>
      <c r="BA4" s="3380"/>
      <c r="BB4" s="197">
        <f>CP4</f>
        <v/>
      </c>
      <c r="BC4" s="813"/>
      <c r="BD4" s="197">
        <f>CR4</f>
        <v/>
      </c>
      <c r="BE4" s="121">
        <f>CS4</f>
        <v/>
      </c>
      <c r="BF4" s="122">
        <f>CT4*60</f>
        <v/>
      </c>
      <c r="BG4" s="121">
        <f>BE4</f>
        <v/>
      </c>
      <c r="BH4" s="122">
        <f>CU4*60</f>
        <v/>
      </c>
      <c r="BI4" s="122">
        <f>CV4</f>
        <v/>
      </c>
      <c r="BJ4" s="117"/>
      <c r="BK4" s="812">
        <f>Overview!$E$7</f>
        <v/>
      </c>
      <c r="BL4" s="117"/>
      <c r="BM4" s="836">
        <f>CW4</f>
        <v/>
      </c>
      <c r="BN4" s="812">
        <f>Overview!$P$153</f>
        <v/>
      </c>
      <c r="BO4" s="117"/>
      <c r="BP4" s="117"/>
      <c r="BQ4" s="115"/>
      <c r="BR4" s="1478" t="inlineStr">
        <is>
          <t>N/A</t>
        </is>
      </c>
      <c r="BS4" s="1548"/>
      <c r="BT4" s="1783" t="inlineStr">
        <is>
          <t>GSM</t>
        </is>
      </c>
      <c r="BU4" s="1783">
        <v>900</v>
      </c>
      <c r="BV4" s="400">
        <f>Overview!$H$28</f>
        <v/>
      </c>
      <c r="BW4" s="2010"/>
      <c r="BX4" s="1783"/>
      <c r="BY4" s="2040"/>
      <c r="BZ4" s="2040"/>
      <c r="CA4" s="2041" t="inlineStr">
        <is>
          <t>Left Tilt</t>
        </is>
      </c>
      <c r="CB4" s="2041">
        <v>0</v>
      </c>
      <c r="CC4" s="1063">
        <f>'2G-3G'!BX15</f>
        <v>37</v>
      </c>
      <c r="CD4" s="1063">
        <f>'2G-3G'!BY15</f>
        <v>897.4</v>
      </c>
      <c r="CE4" s="1523"/>
      <c r="CF4" s="1523"/>
      <c r="CG4" s="387" t="str">
        <f>IF(OR($BY$3="",$BY$3=""),"",$BY$3)</f>
        <v/>
      </c>
      <c r="CH4" s="387">
        <f>BZ4</f>
        <v/>
      </c>
      <c r="CI4" s="387">
        <f>CA4</f>
        <v/>
      </c>
      <c r="CJ4" s="1527"/>
      <c r="CK4" s="2042"/>
      <c r="CL4" s="206">
        <f>IF(CF4=""," ",IF(ABS(CE4-CF4)&lt;=0.125,"Valid","Not valid"))</f>
        <v/>
      </c>
      <c r="CM4" s="207">
        <f> IF(CE4="","",IF(AND(CE4&lt;&gt;"",CF4=""),IF(CE4&gt;=1,"Medir+Sig Max","No"),IF(CF4&lt;&gt;"",IF(CF4&gt;=1,"Medir+Sig Max","No"),"")))</f>
        <v/>
      </c>
      <c r="CN4" s="208">
        <f>IF(UPPER(CM1)="X",IF(CF4=""," ",IF((ABS(CE4)&lt;5)*AND(ABS(CF4)&lt;5)*AND(ABS(CO4)&lt;5),"Solo si es max","Medir")),IF(CF4=""," ",IF((ABS(CE4)&lt;1)*AND(ABS(CF4)&lt;1)*AND(ABS(CO4)&lt;1),"Solo si es max","Medir")))</f>
        <v/>
      </c>
      <c r="CO4" s="220">
        <f>IF(CK4="",IF(AND(CE4="",CF4=""),"",IF(CF4="",IF(DE4&gt;1,ROUND(DE4*CE4,3),CE4),IF(DE4&gt;1,ROUND(DE4*CF4,3),CF4))),IF(AND(CE4="",CF4=""),"",IF(CF4="",IF(DE4&gt;1,ROUND(DE4*CE4*(1/(CK4)),3),CE4*(1/(CK4))),IF(DE4&gt;1,ROUND(DE4*CF4*(1/(CK4)),3),CF4*(1/(CK4))))))</f>
        <v/>
      </c>
      <c r="CP4" s="2043">
        <f>$CP$3</f>
        <v/>
      </c>
      <c r="CQ4" s="1472">
        <f>IF(CO4="","",IF(CO4&gt;CP4,"Fail","Pass"))</f>
        <v/>
      </c>
      <c r="CR4" s="1481">
        <f>IF(AND(MAX(CO3:CO8)=CO4,CO4&lt;&gt;0),1,"")</f>
        <v/>
      </c>
      <c r="CS4" s="1565">
        <f>MyTimestamp(CO4)</f>
        <v/>
      </c>
      <c r="CT4" s="1531">
        <f>IF(CE4="",0,15)+IF(CF4="",0,15)</f>
        <v/>
      </c>
      <c r="CU4" s="1532">
        <f>IF(CT4=0,0,2)</f>
        <v/>
      </c>
      <c r="CV4" s="859" t="inlineStr">
        <is>
          <t>S/02</t>
        </is>
      </c>
      <c r="CW4" s="859" t="inlineStr">
        <is>
          <t>Dasy6</t>
        </is>
      </c>
      <c r="CX4" s="2038"/>
      <c r="CY4" s="2044"/>
      <c r="CZ4" s="1543">
        <f>10^(CJ4/20)*100-100</f>
        <v/>
      </c>
      <c r="DA4" s="1319">
        <f>IF('Tune-Up'!$H$12="","",'Tune-Up'!$H$12)</f>
        <v/>
      </c>
      <c r="DB4" s="695">
        <f>'2G-3G'!BZ15</f>
        <v/>
      </c>
      <c r="DC4" s="797">
        <f>IF(DA4="","",10^(DA4/10))</f>
        <v/>
      </c>
      <c r="DD4" s="1363">
        <f>IF(ISNUMBER(DB4)=FALSE,"",10^(DB4/10))</f>
        <v/>
      </c>
      <c r="DE4" s="1543">
        <f>IF(AND(ISNUMBER(DC4),ISNUMBER(DD4)),IF(DC4/DD4&gt;1,ROUND((DC4)/DD4,3),1),1)</f>
        <v/>
      </c>
      <c r="DF4" s="1541"/>
      <c r="DG4" s="1541"/>
      <c r="DH4" s="1541"/>
      <c r="DI4" s="1541"/>
      <c r="DJ4" s="1541"/>
      <c r="DK4" s="1541"/>
      <c r="DL4" s="1541"/>
      <c r="DM4" s="1541"/>
      <c r="DN4" s="1541"/>
      <c r="DO4" s="1541"/>
      <c r="DP4" s="1541"/>
      <c r="DQ4" s="1541"/>
      <c r="DR4" s="1541"/>
    </row>
    <row r="5" customFormat="1" ht="12.75" s="12" x14ac:dyDescent="0.2">
      <c r="A5" s="1557"/>
      <c r="B5" s="1557"/>
      <c r="C5"/>
      <c r="D5" s="130">
        <f>IF(BX$3="Close to Ear","EN 62209-1","EN 62209-2")</f>
        <v/>
      </c>
      <c r="E5" s="130">
        <f>IF(CG5="Close to Ear","2016","2010/A1:2019")</f>
        <v/>
      </c>
      <c r="F5" s="1488" t="inlineStr">
        <is>
          <t>5.1</t>
        </is>
      </c>
      <c r="G5" s="1497"/>
      <c r="H5" s="120">
        <f>BV5</f>
        <v/>
      </c>
      <c r="I5" s="120">
        <f>BW5</f>
        <v/>
      </c>
      <c r="J5" s="687" t="str">
        <f>BT5</f>
        <v>GSM</v>
      </c>
      <c r="K5" s="194">
        <f>BU5</f>
        <v>900</v>
      </c>
      <c r="L5" s="115"/>
      <c r="M5" s="120">
        <f>BZ5</f>
        <v>0</v>
      </c>
      <c r="N5" s="119"/>
      <c r="O5" s="131"/>
      <c r="P5" s="6597"/>
      <c r="Q5" s="131"/>
      <c r="R5" s="131"/>
      <c r="S5" s="120">
        <f>CG5</f>
        <v>0</v>
      </c>
      <c r="T5" s="120">
        <f>CC5</f>
        <v>37</v>
      </c>
      <c r="U5" s="120">
        <f>CD5</f>
        <v>897.4</v>
      </c>
      <c r="V5" s="119"/>
      <c r="W5" s="197">
        <f>CK5*100</f>
        <v/>
      </c>
      <c r="X5" s="119"/>
      <c r="Y5" s="119"/>
      <c r="Z5" s="119"/>
      <c r="AA5" s="115"/>
      <c r="AB5" s="115"/>
      <c r="AC5" s="689">
        <f>IF(OR(BX$3="Close to Ear",BX$3="Close to Head"),"Head",IF(BX$3="Extremity","Extremity","Body"))</f>
        <v/>
      </c>
      <c r="AD5" s="690">
        <f>CA5</f>
        <v/>
      </c>
      <c r="AE5" s="688">
        <f>CB5</f>
        <v/>
      </c>
      <c r="AF5" s="115"/>
      <c r="AG5" s="808">
        <f>IF(AZ5="","N/A",IF(CQ5="Pass","P","F"))</f>
        <v/>
      </c>
      <c r="AH5" s="129"/>
      <c r="AI5" s="129"/>
      <c r="AJ5" s="129"/>
      <c r="AK5" s="119"/>
      <c r="AL5" s="115"/>
      <c r="AM5" s="119"/>
      <c r="AN5" s="119"/>
      <c r="AO5" s="692"/>
      <c r="AP5" s="692"/>
      <c r="AQ5" s="692"/>
      <c r="AR5" s="692"/>
      <c r="AS5" s="692"/>
      <c r="AT5" s="691">
        <f>CE5</f>
        <v/>
      </c>
      <c r="AU5" s="691">
        <f>CF5</f>
        <v/>
      </c>
      <c r="AV5" s="813"/>
      <c r="AW5" s="813"/>
      <c r="AX5" s="197">
        <f>CZ5</f>
        <v/>
      </c>
      <c r="AY5" s="197">
        <f>DE5</f>
        <v/>
      </c>
      <c r="AZ5" s="3379">
        <f>CO5</f>
        <v/>
      </c>
      <c r="BA5" s="3380"/>
      <c r="BB5" s="197">
        <f>CP5</f>
        <v/>
      </c>
      <c r="BC5" s="813"/>
      <c r="BD5" s="197">
        <f>CR5</f>
        <v/>
      </c>
      <c r="BE5" s="121">
        <f>CS5</f>
        <v/>
      </c>
      <c r="BF5" s="122">
        <f>CT5*60</f>
        <v/>
      </c>
      <c r="BG5" s="121">
        <f>BE5</f>
        <v/>
      </c>
      <c r="BH5" s="122">
        <f>CU5*60</f>
        <v/>
      </c>
      <c r="BI5" s="122">
        <f>CV5</f>
        <v/>
      </c>
      <c r="BJ5" s="117"/>
      <c r="BK5" s="812">
        <f>Overview!$E$7</f>
        <v/>
      </c>
      <c r="BL5" s="117"/>
      <c r="BM5" s="836">
        <f>CW5</f>
        <v/>
      </c>
      <c r="BN5" s="812">
        <f>Overview!$P$153</f>
        <v/>
      </c>
      <c r="BO5" s="117"/>
      <c r="BP5" s="117"/>
      <c r="BQ5" s="115"/>
      <c r="BR5" s="1478" t="inlineStr">
        <is>
          <t>N/A</t>
        </is>
      </c>
      <c r="BS5" s="1548"/>
      <c r="BT5" s="1791" t="inlineStr">
        <is>
          <t>GSM</t>
        </is>
      </c>
      <c r="BU5" s="1791">
        <v>900</v>
      </c>
      <c r="BV5" s="403">
        <f>Overview!$H$28</f>
        <v/>
      </c>
      <c r="BW5" s="2010"/>
      <c r="BX5" s="1791"/>
      <c r="BY5" s="2040"/>
      <c r="BZ5" s="2040"/>
      <c r="CA5" s="2041" t="inlineStr">
        <is>
          <t>Right Cheek</t>
        </is>
      </c>
      <c r="CB5" s="2041">
        <v>0</v>
      </c>
      <c r="CC5" s="1063">
        <f>'2G-3G'!BX15</f>
        <v>37</v>
      </c>
      <c r="CD5" s="1063">
        <f>'2G-3G'!BY15</f>
        <v>897.4</v>
      </c>
      <c r="CE5" s="1523"/>
      <c r="CF5" s="1523"/>
      <c r="CG5" s="387" t="str">
        <f>IF(OR($BY$3="",$BY$3=""),"",$BY$3)</f>
        <v/>
      </c>
      <c r="CH5" s="387">
        <f>BZ5</f>
        <v/>
      </c>
      <c r="CI5" s="387">
        <f>CA5</f>
        <v/>
      </c>
      <c r="CJ5" s="1527"/>
      <c r="CK5" s="2042"/>
      <c r="CL5" s="206">
        <f>IF(CF5=""," ",IF(ABS(CE5-CF5)&lt;=0.125,"Valid","Not valid"))</f>
        <v/>
      </c>
      <c r="CM5" s="207">
        <f> IF(CE5="","",IF(AND(CE5&lt;&gt;"",CF5=""),IF(CE5&gt;=1,"Medir+Sig Max","No"),IF(CF5&lt;&gt;"",IF(CF5&gt;=1,"Medir+Sig Max","No"),"")))</f>
        <v/>
      </c>
      <c r="CN5" s="208">
        <f>IF(UPPER(CM1)="X",IF(CF5=""," ",IF((ABS(CE5)&lt;5)*AND(ABS(CF5)&lt;5)*AND(ABS(CO5)&lt;5),"Solo si es max","Medir")),IF(CF5=""," ",IF((ABS(CE5)&lt;1)*AND(ABS(CF5)&lt;1)*AND(ABS(CO5)&lt;1),"Solo si es max","Medir")))</f>
        <v/>
      </c>
      <c r="CO5" s="220">
        <f>IF(CK5="",IF(AND(CE5="",CF5=""),"",IF(CF5="",IF(DE5&gt;1,ROUND(DE5*CE5,3),CE5),IF(DE5&gt;1,ROUND(DE5*CF5,3),CF5))),IF(AND(CE5="",CF5=""),"",IF(CF5="",IF(DE5&gt;1,ROUND(DE5*CE5*(1/(CK5)),3),CE5*(1/(CK5))),IF(DE5&gt;1,ROUND(DE5*CF5*(1/(CK5)),3),CF5*(1/(CK5))))))</f>
        <v/>
      </c>
      <c r="CP5" s="2043">
        <f>$CP$3</f>
        <v/>
      </c>
      <c r="CQ5" s="1472">
        <f>IF(CO5="","",IF(CO5&gt;CP5,"Fail","Pass"))</f>
        <v/>
      </c>
      <c r="CR5" s="1481">
        <f>IF(AND(MAX(CO3:CO8)=CO5,CO5&lt;&gt;0),1,"")</f>
        <v/>
      </c>
      <c r="CS5" s="1565">
        <f>MyTimestamp(CO5)</f>
        <v/>
      </c>
      <c r="CT5" s="1531">
        <f>IF(CE5="",0,15)+IF(CF5="",0,15)</f>
        <v/>
      </c>
      <c r="CU5" s="1532">
        <f>IF(CT5=0,0,2)</f>
        <v/>
      </c>
      <c r="CV5" s="859" t="inlineStr">
        <is>
          <t>S/02</t>
        </is>
      </c>
      <c r="CW5" s="859" t="inlineStr">
        <is>
          <t>Dasy6</t>
        </is>
      </c>
      <c r="CX5" s="2038"/>
      <c r="CY5" s="2044"/>
      <c r="CZ5" s="1543">
        <f>10^(CJ5/20)*100-100</f>
        <v/>
      </c>
      <c r="DA5" s="1319">
        <f>IF('Tune-Up'!$H$12="","",'Tune-Up'!$H$12)</f>
        <v/>
      </c>
      <c r="DB5" s="695">
        <f>'2G-3G'!BZ15</f>
        <v/>
      </c>
      <c r="DC5" s="797">
        <f>IF(DA5="","",10^(DA5/10))</f>
        <v/>
      </c>
      <c r="DD5" s="1363">
        <f>IF(ISNUMBER(DB5)=FALSE,"",10^(DB5/10))</f>
        <v/>
      </c>
      <c r="DE5" s="1543">
        <f>IF(AND(ISNUMBER(DC5),ISNUMBER(DD5)),IF(DC5/DD5&gt;1,ROUND((DC5)/DD5,3),1),1)</f>
        <v/>
      </c>
      <c r="DF5" s="1557"/>
      <c r="DG5" s="1557"/>
      <c r="DH5" s="1557"/>
      <c r="DI5" s="1541"/>
      <c r="DJ5" s="1541"/>
      <c r="DK5" s="1541"/>
      <c r="DL5" s="1541"/>
      <c r="DM5" s="1541"/>
      <c r="DN5" s="1541"/>
      <c r="DO5" s="1541"/>
      <c r="DP5" s="1541"/>
      <c r="DQ5" s="1541"/>
      <c r="DR5" s="1541"/>
      <c r="DS5" s="36"/>
      <c r="DT5" s="36"/>
      <c r="DU5" s="36"/>
    </row>
    <row r="6" ht="12.75" x14ac:dyDescent="0.2">
      <c r="A6" s="1541"/>
      <c r="B6" s="1541"/>
      <c r="C6"/>
      <c r="D6" s="130">
        <f>IF(BX$3="Close to Ear","EN 62209-1","EN 62209-2")</f>
        <v/>
      </c>
      <c r="E6" s="130">
        <f>IF(CG6="Close to Ear","2016","2010/A1:2019")</f>
        <v/>
      </c>
      <c r="F6" s="1488" t="inlineStr">
        <is>
          <t>5.1</t>
        </is>
      </c>
      <c r="G6" s="1497"/>
      <c r="H6" s="120">
        <f>BV6</f>
        <v/>
      </c>
      <c r="I6" s="120">
        <f>BW6</f>
        <v/>
      </c>
      <c r="J6" s="687" t="str">
        <f>BT6</f>
        <v>GSM</v>
      </c>
      <c r="K6" s="194">
        <f>BU6</f>
        <v>900</v>
      </c>
      <c r="L6" s="115"/>
      <c r="M6" s="120">
        <f>BZ6</f>
        <v>0</v>
      </c>
      <c r="N6" s="119"/>
      <c r="O6" s="131"/>
      <c r="P6" s="6597"/>
      <c r="Q6" s="131"/>
      <c r="R6" s="131"/>
      <c r="S6" s="120">
        <f>CG6</f>
        <v>0</v>
      </c>
      <c r="T6" s="120">
        <f>CC6</f>
        <v>37</v>
      </c>
      <c r="U6" s="120">
        <f>CD6</f>
        <v>897.4</v>
      </c>
      <c r="V6" s="119"/>
      <c r="W6" s="197">
        <f>CK6*100</f>
        <v/>
      </c>
      <c r="X6" s="119"/>
      <c r="Y6" s="119"/>
      <c r="Z6" s="119"/>
      <c r="AA6" s="115"/>
      <c r="AB6" s="115"/>
      <c r="AC6" s="689">
        <f>IF(OR(BX$3="Close to Ear",BX$3="Close to Head"),"Head",IF(BX$3="Extremity","Extremity","Body"))</f>
        <v/>
      </c>
      <c r="AD6" s="690">
        <f>CA6</f>
        <v/>
      </c>
      <c r="AE6" s="688">
        <f>CB6</f>
        <v/>
      </c>
      <c r="AF6" s="115"/>
      <c r="AG6" s="808">
        <f>IF(AZ6="","N/A",IF(CQ6="Pass","P","F"))</f>
        <v/>
      </c>
      <c r="AH6" s="129"/>
      <c r="AI6" s="129"/>
      <c r="AJ6" s="129"/>
      <c r="AK6" s="119"/>
      <c r="AL6" s="115"/>
      <c r="AM6" s="119"/>
      <c r="AN6" s="119"/>
      <c r="AO6" s="692"/>
      <c r="AP6" s="692"/>
      <c r="AQ6" s="692"/>
      <c r="AR6" s="692"/>
      <c r="AS6" s="692"/>
      <c r="AT6" s="691">
        <f>CE6</f>
        <v/>
      </c>
      <c r="AU6" s="691">
        <f>CF6</f>
        <v/>
      </c>
      <c r="AV6" s="813"/>
      <c r="AW6" s="813"/>
      <c r="AX6" s="197">
        <f>CZ6</f>
        <v/>
      </c>
      <c r="AY6" s="197">
        <f>DE6</f>
        <v/>
      </c>
      <c r="AZ6" s="3379">
        <f>CO6</f>
        <v/>
      </c>
      <c r="BA6" s="3380"/>
      <c r="BB6" s="197">
        <f>CP6</f>
        <v/>
      </c>
      <c r="BC6" s="813"/>
      <c r="BD6" s="197">
        <f>CR6</f>
        <v/>
      </c>
      <c r="BE6" s="121">
        <f>CS6</f>
        <v/>
      </c>
      <c r="BF6" s="122">
        <f>CT6*60</f>
        <v/>
      </c>
      <c r="BG6" s="121">
        <f>BE6</f>
        <v/>
      </c>
      <c r="BH6" s="122">
        <f>CU6*60</f>
        <v/>
      </c>
      <c r="BI6" s="122">
        <f>CV6</f>
        <v/>
      </c>
      <c r="BJ6" s="117"/>
      <c r="BK6" s="812">
        <f>Overview!$E$7</f>
        <v/>
      </c>
      <c r="BL6" s="117"/>
      <c r="BM6" s="836">
        <f>CW6</f>
        <v/>
      </c>
      <c r="BN6" s="812">
        <f>Overview!$P$153</f>
        <v/>
      </c>
      <c r="BO6" s="117"/>
      <c r="BP6" s="117"/>
      <c r="BQ6" s="115"/>
      <c r="BR6" s="1478" t="inlineStr">
        <is>
          <t>N/A</t>
        </is>
      </c>
      <c r="BS6" s="1548"/>
      <c r="BT6" s="1783" t="inlineStr">
        <is>
          <t>GSM</t>
        </is>
      </c>
      <c r="BU6" s="1783">
        <v>900</v>
      </c>
      <c r="BV6" s="400">
        <f>Overview!$H$28</f>
        <v/>
      </c>
      <c r="BW6" s="2010"/>
      <c r="BX6" s="1783"/>
      <c r="BY6" s="2040"/>
      <c r="BZ6" s="2040"/>
      <c r="CA6" s="2041" t="inlineStr">
        <is>
          <t>Right Tilt</t>
        </is>
      </c>
      <c r="CB6" s="2041">
        <v>0</v>
      </c>
      <c r="CC6" s="1063">
        <f>'2G-3G'!BX15</f>
        <v>37</v>
      </c>
      <c r="CD6" s="1063">
        <f>'2G-3G'!BY15</f>
        <v>897.4</v>
      </c>
      <c r="CE6" s="1523"/>
      <c r="CF6" s="1523"/>
      <c r="CG6" s="387" t="str">
        <f>IF(OR($BY$3="",$BY$3=""),"",$BY$3)</f>
        <v/>
      </c>
      <c r="CH6" s="387">
        <f>BZ6</f>
        <v/>
      </c>
      <c r="CI6" s="387">
        <f>CA6</f>
        <v/>
      </c>
      <c r="CJ6" s="1527"/>
      <c r="CK6" s="2042"/>
      <c r="CL6" s="206">
        <f>IF(CF6=""," ",IF(ABS(CE6-CF6)&lt;=0.125,"Valid","Not valid"))</f>
        <v/>
      </c>
      <c r="CM6" s="207">
        <f> IF(CE6="","",IF(AND(CE6&lt;&gt;"",CF6=""),IF(CE6&gt;=1,"Medir+Sig Max","No"),IF(CF6&lt;&gt;"",IF(CF6&gt;=1,"Medir+Sig Max","No"),"")))</f>
        <v/>
      </c>
      <c r="CN6" s="208">
        <f>IF(UPPER(CM1)="X",IF(CF6=""," ",IF((ABS(CE6)&lt;5)*AND(ABS(CF6)&lt;5)*AND(ABS(CO6)&lt;5),"Solo si es max","Medir")),IF(CF6=""," ",IF((ABS(CE6)&lt;1)*AND(ABS(CF6)&lt;1)*AND(ABS(CO6)&lt;1),"Solo si es max","Medir")))</f>
        <v/>
      </c>
      <c r="CO6" s="220">
        <f>IF(CK6="",IF(AND(CE6="",CF6=""),"",IF(CF6="",IF(DE6&gt;1,ROUND(DE6*CE6,3),CE6),IF(DE6&gt;1,ROUND(DE6*CF6,3),CF6))),IF(AND(CE6="",CF6=""),"",IF(CF6="",IF(DE6&gt;1,ROUND(DE6*CE6*(1/(CK6)),3),CE6*(1/(CK6))),IF(DE6&gt;1,ROUND(DE6*CF6*(1/(CK6)),3),CF6*(1/(CK6))))))</f>
        <v/>
      </c>
      <c r="CP6" s="2043">
        <f>$CP$3</f>
        <v/>
      </c>
      <c r="CQ6" s="1472">
        <f>IF(CO6="","",IF(CO6&gt;CP6,"Fail","Pass"))</f>
        <v/>
      </c>
      <c r="CR6" s="1481">
        <f>IF(AND(MAX(CO3:CO8)=CO6,CO6&lt;&gt;0),1,"")</f>
        <v/>
      </c>
      <c r="CS6" s="1565">
        <f>MyTimestamp(CO6)</f>
        <v/>
      </c>
      <c r="CT6" s="1531">
        <f>IF(CE6="",0,15)+IF(CF6="",0,15)</f>
        <v/>
      </c>
      <c r="CU6" s="1532">
        <f>IF(CT6=0,0,2)</f>
        <v/>
      </c>
      <c r="CV6" s="859" t="inlineStr">
        <is>
          <t>S/02</t>
        </is>
      </c>
      <c r="CW6" s="859" t="inlineStr">
        <is>
          <t>Dasy6</t>
        </is>
      </c>
      <c r="CX6" s="2038"/>
      <c r="CY6" s="2044"/>
      <c r="CZ6" s="1543">
        <f>10^(CJ6/20)*100-100</f>
        <v/>
      </c>
      <c r="DA6" s="1319">
        <f>IF('Tune-Up'!$H$12="","",'Tune-Up'!$H$12)</f>
        <v/>
      </c>
      <c r="DB6" s="695">
        <f>'2G-3G'!BZ15</f>
        <v/>
      </c>
      <c r="DC6" s="797">
        <f>IF(DA6="","",10^(DA6/10))</f>
        <v/>
      </c>
      <c r="DD6" s="1363">
        <f>IF(ISNUMBER(DB6)=FALSE,"",10^(DB6/10))</f>
        <v/>
      </c>
      <c r="DE6" s="1543">
        <f>IF(AND(ISNUMBER(DC6),ISNUMBER(DD6)),IF(DC6/DD6&gt;1,ROUND((DC6)/DD6,3),1),1)</f>
        <v/>
      </c>
      <c r="DF6" s="1541"/>
      <c r="DG6" s="1541"/>
      <c r="DH6" s="1541"/>
      <c r="DI6" s="1541"/>
      <c r="DJ6" s="1541"/>
      <c r="DK6" s="1541"/>
      <c r="DL6" s="1541"/>
      <c r="DM6" s="1541"/>
      <c r="DN6" s="1541"/>
      <c r="DO6" s="1541"/>
      <c r="DP6" s="1541"/>
      <c r="DQ6" s="1541"/>
      <c r="DR6" s="1541"/>
    </row>
    <row r="7" ht="12.75" x14ac:dyDescent="0.2">
      <c r="A7" s="1541"/>
      <c r="B7" s="1541"/>
      <c r="C7"/>
      <c r="D7" s="130">
        <f>IF(BX$3="Close to Ear","EN 62209-1","EN 62209-2")</f>
        <v/>
      </c>
      <c r="E7" s="130">
        <f>IF(CG7="Close to Ear","2016","2010/A1:2019")</f>
        <v/>
      </c>
      <c r="F7" s="1488" t="inlineStr">
        <is>
          <t>5.1</t>
        </is>
      </c>
      <c r="G7" s="1497"/>
      <c r="H7" s="120">
        <f>BV7</f>
        <v/>
      </c>
      <c r="I7" s="120">
        <f>BW7</f>
        <v/>
      </c>
      <c r="J7" s="687" t="str">
        <f>BT7</f>
        <v>GSM</v>
      </c>
      <c r="K7" s="194">
        <f>BU7</f>
        <v>900</v>
      </c>
      <c r="L7" s="115"/>
      <c r="M7" s="120">
        <f>BZ7</f>
        <v>0</v>
      </c>
      <c r="N7" s="119"/>
      <c r="O7" s="131"/>
      <c r="P7" s="6597"/>
      <c r="Q7" s="131"/>
      <c r="R7" s="131"/>
      <c r="S7" s="120">
        <f>CG7</f>
        <v>0</v>
      </c>
      <c r="T7" s="120">
        <f>CC7</f>
        <v>975</v>
      </c>
      <c r="U7" s="120">
        <f>CD7</f>
        <v>880.2</v>
      </c>
      <c r="V7" s="119"/>
      <c r="W7" s="197">
        <f>CK7*100</f>
        <v/>
      </c>
      <c r="X7" s="119"/>
      <c r="Y7" s="119"/>
      <c r="Z7" s="119"/>
      <c r="AA7" s="115"/>
      <c r="AB7" s="115"/>
      <c r="AC7" s="689">
        <f>IF(OR(BX$3="Close to Ear",BX$3="Close to Head"),"Head",IF(BX$3="Extremity","Extremity","Body"))</f>
        <v/>
      </c>
      <c r="AD7" s="690">
        <f>CA7</f>
        <v/>
      </c>
      <c r="AE7" s="688">
        <f>CB7</f>
        <v/>
      </c>
      <c r="AF7" s="115"/>
      <c r="AG7" s="808">
        <f>IF(AZ7="","N/A",IF(CQ7="Pass","P","F"))</f>
        <v/>
      </c>
      <c r="AH7" s="129"/>
      <c r="AI7" s="129"/>
      <c r="AJ7" s="129"/>
      <c r="AK7" s="119"/>
      <c r="AL7" s="115"/>
      <c r="AM7" s="119"/>
      <c r="AN7" s="119"/>
      <c r="AO7" s="692"/>
      <c r="AP7" s="692"/>
      <c r="AQ7" s="692"/>
      <c r="AR7" s="692"/>
      <c r="AS7" s="692"/>
      <c r="AT7" s="691">
        <f>CE7</f>
        <v/>
      </c>
      <c r="AU7" s="691">
        <f>CF7</f>
        <v/>
      </c>
      <c r="AV7" s="813"/>
      <c r="AW7" s="813"/>
      <c r="AX7" s="197">
        <f>CZ7</f>
        <v/>
      </c>
      <c r="AY7" s="197">
        <f>DE7</f>
        <v/>
      </c>
      <c r="AZ7" s="3379">
        <f>CO7</f>
        <v/>
      </c>
      <c r="BA7" s="3380"/>
      <c r="BB7" s="197">
        <f>CP7</f>
        <v/>
      </c>
      <c r="BC7" s="813"/>
      <c r="BD7" s="197">
        <f>CR7</f>
        <v/>
      </c>
      <c r="BE7" s="121">
        <f>CS7</f>
        <v/>
      </c>
      <c r="BF7" s="122">
        <f>CT7*60</f>
        <v/>
      </c>
      <c r="BG7" s="121">
        <f>BE7</f>
        <v/>
      </c>
      <c r="BH7" s="122">
        <f>CU7*60</f>
        <v/>
      </c>
      <c r="BI7" s="122">
        <f>CV7</f>
        <v/>
      </c>
      <c r="BJ7" s="117"/>
      <c r="BK7" s="812">
        <f>Overview!$E$7</f>
        <v/>
      </c>
      <c r="BL7" s="117"/>
      <c r="BM7" s="836">
        <f>CW7</f>
        <v/>
      </c>
      <c r="BN7" s="812">
        <f>Overview!$P$153</f>
        <v/>
      </c>
      <c r="BO7" s="117"/>
      <c r="BP7" s="117"/>
      <c r="BQ7" s="115"/>
      <c r="BR7" s="1478" t="inlineStr">
        <is>
          <t>N/A</t>
        </is>
      </c>
      <c r="BS7" s="1548"/>
      <c r="BT7" s="1783" t="inlineStr">
        <is>
          <t>GSM</t>
        </is>
      </c>
      <c r="BU7" s="1783">
        <v>900</v>
      </c>
      <c r="BV7" s="400">
        <f>Overview!$H$28</f>
        <v/>
      </c>
      <c r="BW7" s="2010"/>
      <c r="BX7" s="1783"/>
      <c r="BY7" s="2040"/>
      <c r="BZ7" s="2040"/>
      <c r="CA7" s="401" t="str">
        <f>IF(COUNT(CF3:CF6)=0,IF(COUNT(CE3:CE6)=0,"TBD",VLOOKUP(MAX(CE3:CE6),CE3:CI6,5,FALSE)),VLOOKUP(MAX(CF3:CF6),CF3:CI6,4,FALSE))</f>
        <v>TBD</v>
      </c>
      <c r="CB7" s="2041">
        <v>0</v>
      </c>
      <c r="CC7" s="1063">
        <f>'2G-3G'!BX16</f>
        <v>975</v>
      </c>
      <c r="CD7" s="1063">
        <f>'2G-3G'!BY16</f>
        <v>880.2</v>
      </c>
      <c r="CE7" s="1523"/>
      <c r="CF7" s="1523"/>
      <c r="CG7" s="387" t="str">
        <f>IF(OR($BY$3="",$BY$3=""),"",$BY$3)</f>
        <v/>
      </c>
      <c r="CH7" s="387">
        <f>BZ7</f>
        <v/>
      </c>
      <c r="CI7" s="387">
        <f>CA7</f>
        <v/>
      </c>
      <c r="CJ7" s="1527"/>
      <c r="CK7" s="2042"/>
      <c r="CL7" s="206">
        <f>IF(CF7=""," ",IF(ABS(CE7-CF7)&lt;=0.125,"Valid","Not valid"))</f>
        <v/>
      </c>
      <c r="CM7" s="207">
        <f> IF(CE7="","",IF(AND(CE7&lt;&gt;"",CF7=""),IF(CE7&gt;=1,"Medir+Sig Max","No"),IF(CF7&lt;&gt;"",IF(CF7&gt;=1,"Medir+Sig Max","No"),"")))</f>
        <v/>
      </c>
      <c r="CN7" s="208">
        <f>IF(UPPER(CM1)="X",IF(CF7=""," ",IF((ABS(CE7)&lt;5)*AND(ABS(CF7)&lt;5)*AND(ABS(CO7)&lt;5),"Solo si es max","Medir")),IF(CF7=""," ",IF((ABS(CE7)&lt;1)*AND(ABS(CF7)&lt;1)*AND(ABS(CO7)&lt;1),"Solo si es max","Medir")))</f>
        <v/>
      </c>
      <c r="CO7" s="220">
        <f>IF(CK7="",IF(AND(CE7="",CF7=""),"",IF(CF7="",IF(DE7&gt;1,ROUND(DE7*CE7,3),CE7),IF(DE7&gt;1,ROUND(DE7*CF7,3),CF7))),IF(AND(CE7="",CF7=""),"",IF(CF7="",IF(DE7&gt;1,ROUND(DE7*CE7*(1/(CK7)),3),CE7*(1/(CK7))),IF(DE7&gt;1,ROUND(DE7*CF7*(1/(CK7)),3),CF7*(1/(CK7))))))</f>
        <v/>
      </c>
      <c r="CP7" s="2043">
        <f>$CP$3</f>
        <v/>
      </c>
      <c r="CQ7" s="1472">
        <f>IF(CO7="","",IF(CO7&gt;CP7,"Fail","Pass"))</f>
        <v/>
      </c>
      <c r="CR7" s="1481">
        <f>IF(AND(MAX(CO3:CO8)=CO7,CO7&lt;&gt;0),1,"")</f>
        <v/>
      </c>
      <c r="CS7" s="1565">
        <f>MyTimestamp(CO7)</f>
        <v/>
      </c>
      <c r="CT7" s="1531">
        <f>IF(CE7="",0,15)+IF(CF7="",0,15)</f>
        <v/>
      </c>
      <c r="CU7" s="1532">
        <f>IF(CT7=0,0,2)</f>
        <v/>
      </c>
      <c r="CV7" s="859" t="inlineStr">
        <is>
          <t>S/02</t>
        </is>
      </c>
      <c r="CW7" s="859" t="inlineStr">
        <is>
          <t>Dasy6</t>
        </is>
      </c>
      <c r="CX7" s="2038"/>
      <c r="CY7" s="2044"/>
      <c r="CZ7" s="1543">
        <f>10^(CJ7/20)*100-100</f>
        <v/>
      </c>
      <c r="DA7" s="1319">
        <f>IF('Tune-Up'!$H$12="","",'Tune-Up'!$H$12)</f>
        <v/>
      </c>
      <c r="DB7" s="695">
        <f>'2G-3G'!BZ16</f>
        <v/>
      </c>
      <c r="DC7" s="797">
        <f>IF(DA7="","",10^(DA7/10))</f>
        <v/>
      </c>
      <c r="DD7" s="1363">
        <f>IF(ISNUMBER(DB7)=FALSE,"",10^(DB7/10))</f>
        <v/>
      </c>
      <c r="DE7" s="1543">
        <f>IF(AND(ISNUMBER(DC7),ISNUMBER(DD7)),IF(DC7/DD7&gt;1,ROUND((DC7)/DD7,3),1),1)</f>
        <v/>
      </c>
      <c r="DF7" s="1541"/>
      <c r="DG7" s="1541"/>
      <c r="DH7" s="1541"/>
      <c r="DI7" s="1541"/>
      <c r="DJ7" s="1541"/>
      <c r="DK7" s="1541"/>
      <c r="DL7" s="1541"/>
      <c r="DM7" s="1541"/>
      <c r="DN7" s="1541"/>
      <c r="DO7" s="1541"/>
      <c r="DP7" s="1541"/>
      <c r="DQ7" s="1541"/>
      <c r="DR7" s="1541"/>
    </row>
    <row r="8" ht="12.75" x14ac:dyDescent="0.2">
      <c r="A8" s="1541"/>
      <c r="B8" s="1541"/>
      <c r="C8"/>
      <c r="D8" s="130">
        <f>IF(BX$3="Close to Ear","EN 62209-1","EN 62209-2")</f>
        <v/>
      </c>
      <c r="E8" s="130">
        <f>IF(CG8="Close to Ear","2016","2010/A1:2019")</f>
        <v/>
      </c>
      <c r="F8" s="1488" t="inlineStr">
        <is>
          <t>5.1</t>
        </is>
      </c>
      <c r="G8" s="1497"/>
      <c r="H8" s="120">
        <f>BV8</f>
        <v/>
      </c>
      <c r="I8" s="120">
        <f>BW8</f>
        <v/>
      </c>
      <c r="J8" s="687" t="str">
        <f>BT8</f>
        <v>GSM</v>
      </c>
      <c r="K8" s="194">
        <f>BU8</f>
        <v>900</v>
      </c>
      <c r="L8" s="115"/>
      <c r="M8" s="120">
        <f>BZ8</f>
        <v>0</v>
      </c>
      <c r="N8" s="119"/>
      <c r="O8" s="131"/>
      <c r="P8" s="6597"/>
      <c r="Q8" s="131"/>
      <c r="R8" s="131"/>
      <c r="S8" s="120">
        <f>CG8</f>
        <v>0</v>
      </c>
      <c r="T8" s="120">
        <f>CC8</f>
        <v>124</v>
      </c>
      <c r="U8" s="120">
        <f>CD8</f>
        <v>914.8</v>
      </c>
      <c r="V8" s="119"/>
      <c r="W8" s="197">
        <f>CK8*100</f>
        <v/>
      </c>
      <c r="X8" s="119"/>
      <c r="Y8" s="119"/>
      <c r="Z8" s="119"/>
      <c r="AA8" s="115"/>
      <c r="AB8" s="115"/>
      <c r="AC8" s="689">
        <f>IF(OR(BX$3="Close to Ear",BX$3="Close to Head"),"Head",IF(BX$3="Extremity","Extremity","Body"))</f>
        <v/>
      </c>
      <c r="AD8" s="690">
        <f>CA8</f>
        <v/>
      </c>
      <c r="AE8" s="688">
        <f>CB8</f>
        <v/>
      </c>
      <c r="AF8" s="115"/>
      <c r="AG8" s="808">
        <f>IF(AZ8="","N/A",IF(CQ8="Pass","P","F"))</f>
        <v/>
      </c>
      <c r="AH8" s="129"/>
      <c r="AI8" s="129"/>
      <c r="AJ8" s="129"/>
      <c r="AK8" s="119"/>
      <c r="AL8" s="115"/>
      <c r="AM8" s="119"/>
      <c r="AN8" s="119"/>
      <c r="AO8" s="692"/>
      <c r="AP8" s="692"/>
      <c r="AQ8" s="692"/>
      <c r="AR8" s="692"/>
      <c r="AS8" s="692"/>
      <c r="AT8" s="691">
        <f>CE8</f>
        <v/>
      </c>
      <c r="AU8" s="691">
        <f>CF8</f>
        <v/>
      </c>
      <c r="AV8" s="813"/>
      <c r="AW8" s="813"/>
      <c r="AX8" s="197">
        <f>CZ8</f>
        <v/>
      </c>
      <c r="AY8" s="197">
        <f>DE8</f>
        <v/>
      </c>
      <c r="AZ8" s="3379">
        <f>CO8</f>
        <v/>
      </c>
      <c r="BA8" s="3380"/>
      <c r="BB8" s="197">
        <f>CP8</f>
        <v/>
      </c>
      <c r="BC8" s="813"/>
      <c r="BD8" s="197">
        <f>CR8</f>
        <v/>
      </c>
      <c r="BE8" s="121">
        <f>CS8</f>
        <v/>
      </c>
      <c r="BF8" s="122">
        <f>CT8*60</f>
        <v/>
      </c>
      <c r="BG8" s="121">
        <f>BE8</f>
        <v/>
      </c>
      <c r="BH8" s="122">
        <f>CU8*60</f>
        <v/>
      </c>
      <c r="BI8" s="122">
        <f>CV8</f>
        <v/>
      </c>
      <c r="BJ8" s="117"/>
      <c r="BK8" s="812">
        <f>Overview!$E$7</f>
        <v/>
      </c>
      <c r="BL8" s="117"/>
      <c r="BM8" s="836">
        <f>CW8</f>
        <v/>
      </c>
      <c r="BN8" s="812">
        <f>Overview!$P$153</f>
        <v/>
      </c>
      <c r="BO8" s="117"/>
      <c r="BP8" s="117"/>
      <c r="BQ8" s="115"/>
      <c r="BR8" s="1478" t="inlineStr">
        <is>
          <t>N/A</t>
        </is>
      </c>
      <c r="BS8" s="1548"/>
      <c r="BT8" s="1783" t="inlineStr">
        <is>
          <t>GSM</t>
        </is>
      </c>
      <c r="BU8" s="1783">
        <v>900</v>
      </c>
      <c r="BV8" s="400">
        <f>Overview!$H$28</f>
        <v/>
      </c>
      <c r="BW8" s="2010"/>
      <c r="BX8" s="1783"/>
      <c r="BY8" s="2040"/>
      <c r="BZ8" s="2040"/>
      <c r="CA8" s="404" t="str">
        <f>IF(COUNT(CF3:CF6)=0,IF(COUNT(CE3:CE6)=0,"TBD",VLOOKUP(MAX(CE3:CE6),CE3:CI6,5,FALSE)),VLOOKUP(MAX(CF3:CF6),CF3:CI6,4,FALSE))</f>
        <v>TBD</v>
      </c>
      <c r="CB8" s="2045">
        <v>0</v>
      </c>
      <c r="CC8" s="1081">
        <f>'2G-3G'!BX17</f>
        <v>124</v>
      </c>
      <c r="CD8" s="1081">
        <f>'2G-3G'!BY17</f>
        <v>914.8</v>
      </c>
      <c r="CE8" s="1874"/>
      <c r="CF8" s="1874"/>
      <c r="CG8" s="388" t="str">
        <f>IF(OR($BY$3="",$BY$3=""),"",$BY$3)</f>
        <v/>
      </c>
      <c r="CH8" s="388">
        <f>BZ8</f>
        <v/>
      </c>
      <c r="CI8" s="388">
        <f>CA8</f>
        <v/>
      </c>
      <c r="CJ8" s="2046"/>
      <c r="CK8" s="2047"/>
      <c r="CL8" s="209">
        <f>IF(CF8=""," ",IF(ABS(CE8-CF8)&lt;=0.125,"Valid","Not valid"))</f>
        <v/>
      </c>
      <c r="CM8" s="210">
        <f> IF(CE8="","",IF(AND(CE8&lt;&gt;"",CF8=""),IF(CE8&gt;=1,"Medir+Sig Max","No"),IF(CF8&lt;&gt;"",IF(CF8&gt;=1,"Medir+Sig Max","No"),"")))</f>
        <v/>
      </c>
      <c r="CN8" s="211">
        <f>IF(UPPER(CM1)="X",IF(CF8=""," ",IF((ABS(CE8)&lt;5)*AND(ABS(CF8)&lt;5)*AND(ABS(CO8)&lt;5),"Solo si es max","Medir")),IF(CF8=""," ",IF((ABS(CE8)&lt;1)*AND(ABS(CF8)&lt;1)*AND(ABS(CO8)&lt;1),"Solo si es max","Medir")))</f>
        <v/>
      </c>
      <c r="CO8" s="221">
        <f>IF(CK8="",IF(AND(CE8="",CF8=""),"",IF(CF8="",IF(DE8&gt;1,ROUND(DE8*CE8,3),CE8),IF(DE8&gt;1,ROUND(DE8*CF8,3),CF8))),IF(AND(CE8="",CF8=""),"",IF(CF8="",IF(DE8&gt;1,ROUND(DE8*CE8*(1/(CK8)),3),CE8*(1/(CK8))),IF(DE8&gt;1,ROUND(DE8*CF8*(1/(CK8)),3),CF8*(1/(CK8))))))</f>
        <v/>
      </c>
      <c r="CP8" s="2048">
        <f>$CP$3</f>
        <v/>
      </c>
      <c r="CQ8" s="1473">
        <f>IF(CO8="","",IF(CO8&gt;CP8,"Fail","Pass"))</f>
        <v/>
      </c>
      <c r="CR8" s="1482">
        <f>IF(AND(MAX(CO3:CO8)=CO8,CO8&lt;&gt;0),1,"")</f>
        <v/>
      </c>
      <c r="CS8" s="2002">
        <f>MyTimestamp(CO8)</f>
        <v/>
      </c>
      <c r="CT8" s="1533">
        <f>IF(CE8="",0,15)+IF(CF8="",0,15)</f>
        <v/>
      </c>
      <c r="CU8" s="1534">
        <f>IF(CT8=0,0,2)</f>
        <v/>
      </c>
      <c r="CV8" s="860" t="inlineStr">
        <is>
          <t>S/02</t>
        </is>
      </c>
      <c r="CW8" s="860" t="inlineStr">
        <is>
          <t>Dasy6</t>
        </is>
      </c>
      <c r="CX8" s="2038"/>
      <c r="CY8" s="2049"/>
      <c r="CZ8" s="1544">
        <f>10^(CJ8/20)*100-100</f>
        <v/>
      </c>
      <c r="DA8" s="1320">
        <f>IF('Tune-Up'!$H$12="","",'Tune-Up'!$H$12)</f>
        <v/>
      </c>
      <c r="DB8" s="696">
        <f>'2G-3G'!BZ17</f>
        <v/>
      </c>
      <c r="DC8" s="798">
        <f>IF(DA8="","",10^(DA8/10))</f>
        <v/>
      </c>
      <c r="DD8" s="1364">
        <f>IF(ISNUMBER(DB8)=FALSE,"",10^(DB8/10))</f>
        <v/>
      </c>
      <c r="DE8" s="1544">
        <f>IF(AND(ISNUMBER(DC8),ISNUMBER(DD8)),IF(DC8/DD8&gt;1,ROUND((DC8)/DD8,3),1),1)</f>
        <v/>
      </c>
      <c r="DF8" s="1541"/>
      <c r="DG8" s="1541"/>
      <c r="DH8" s="1541"/>
      <c r="DI8" s="1541"/>
      <c r="DJ8" s="1541"/>
      <c r="DK8" s="1541"/>
      <c r="DL8" s="1541"/>
      <c r="DM8" s="1541"/>
      <c r="DN8" s="1541"/>
      <c r="DO8" s="1541"/>
      <c r="DP8" s="1541"/>
      <c r="DQ8" s="1541"/>
      <c r="DR8" s="1541"/>
    </row>
    <row r="9" ht="12.75" x14ac:dyDescent="0.2">
      <c r="A9" s="1541"/>
      <c r="B9" s="1541"/>
      <c r="C9"/>
      <c r="D9" s="130">
        <f>IF(BX$3="Close to Ear","EN 62209-1","EN 62209-2")</f>
        <v/>
      </c>
      <c r="E9" s="130">
        <f>IF(CG9="Close to Ear","2016","2010/A1:2019")</f>
        <v/>
      </c>
      <c r="F9" s="1488" t="inlineStr">
        <is>
          <t>5.1</t>
        </is>
      </c>
      <c r="G9" s="1497"/>
      <c r="H9" s="120">
        <f>BV9</f>
        <v/>
      </c>
      <c r="I9" s="120">
        <f>BW9</f>
        <v/>
      </c>
      <c r="J9" s="687">
        <f>BT9</f>
        <v/>
      </c>
      <c r="K9" s="194">
        <f>BU9</f>
        <v/>
      </c>
      <c r="L9" s="115"/>
      <c r="M9" s="120">
        <f>BZ9</f>
        <v/>
      </c>
      <c r="N9" s="119"/>
      <c r="O9" s="131"/>
      <c r="P9" s="6597"/>
      <c r="Q9" s="131"/>
      <c r="R9" s="131"/>
      <c r="S9" s="120">
        <f>CG9</f>
        <v/>
      </c>
      <c r="T9" s="120">
        <f>CC9</f>
        <v/>
      </c>
      <c r="U9" s="120">
        <f>CD9</f>
        <v/>
      </c>
      <c r="V9" s="119"/>
      <c r="W9" s="197">
        <f>CK9*100</f>
        <v/>
      </c>
      <c r="X9" s="119"/>
      <c r="Y9" s="119"/>
      <c r="Z9" s="119"/>
      <c r="AA9" s="115"/>
      <c r="AB9" s="115"/>
      <c r="AC9" s="689">
        <f>IF(OR(BX$3="Close to Ear",BX$3="Close to Head"),"Head",IF(BX$3="Extremity","Extremity","Body"))</f>
        <v/>
      </c>
      <c r="AD9" s="690">
        <f>CA9</f>
        <v/>
      </c>
      <c r="AE9" s="688">
        <f>CB9</f>
        <v/>
      </c>
      <c r="AF9" s="115"/>
      <c r="AG9" s="808">
        <f>IF(AZ9="","N/A",IF(CQ9="Pass","P","F"))</f>
        <v/>
      </c>
      <c r="AH9" s="129"/>
      <c r="AI9" s="129"/>
      <c r="AJ9" s="129"/>
      <c r="AK9" s="119"/>
      <c r="AL9" s="115"/>
      <c r="AM9" s="119"/>
      <c r="AN9" s="119"/>
      <c r="AO9" s="692"/>
      <c r="AP9" s="692"/>
      <c r="AQ9" s="692"/>
      <c r="AR9" s="692"/>
      <c r="AS9" s="692"/>
      <c r="AT9" s="691">
        <f>CE9</f>
        <v/>
      </c>
      <c r="AU9" s="691">
        <f>CF9</f>
        <v/>
      </c>
      <c r="AV9" s="813"/>
      <c r="AW9" s="813"/>
      <c r="AX9" s="197">
        <f>CZ9</f>
        <v/>
      </c>
      <c r="AY9" s="197">
        <f>DE9</f>
        <v/>
      </c>
      <c r="AZ9" s="3379">
        <f>CO9</f>
        <v/>
      </c>
      <c r="BA9" s="3380"/>
      <c r="BB9" s="197">
        <f>CP9</f>
        <v/>
      </c>
      <c r="BC9" s="813"/>
      <c r="BD9" s="197">
        <f>CR9</f>
        <v/>
      </c>
      <c r="BE9" s="121">
        <f>CS9</f>
        <v/>
      </c>
      <c r="BF9" s="122">
        <f>CT9*60</f>
        <v/>
      </c>
      <c r="BG9" s="121">
        <f>BE9</f>
        <v/>
      </c>
      <c r="BH9" s="122">
        <f>CU9*60</f>
        <v/>
      </c>
      <c r="BI9" s="122">
        <f>CV9</f>
        <v/>
      </c>
      <c r="BJ9" s="117"/>
      <c r="BK9" s="812">
        <f>Overview!$E$7</f>
        <v/>
      </c>
      <c r="BL9" s="117"/>
      <c r="BM9" s="836">
        <f>CW9</f>
        <v/>
      </c>
      <c r="BN9" s="812">
        <f>Overview!$P$153</f>
        <v/>
      </c>
      <c r="BO9" s="117"/>
      <c r="BP9" s="117"/>
      <c r="BQ9" s="115"/>
      <c r="BR9" s="1478" t="inlineStr">
        <is>
          <t>N/A</t>
        </is>
      </c>
      <c r="BS9" s="1548"/>
      <c r="BT9" s="1783" t="inlineStr">
        <is>
          <t>GSM</t>
        </is>
      </c>
      <c r="BU9" s="1783">
        <v>900</v>
      </c>
      <c r="BV9" s="400">
        <f>Overview!$H$28</f>
        <v/>
      </c>
      <c r="BW9" s="2010"/>
      <c r="BX9" s="1783"/>
      <c r="BY9" s="2040"/>
      <c r="BZ9" s="2040"/>
      <c r="CA9" s="404" t="str">
        <f>CONCATENATE(CA7," - Battery check 1")</f>
        <v>TBD - Battery check 1</v>
      </c>
      <c r="CB9" s="2045">
        <v>0</v>
      </c>
      <c r="CC9" s="1081">
        <f>IF(COUNT($CO$3:$CO$8)=0,"N/A",INDEX($CC$3:$CC$8,MATCH(MAX($CO$3:$CO$8),$CO$3:$CO$8,0)))</f>
        <v/>
      </c>
      <c r="CD9" s="1081">
        <f>IF(COUNT($CO$3:$CO$8)=0,"N/A",INDEX($CD$3:$CD$8,MATCH(MAX($CO$3:$CO$8),$CO$3:$CO$8,0)))</f>
        <v/>
      </c>
      <c r="CE9" s="1874"/>
      <c r="CF9" s="1874"/>
      <c r="CG9" s="388" t="inlineStr">
        <is>
          <t>N/A</t>
        </is>
      </c>
      <c r="CH9" s="388">
        <f>BZ9</f>
        <v/>
      </c>
      <c r="CI9" s="388">
        <f>CA9</f>
        <v/>
      </c>
      <c r="CJ9" s="2046"/>
      <c r="CK9" s="2047"/>
      <c r="CL9" s="209">
        <f>IF(CF9=""," ",IF(ABS(CE9-CF9)&lt;=0.125,"Valid","Not valid"))</f>
        <v/>
      </c>
      <c r="CM9" s="210">
        <f> IF(CE9="","",IF(AND(CE9&lt;&gt;"",CF9=""),IF(CE9&gt;=1,"Medir+Sig Max","No"),IF(CF9&lt;&gt;"",IF(CF9&gt;=1,"Medir+Sig Max","No"),"")))</f>
        <v/>
      </c>
      <c r="CN9" s="211">
        <f>IF(UPPER(CM1)="X",IF(CF9=""," ",IF((ABS(CE9)&lt;5)*AND(ABS(CF9)&lt;5)*AND(ABS(CO9)&lt;5),"Solo si es max","Medir")),IF(CF9=""," ",IF((ABS(CE9)&lt;1)*AND(ABS(CF9)&lt;1)*AND(ABS(CO9)&lt;1),"Solo si es max","Medir")))</f>
        <v/>
      </c>
      <c r="CO9" s="221">
        <f>IF(CK9="",IF(AND(CE9="",CF9=""),"",IF(CF9="",IF(DE9&gt;1,ROUND(DE9*CE9,3),CE9),IF(DE9&gt;1,ROUND(DE9*CF9,3),CF9))),IF(AND(CE9="",CF9=""),"",IF(CF9="",IF(DE9&gt;1,ROUND(DE9*CE9*(1/(CK9)),3),CE9*(1/(CK9))),IF(DE9&gt;1,ROUND(DE9*CF9*(1/(CK9)),3),CF9*(1/(CK9))))))</f>
        <v/>
      </c>
      <c r="CP9" s="2048">
        <f>$CP$3</f>
        <v/>
      </c>
      <c r="CQ9" s="1473">
        <f>IF(CO9="","",IF(CO9&gt;CP9,"Fail","Pass"))</f>
        <v/>
      </c>
      <c r="CR9" s="1482">
        <f>IF(CO9&lt;&gt;"",MAX($CR$3:CR8)+1,"")</f>
        <v/>
      </c>
      <c r="CS9" s="2002">
        <f>MyTimestamp(CQ9)</f>
        <v/>
      </c>
      <c r="CT9" s="1533">
        <f>IF(COUNT(CE9:CF9)=1,15,IF(COUNT(CE9:CF9)=0,0,30))</f>
        <v/>
      </c>
      <c r="CU9" s="1534">
        <f>IF(CT9=0,0,2)</f>
        <v/>
      </c>
      <c r="CV9" s="860" t="inlineStr">
        <is>
          <t>S/02</t>
        </is>
      </c>
      <c r="CW9" s="860" t="inlineStr">
        <is>
          <t>Dasy6</t>
        </is>
      </c>
      <c r="CX9" s="2038"/>
      <c r="CY9" s="2049"/>
      <c r="CZ9" s="1544">
        <f>10^(CJ9/20)*100-100</f>
        <v/>
      </c>
      <c r="DA9" s="1320">
        <f>IF('Tune-Up'!$H$12="","",'Tune-Up'!$H$12)</f>
        <v/>
      </c>
      <c r="DB9" s="696">
        <f>IF(COUNT($CO$3:$CO$8)=0,"N/A",IFERROR(INDEX($DB$3:$DB$8,MATCH(MAX($CO$3:$CO$8),$CO$3:$CO$8,0)),"N/A"))</f>
        <v/>
      </c>
      <c r="DC9" s="798">
        <f>IF(DA9="","",10^(DA9/10))</f>
        <v/>
      </c>
      <c r="DD9" s="1364">
        <f>IF(ISNUMBER(DB9)=FALSE,"N/A",10^(DB9/10))</f>
        <v/>
      </c>
      <c r="DE9" s="1544">
        <f>IF(AND(ISNUMBER(DC9),ISNUMBER(DD9)),IF(DC9/DD9&gt;1,ROUND((DC9)/DD9,3),1),1)</f>
        <v/>
      </c>
      <c r="DF9" s="1541"/>
      <c r="DG9" s="1541"/>
      <c r="DH9" s="1541"/>
      <c r="DI9" s="1541"/>
      <c r="DJ9" s="1541"/>
      <c r="DK9" s="1541"/>
      <c r="DL9" s="1541"/>
      <c r="DM9" s="1541"/>
      <c r="DN9" s="1541"/>
      <c r="DO9" s="1541"/>
      <c r="DP9" s="1541"/>
      <c r="DQ9" s="1541"/>
      <c r="DR9" s="1541"/>
    </row>
    <row r="10" ht="12.75" x14ac:dyDescent="0.2">
      <c r="A10" s="1541"/>
      <c r="B10" s="1541"/>
      <c r="C10"/>
      <c r="D10" s="130">
        <f>IF(BX$3="Close to Ear","EN 62209-1","EN 62209-2")</f>
        <v/>
      </c>
      <c r="E10" s="130">
        <f>IF(CG10="Close to Ear","2016","2010/A1:2019")</f>
        <v/>
      </c>
      <c r="F10" s="1488" t="inlineStr">
        <is>
          <t>5.1</t>
        </is>
      </c>
      <c r="G10" s="1497"/>
      <c r="H10" s="120">
        <f>BV10</f>
        <v/>
      </c>
      <c r="I10" s="120">
        <f>BW10</f>
        <v/>
      </c>
      <c r="J10" s="687">
        <f>BT10</f>
        <v/>
      </c>
      <c r="K10" s="194">
        <f>BU10</f>
        <v/>
      </c>
      <c r="L10" s="115"/>
      <c r="M10" s="120">
        <f>BZ10</f>
        <v/>
      </c>
      <c r="N10" s="119"/>
      <c r="O10" s="131"/>
      <c r="P10" s="6597"/>
      <c r="Q10" s="131"/>
      <c r="R10" s="131"/>
      <c r="S10" s="120">
        <f>CG10</f>
        <v/>
      </c>
      <c r="T10" s="120">
        <f>CC10</f>
        <v/>
      </c>
      <c r="U10" s="120">
        <f>CD10</f>
        <v/>
      </c>
      <c r="V10" s="119"/>
      <c r="W10" s="197">
        <f>CK10*100</f>
        <v/>
      </c>
      <c r="X10" s="119"/>
      <c r="Y10" s="119"/>
      <c r="Z10" s="119"/>
      <c r="AA10" s="115"/>
      <c r="AB10" s="115"/>
      <c r="AC10" s="689">
        <f>IF(OR(BX$3="Close to Ear",BX$3="Close to Head"),"Head",IF(BX$3="Extremity","Extremity","Body"))</f>
        <v/>
      </c>
      <c r="AD10" s="690">
        <f>CA10</f>
        <v/>
      </c>
      <c r="AE10" s="688">
        <f>CB10</f>
        <v/>
      </c>
      <c r="AF10" s="115"/>
      <c r="AG10" s="808">
        <f>IF(AZ10="","N/A",IF(CQ10="Pass","P","F"))</f>
        <v/>
      </c>
      <c r="AH10" s="129"/>
      <c r="AI10" s="129"/>
      <c r="AJ10" s="129"/>
      <c r="AK10" s="119"/>
      <c r="AL10" s="115"/>
      <c r="AM10" s="119"/>
      <c r="AN10" s="119"/>
      <c r="AO10" s="692"/>
      <c r="AP10" s="692"/>
      <c r="AQ10" s="692"/>
      <c r="AR10" s="692"/>
      <c r="AS10" s="692"/>
      <c r="AT10" s="691">
        <f>CE10</f>
        <v/>
      </c>
      <c r="AU10" s="691">
        <f>CF10</f>
        <v/>
      </c>
      <c r="AV10" s="813"/>
      <c r="AW10" s="813"/>
      <c r="AX10" s="197">
        <f>CZ10</f>
        <v/>
      </c>
      <c r="AY10" s="197">
        <f>DE10</f>
        <v/>
      </c>
      <c r="AZ10" s="3379">
        <f>CO10</f>
        <v/>
      </c>
      <c r="BA10" s="3380"/>
      <c r="BB10" s="197">
        <f>CP10</f>
        <v/>
      </c>
      <c r="BC10" s="813"/>
      <c r="BD10" s="197">
        <f>CR10</f>
        <v/>
      </c>
      <c r="BE10" s="121">
        <f>CS10</f>
        <v/>
      </c>
      <c r="BF10" s="122">
        <f>CT10*60</f>
        <v/>
      </c>
      <c r="BG10" s="121">
        <f>BE10</f>
        <v/>
      </c>
      <c r="BH10" s="122">
        <f>CU10*60</f>
        <v/>
      </c>
      <c r="BI10" s="122">
        <f>CV10</f>
        <v/>
      </c>
      <c r="BJ10" s="117"/>
      <c r="BK10" s="812">
        <f>Overview!$E$7</f>
        <v/>
      </c>
      <c r="BL10" s="117"/>
      <c r="BM10" s="836">
        <f>CW10</f>
        <v/>
      </c>
      <c r="BN10" s="812">
        <f>Overview!$P$153</f>
        <v/>
      </c>
      <c r="BO10" s="117"/>
      <c r="BP10" s="117"/>
      <c r="BQ10" s="115"/>
      <c r="BR10" s="1478" t="inlineStr">
        <is>
          <t>N/A</t>
        </is>
      </c>
      <c r="BS10" s="1548"/>
      <c r="BT10" s="1783" t="inlineStr">
        <is>
          <t>GSM</t>
        </is>
      </c>
      <c r="BU10" s="1783">
        <v>900</v>
      </c>
      <c r="BV10" s="400">
        <f>Overview!$H$28</f>
        <v/>
      </c>
      <c r="BW10" s="2010"/>
      <c r="BX10" s="1783"/>
      <c r="BY10" s="2040"/>
      <c r="BZ10" s="2040"/>
      <c r="CA10" s="404" t="str">
        <f>CONCATENATE(CA8," - Battery check 2")</f>
        <v>TBD - Battery check 2</v>
      </c>
      <c r="CB10" s="2045">
        <v>0</v>
      </c>
      <c r="CC10" s="1081">
        <f>IF(COUNT($CO$3:$CO$8)=0,"N/A",INDEX($CC$3:$CC$8,MATCH(MAX($CO$3:$CO$8),$CO$3:$CO$8,0)))</f>
        <v/>
      </c>
      <c r="CD10" s="1081">
        <f>IF(COUNT($CO$3:$CO$8)=0,"N/A",INDEX($CD$3:$CD$8,MATCH(MAX($CO$3:$CO$8),$CO$3:$CO$8,0)))</f>
        <v/>
      </c>
      <c r="CE10" s="1874"/>
      <c r="CF10" s="1874"/>
      <c r="CG10" s="388" t="inlineStr">
        <is>
          <t>N/A</t>
        </is>
      </c>
      <c r="CH10" s="388">
        <f>BZ10</f>
        <v/>
      </c>
      <c r="CI10" s="388">
        <f>CA10</f>
        <v/>
      </c>
      <c r="CJ10" s="2046"/>
      <c r="CK10" s="2047"/>
      <c r="CL10" s="209">
        <f>IF(CF10=""," ",IF(ABS(CE10-CF10)&lt;=0.125,"Valid","Not valid"))</f>
        <v/>
      </c>
      <c r="CM10" s="210">
        <f> IF(CE10="","",IF(AND(CE10&lt;&gt;"",CF10=""),IF(CE10&gt;=1,"Medir+Sig Max","No"),IF(CF10&lt;&gt;"",IF(CF10&gt;=1,"Medir+Sig Max","No"),"")))</f>
        <v/>
      </c>
      <c r="CN10" s="211">
        <f>IF(UPPER(CM1)="X",IF(CF10=""," ",IF((ABS(CE10)&lt;5)*AND(ABS(CF10)&lt;5)*AND(ABS(CO10)&lt;5),"Solo si es max","Medir")),IF(CF10=""," ",IF((ABS(CE10)&lt;1)*AND(ABS(CF10)&lt;1)*AND(ABS(CO10)&lt;1),"Solo si es max","Medir")))</f>
        <v/>
      </c>
      <c r="CO10" s="221">
        <f>IF(CK10="",IF(AND(CE10="",CF10=""),"",IF(CF10="",IF(DE10&gt;1,ROUND(DE10*CE10,3),CE10),IF(DE10&gt;1,ROUND(DE10*CF10,3),CF10))),IF(AND(CE10="",CF10=""),"",IF(CF10="",IF(DE10&gt;1,ROUND(DE10*CE10*(1/(CK10)),3),CE10*(1/(CK10))),IF(DE10&gt;1,ROUND(DE10*CF10*(1/(CK10)),3),CF10*(1/(CK10))))))</f>
        <v/>
      </c>
      <c r="CP10" s="2048">
        <f>$CP$3</f>
        <v/>
      </c>
      <c r="CQ10" s="1473">
        <f>IF(CO10="","",IF(CO10&gt;CP10,"Fail","Pass"))</f>
        <v/>
      </c>
      <c r="CR10" s="1482">
        <f>IF(CO10&lt;&gt;"",MAX($CR$3:CR9)+1,"")</f>
        <v/>
      </c>
      <c r="CS10" s="2002">
        <f>MyTimestamp(CQ10)</f>
        <v/>
      </c>
      <c r="CT10" s="1533">
        <f>IF(COUNT(CE10:CF10)=1,15,IF(COUNT(CE10:CF10)=0,0,30))</f>
        <v/>
      </c>
      <c r="CU10" s="1534">
        <f>IF(CT10=0,0,2)</f>
        <v/>
      </c>
      <c r="CV10" s="860" t="inlineStr">
        <is>
          <t>S/02</t>
        </is>
      </c>
      <c r="CW10" s="860" t="inlineStr">
        <is>
          <t>Dasy6</t>
        </is>
      </c>
      <c r="CX10" s="2038"/>
      <c r="CY10" s="2049"/>
      <c r="CZ10" s="1544">
        <f>10^(CJ10/20)*100-100</f>
        <v/>
      </c>
      <c r="DA10" s="1320">
        <f>IF('Tune-Up'!$H$12="","",'Tune-Up'!$H$12)</f>
        <v/>
      </c>
      <c r="DB10" s="696">
        <f>IF(COUNT($CO$3:$CO$8)=0,"N/A",IFERROR(INDEX($DB$3:$DB$8,MATCH(MAX($CO$3:$CO$8),$CO$3:$CO$8,0)),"N/A"))</f>
        <v/>
      </c>
      <c r="DC10" s="798">
        <f>IF(DA10="","",10^(DA10/10))</f>
        <v/>
      </c>
      <c r="DD10" s="1364">
        <f>IF(ISNUMBER(DB10)=FALSE,"N/A",10^(DB10/10))</f>
        <v/>
      </c>
      <c r="DE10" s="1544">
        <f>IF(AND(ISNUMBER(DC10),ISNUMBER(DD10)),IF(DC10/DD10&gt;1,ROUND((DC10)/DD10,3),1),1)</f>
        <v/>
      </c>
      <c r="DF10" s="1541"/>
      <c r="DG10" s="1541"/>
      <c r="DH10" s="1541"/>
      <c r="DI10" s="1541"/>
      <c r="DJ10" s="1541"/>
      <c r="DK10" s="1541"/>
      <c r="DL10" s="1541"/>
      <c r="DM10" s="1541"/>
      <c r="DN10" s="1541"/>
      <c r="DO10" s="1541"/>
      <c r="DP10" s="1541"/>
      <c r="DQ10" s="1541"/>
      <c r="DR10" s="1541"/>
    </row>
    <row r="11" ht="12.75" x14ac:dyDescent="0.2">
      <c r="A11" s="1541"/>
      <c r="B11" s="1541"/>
      <c r="C11"/>
      <c r="D11" s="130">
        <f>IF(BX$11="Close to Ear","EN 62209-1","EN 62209-2")</f>
        <v/>
      </c>
      <c r="E11" s="130">
        <f>IF(CG11="Close to Ear","2016","2010/A1:2019")</f>
        <v/>
      </c>
      <c r="F11" s="1488" t="inlineStr">
        <is>
          <t>5.1</t>
        </is>
      </c>
      <c r="G11" s="1497"/>
      <c r="H11" s="120">
        <f>BV11</f>
        <v/>
      </c>
      <c r="I11" s="120">
        <f>BW11</f>
        <v/>
      </c>
      <c r="J11" s="687" t="str">
        <f>BT11</f>
        <v>GSM</v>
      </c>
      <c r="K11" s="194">
        <f>BU11</f>
        <v>900</v>
      </c>
      <c r="L11" s="115"/>
      <c r="M11" s="120">
        <f>BZ11</f>
        <v>0</v>
      </c>
      <c r="N11" s="119"/>
      <c r="O11" s="131"/>
      <c r="P11" s="6597"/>
      <c r="Q11" s="131"/>
      <c r="R11" s="131"/>
      <c r="S11" s="120">
        <f>CG11</f>
        <v>0</v>
      </c>
      <c r="T11" s="120">
        <f>CC11</f>
        <v>37</v>
      </c>
      <c r="U11" s="120">
        <f>CD11</f>
        <v>897.4</v>
      </c>
      <c r="V11" s="119"/>
      <c r="W11" s="197">
        <f>CK11*100</f>
        <v/>
      </c>
      <c r="X11" s="119"/>
      <c r="Y11" s="119"/>
      <c r="Z11" s="119"/>
      <c r="AA11" s="115"/>
      <c r="AB11" s="115"/>
      <c r="AC11" s="689">
        <f>IF(OR(BX$11="Close to Ear",BX$11="Close to Head"),"Head",IF(BX$11="Extremity","Extremity","Body"))</f>
        <v/>
      </c>
      <c r="AD11" s="690">
        <f>CA11</f>
        <v/>
      </c>
      <c r="AE11" s="688">
        <f>CB11</f>
        <v/>
      </c>
      <c r="AF11" s="115"/>
      <c r="AG11" s="808">
        <f>IF(AZ11="","N/A",IF(CQ11="Pass","P","F"))</f>
        <v/>
      </c>
      <c r="AH11" s="129"/>
      <c r="AI11" s="129"/>
      <c r="AJ11" s="129"/>
      <c r="AK11" s="119"/>
      <c r="AL11" s="115"/>
      <c r="AM11" s="119"/>
      <c r="AN11" s="119"/>
      <c r="AO11" s="692"/>
      <c r="AP11" s="692"/>
      <c r="AQ11" s="692"/>
      <c r="AR11" s="692"/>
      <c r="AS11" s="692"/>
      <c r="AT11" s="691">
        <f>CE11</f>
        <v/>
      </c>
      <c r="AU11" s="691">
        <f>CF11</f>
        <v/>
      </c>
      <c r="AV11" s="813"/>
      <c r="AW11" s="813"/>
      <c r="AX11" s="197">
        <f>CZ11</f>
        <v/>
      </c>
      <c r="AY11" s="197">
        <f>DE11</f>
        <v/>
      </c>
      <c r="AZ11" s="3379">
        <f>CO11</f>
        <v/>
      </c>
      <c r="BA11" s="3380"/>
      <c r="BB11" s="197">
        <f>CP11</f>
        <v/>
      </c>
      <c r="BC11" s="813"/>
      <c r="BD11" s="197">
        <f>CR11</f>
        <v/>
      </c>
      <c r="BE11" s="121">
        <f>CS11</f>
        <v/>
      </c>
      <c r="BF11" s="122">
        <f>CT11*60</f>
        <v/>
      </c>
      <c r="BG11" s="121">
        <f>BE11</f>
        <v/>
      </c>
      <c r="BH11" s="122">
        <f>CU11*60</f>
        <v/>
      </c>
      <c r="BI11" s="122">
        <f>CV11</f>
        <v/>
      </c>
      <c r="BJ11" s="117"/>
      <c r="BK11" s="812">
        <f>Overview!$E$7</f>
        <v/>
      </c>
      <c r="BL11" s="117"/>
      <c r="BM11" s="836">
        <f>CW11</f>
        <v/>
      </c>
      <c r="BN11" s="812">
        <f>Overview!$P$153</f>
        <v/>
      </c>
      <c r="BO11" s="117"/>
      <c r="BP11" s="117"/>
      <c r="BQ11" s="115"/>
      <c r="BR11" s="1478" t="inlineStr">
        <is>
          <t>N/A</t>
        </is>
      </c>
      <c r="BS11" s="1548"/>
      <c r="BT11" s="1783" t="inlineStr">
        <is>
          <t>GSM</t>
        </is>
      </c>
      <c r="BU11" s="1783">
        <v>900</v>
      </c>
      <c r="BV11" s="400">
        <f>Overview!$H$28</f>
        <v/>
      </c>
      <c r="BW11" s="2010"/>
      <c r="BX11" s="7672" t="inlineStr">
        <is>
          <t>Close to Head</t>
        </is>
      </c>
      <c r="BY11" s="2040"/>
      <c r="BZ11" s="2040"/>
      <c r="CA11" s="1996" t="inlineStr">
        <is>
          <t>Front Face</t>
        </is>
      </c>
      <c r="CB11" s="202">
        <v>5</v>
      </c>
      <c r="CC11" s="1062">
        <f>'2G-3G'!BX15</f>
        <v>37</v>
      </c>
      <c r="CD11" s="1062">
        <f>'2G-3G'!BY15</f>
        <v>897.4</v>
      </c>
      <c r="CE11" s="1522"/>
      <c r="CF11" s="1522"/>
      <c r="CG11" s="386" t="str">
        <f>IF(OR($BY$3="",$BY$3=""),"",$BY$3)</f>
        <v/>
      </c>
      <c r="CH11" s="386">
        <f>BZ11</f>
        <v/>
      </c>
      <c r="CI11" s="386">
        <f>CA11</f>
        <v/>
      </c>
      <c r="CJ11" s="1526"/>
      <c r="CK11" s="2036"/>
      <c r="CL11" s="203">
        <f>IF(CF11=""," ",IF(ABS(CE11-CF11)&lt;=0.125,"Valid","Not valid"))</f>
        <v/>
      </c>
      <c r="CM11" s="204">
        <f> IF(CE11="","",IF(AND(CE11&lt;&gt;"",CF11=""),IF(CE11&gt;=1,"Medir+Sig Max","No"),IF(CF11&lt;&gt;"",IF(CF11&gt;=1,"Medir+Sig Max","No"),"")))</f>
        <v/>
      </c>
      <c r="CN11" s="205">
        <f>IF(UPPER(CM1)="X",IF(CF11=""," ",IF((ABS(CE11)&lt;5)*AND(ABS(CF11)&lt;5)*AND(ABS(CO11)&lt;5),"Solo si es max","Medir")),IF(CF11=""," ",IF((ABS(CE11)&lt;1)*AND(ABS(CF11)&lt;1)*AND(ABS(CO11)&lt;1),"Solo si es max","Medir")))</f>
        <v/>
      </c>
      <c r="CO11" s="219">
        <f>IF(CK11="",IF(AND(CE11="",CF11=""),"",IF(CF11="",IF(DE11&gt;1,ROUND(DE11*CE11,3),CE11),IF(DE11&gt;1,ROUND(DE11*CF11,3),CF11))),IF(AND(CE11="",CF11=""),"",IF(CF11="",IF(DE11&gt;1,ROUND(DE11*CE11*(1/(CK11)),3),CE11*(1/(CK11))),IF(DE11&gt;1,ROUND(DE11*CF11*(1/(CK11)),3),CF11*(1/(CK11))))))</f>
        <v/>
      </c>
      <c r="CP11" s="2037">
        <f>$CP$3</f>
        <v/>
      </c>
      <c r="CQ11" s="1471">
        <f>IF(CO11="","",IF(CO11&gt;CP11,"Fail","Pass"))</f>
        <v/>
      </c>
      <c r="CR11" s="1480">
        <f>IF(AND(MAX(CO11:CO18)=CO11,CO11&lt;&gt;0),COUNT($CR$3:CR8)+1,"")</f>
        <v/>
      </c>
      <c r="CS11" s="1564">
        <f>MyTimestamp(CO11)</f>
        <v/>
      </c>
      <c r="CT11" s="1529">
        <f>IF(CE11="",0,15)+IF(CF11="",0,15)</f>
        <v/>
      </c>
      <c r="CU11" s="1530">
        <f>IF(CT11=0,0,2)</f>
        <v/>
      </c>
      <c r="CV11" s="862" t="inlineStr">
        <is>
          <t>S/02</t>
        </is>
      </c>
      <c r="CW11" s="862" t="inlineStr">
        <is>
          <t>Dasy6</t>
        </is>
      </c>
      <c r="CX11" s="2038"/>
      <c r="CY11" s="2039"/>
      <c r="CZ11" s="1542">
        <f>10^(CJ11/20)*100-100</f>
        <v/>
      </c>
      <c r="DA11" s="1318">
        <f>IF('Tune-Up'!$H$12="","",'Tune-Up'!$H$12)</f>
        <v/>
      </c>
      <c r="DB11" s="694">
        <f>'2G-3G'!BZ15</f>
        <v/>
      </c>
      <c r="DC11" s="796">
        <f>IF(DA11="","",10^(DA11/10))</f>
        <v/>
      </c>
      <c r="DD11" s="1362">
        <f>IF(ISNUMBER(DB11)=FALSE,"",10^(DB11/10))</f>
        <v/>
      </c>
      <c r="DE11" s="1542">
        <f>IF(AND(ISNUMBER(DC11),ISNUMBER(DD11)),IF(DC11/DD11&gt;1,ROUND((DC11)/DD11,3),1),1)</f>
        <v/>
      </c>
      <c r="DF11" s="1541"/>
      <c r="DG11" s="1541"/>
      <c r="DH11" s="1541"/>
      <c r="DI11" s="1541"/>
      <c r="DJ11" s="1541"/>
      <c r="DK11" s="1541"/>
      <c r="DL11" s="1541"/>
      <c r="DM11" s="1541"/>
      <c r="DN11" s="1541"/>
      <c r="DO11" s="1541"/>
      <c r="DP11" s="1541"/>
      <c r="DQ11" s="1541"/>
      <c r="DR11" s="1541"/>
    </row>
    <row r="12" ht="12.75" x14ac:dyDescent="0.2">
      <c r="A12" s="1541"/>
      <c r="B12" s="1541"/>
      <c r="C12"/>
      <c r="D12" s="130">
        <f>IF(BX$11="Close to Ear","EN 62209-1","EN 62209-2")</f>
        <v/>
      </c>
      <c r="E12" s="130">
        <f>IF(CG12="Close to Ear","2016","2010/A1:2019")</f>
        <v/>
      </c>
      <c r="F12" s="1488" t="inlineStr">
        <is>
          <t>5.1</t>
        </is>
      </c>
      <c r="G12" s="1497"/>
      <c r="H12" s="120">
        <f>BV12</f>
        <v/>
      </c>
      <c r="I12" s="120">
        <f>BW12</f>
        <v/>
      </c>
      <c r="J12" s="687" t="str">
        <f>BT12</f>
        <v>GSM</v>
      </c>
      <c r="K12" s="194">
        <f>BU12</f>
        <v>900</v>
      </c>
      <c r="L12" s="115"/>
      <c r="M12" s="120">
        <f>BZ12</f>
        <v>0</v>
      </c>
      <c r="N12" s="119"/>
      <c r="O12" s="131"/>
      <c r="P12" s="6597"/>
      <c r="Q12" s="131"/>
      <c r="R12" s="131"/>
      <c r="S12" s="120">
        <f>CG12</f>
        <v>0</v>
      </c>
      <c r="T12" s="120">
        <f>CC12</f>
        <v>37</v>
      </c>
      <c r="U12" s="120">
        <f>CD12</f>
        <v>897.4</v>
      </c>
      <c r="V12" s="119"/>
      <c r="W12" s="197">
        <f>CK12*100</f>
        <v/>
      </c>
      <c r="X12" s="119"/>
      <c r="Y12" s="119"/>
      <c r="Z12" s="119"/>
      <c r="AA12" s="115"/>
      <c r="AB12" s="115"/>
      <c r="AC12" s="689">
        <f>IF(OR(BX$11="Close to Ear",BX$11="Close to Head"),"Head",IF(BX$11="Extremity","Extremity","Body"))</f>
        <v/>
      </c>
      <c r="AD12" s="690">
        <f>CA12</f>
        <v/>
      </c>
      <c r="AE12" s="688">
        <f>CB12</f>
        <v/>
      </c>
      <c r="AF12" s="115"/>
      <c r="AG12" s="808">
        <f>IF(AZ12="","N/A",IF(CQ12="Pass","P","F"))</f>
        <v/>
      </c>
      <c r="AH12" s="129"/>
      <c r="AI12" s="129"/>
      <c r="AJ12" s="129"/>
      <c r="AK12" s="119"/>
      <c r="AL12" s="115"/>
      <c r="AM12" s="119"/>
      <c r="AN12" s="119"/>
      <c r="AO12" s="692"/>
      <c r="AP12" s="692"/>
      <c r="AQ12" s="692"/>
      <c r="AR12" s="692"/>
      <c r="AS12" s="692"/>
      <c r="AT12" s="691">
        <f>CE12</f>
        <v/>
      </c>
      <c r="AU12" s="691">
        <f>CF12</f>
        <v/>
      </c>
      <c r="AV12" s="813"/>
      <c r="AW12" s="813"/>
      <c r="AX12" s="197">
        <f>CZ12</f>
        <v/>
      </c>
      <c r="AY12" s="197">
        <f>DE12</f>
        <v/>
      </c>
      <c r="AZ12" s="3379">
        <f>CO12</f>
        <v/>
      </c>
      <c r="BA12" s="3380"/>
      <c r="BB12" s="197">
        <f>CP12</f>
        <v/>
      </c>
      <c r="BC12" s="813"/>
      <c r="BD12" s="197">
        <f>CR12</f>
        <v/>
      </c>
      <c r="BE12" s="121">
        <f>CS12</f>
        <v/>
      </c>
      <c r="BF12" s="122">
        <f>CT12*60</f>
        <v/>
      </c>
      <c r="BG12" s="121">
        <f>BE12</f>
        <v/>
      </c>
      <c r="BH12" s="122">
        <f>CU12*60</f>
        <v/>
      </c>
      <c r="BI12" s="122">
        <f>CV12</f>
        <v/>
      </c>
      <c r="BJ12" s="117"/>
      <c r="BK12" s="812">
        <f>Overview!$E$7</f>
        <v/>
      </c>
      <c r="BL12" s="117"/>
      <c r="BM12" s="836">
        <f>CW12</f>
        <v/>
      </c>
      <c r="BN12" s="812">
        <f>Overview!$P$153</f>
        <v/>
      </c>
      <c r="BO12" s="117"/>
      <c r="BP12" s="117"/>
      <c r="BQ12" s="115"/>
      <c r="BR12" s="1478" t="inlineStr">
        <is>
          <t>N/A</t>
        </is>
      </c>
      <c r="BS12" s="1548"/>
      <c r="BT12" s="1783" t="inlineStr">
        <is>
          <t>GSM</t>
        </is>
      </c>
      <c r="BU12" s="1783">
        <v>900</v>
      </c>
      <c r="BV12" s="400">
        <f>Overview!$H$28</f>
        <v/>
      </c>
      <c r="BW12" s="2010"/>
      <c r="BX12" s="1783"/>
      <c r="BY12" s="2040"/>
      <c r="BZ12" s="2040"/>
      <c r="CA12" s="1997" t="inlineStr">
        <is>
          <t>Back Face</t>
        </is>
      </c>
      <c r="CB12" s="200">
        <v>5</v>
      </c>
      <c r="CC12" s="1063">
        <f>'2G-3G'!BX15</f>
        <v>37</v>
      </c>
      <c r="CD12" s="1063">
        <f>'2G-3G'!BY15</f>
        <v>897.4</v>
      </c>
      <c r="CE12" s="1523"/>
      <c r="CF12" s="1523"/>
      <c r="CG12" s="387" t="str">
        <f>IF(OR($BY$3="",$BY$3=""),"",$BY$3)</f>
        <v/>
      </c>
      <c r="CH12" s="387">
        <f>BZ12</f>
        <v/>
      </c>
      <c r="CI12" s="387">
        <f>CA12</f>
        <v/>
      </c>
      <c r="CJ12" s="1527"/>
      <c r="CK12" s="2042"/>
      <c r="CL12" s="206">
        <f>IF(CF12=""," ",IF(ABS(CE12-CF12)&lt;=0.125,"Valid","Not valid"))</f>
        <v/>
      </c>
      <c r="CM12" s="207">
        <f> IF(CE12="","",IF(AND(CE12&lt;&gt;"",CF12=""),IF(CE12&gt;=1,"Medir+Sig Max","No"),IF(CF12&lt;&gt;"",IF(CF12&gt;=1,"Medir+Sig Max","No"),"")))</f>
        <v/>
      </c>
      <c r="CN12" s="208">
        <f>IF(UPPER(CM1)="X",IF(CF12=""," ",IF((ABS(CE12)&lt;5)*AND(ABS(CF12)&lt;5)*AND(ABS(CO12)&lt;5),"Solo si es max","Medir")),IF(CF12=""," ",IF((ABS(CE12)&lt;1)*AND(ABS(CF12)&lt;1)*AND(ABS(CO12)&lt;1),"Solo si es max","Medir")))</f>
        <v/>
      </c>
      <c r="CO12" s="220">
        <f>IF(CK12="",IF(AND(CE12="",CF12=""),"",IF(CF12="",IF(DE12&gt;1,ROUND(DE12*CE12,3),CE12),IF(DE12&gt;1,ROUND(DE12*CF12,3),CF12))),IF(AND(CE12="",CF12=""),"",IF(CF12="",IF(DE12&gt;1,ROUND(DE12*CE12*(1/(CK12)),3),CE12*(1/(CK12))),IF(DE12&gt;1,ROUND(DE12*CF12*(1/(CK12)),3),CF12*(1/(CK12))))))</f>
        <v/>
      </c>
      <c r="CP12" s="2043">
        <f>$CP$3</f>
        <v/>
      </c>
      <c r="CQ12" s="1472">
        <f>IF(CO12="","",IF(CO12&gt;CP12,"Fail","Pass"))</f>
        <v/>
      </c>
      <c r="CR12" s="1481">
        <f>IF(AND(MAX(CO11:CO18)=CO12,CO12&lt;&gt;0),COUNT($CR$3:CR11)+1,"")</f>
        <v/>
      </c>
      <c r="CS12" s="1565">
        <f>MyTimestamp(CO12)</f>
        <v/>
      </c>
      <c r="CT12" s="1531">
        <f>IF(CE12="",0,15)+IF(CF12="",0,15)</f>
        <v/>
      </c>
      <c r="CU12" s="1532">
        <f>IF(CT12=0,0,2)</f>
        <v/>
      </c>
      <c r="CV12" s="859" t="inlineStr">
        <is>
          <t>S/02</t>
        </is>
      </c>
      <c r="CW12" s="859" t="inlineStr">
        <is>
          <t>Dasy6</t>
        </is>
      </c>
      <c r="CX12" s="2038"/>
      <c r="CY12" s="2044"/>
      <c r="CZ12" s="1543">
        <f>10^(CJ12/20)*100-100</f>
        <v/>
      </c>
      <c r="DA12" s="1319">
        <f>IF('Tune-Up'!$H$12="","",'Tune-Up'!$H$12)</f>
        <v/>
      </c>
      <c r="DB12" s="695">
        <f>'2G-3G'!BZ15</f>
        <v/>
      </c>
      <c r="DC12" s="797">
        <f>IF(DA12="","",10^(DA12/10))</f>
        <v/>
      </c>
      <c r="DD12" s="1363">
        <f>IF(ISNUMBER(DB12)=FALSE,"",10^(DB12/10))</f>
        <v/>
      </c>
      <c r="DE12" s="1543">
        <f>IF(AND(ISNUMBER(DC12),ISNUMBER(DD12)),IF(DC12/DD12&gt;1,ROUND((DC12)/DD12,3),1),1)</f>
        <v/>
      </c>
      <c r="DF12" s="1541"/>
      <c r="DG12" s="1541"/>
      <c r="DH12" s="1541"/>
      <c r="DI12" s="1541"/>
      <c r="DJ12" s="1541"/>
      <c r="DK12" s="1541"/>
      <c r="DL12" s="1541"/>
      <c r="DM12" s="1541"/>
      <c r="DN12" s="1541"/>
      <c r="DO12" s="1541"/>
      <c r="DP12" s="1541"/>
      <c r="DQ12" s="1541"/>
      <c r="DR12" s="1541"/>
    </row>
    <row r="13" ht="12.75" x14ac:dyDescent="0.2">
      <c r="A13" s="1541"/>
      <c r="B13" s="1541"/>
      <c r="C13"/>
      <c r="D13" s="130">
        <f>IF(BX$11="Close to Ear","EN 62209-1","EN 62209-2")</f>
        <v/>
      </c>
      <c r="E13" s="130">
        <f>IF(CG13="Close to Ear","2016","2010/A1:2019")</f>
        <v/>
      </c>
      <c r="F13" s="1488" t="inlineStr">
        <is>
          <t>5.1</t>
        </is>
      </c>
      <c r="G13" s="1497"/>
      <c r="H13" s="120">
        <f>BV13</f>
        <v/>
      </c>
      <c r="I13" s="120">
        <f>BW13</f>
        <v/>
      </c>
      <c r="J13" s="687" t="str">
        <f>BT13</f>
        <v>GSM</v>
      </c>
      <c r="K13" s="194">
        <f>BU13</f>
        <v>900</v>
      </c>
      <c r="L13" s="115"/>
      <c r="M13" s="120">
        <f>BZ13</f>
        <v>0</v>
      </c>
      <c r="N13" s="119"/>
      <c r="O13" s="131"/>
      <c r="P13" s="6597"/>
      <c r="Q13" s="131"/>
      <c r="R13" s="131"/>
      <c r="S13" s="120">
        <f>CG13</f>
        <v>0</v>
      </c>
      <c r="T13" s="120">
        <f>CC13</f>
        <v>37</v>
      </c>
      <c r="U13" s="120">
        <f>CD13</f>
        <v>897.4</v>
      </c>
      <c r="V13" s="119"/>
      <c r="W13" s="197">
        <f>CK13*100</f>
        <v/>
      </c>
      <c r="X13" s="119"/>
      <c r="Y13" s="119"/>
      <c r="Z13" s="119"/>
      <c r="AA13" s="115"/>
      <c r="AB13" s="115"/>
      <c r="AC13" s="689">
        <f>IF(OR(BX$11="Close to Ear",BX$11="Close to Head"),"Head",IF(BX$11="Extremity","Extremity","Body"))</f>
        <v/>
      </c>
      <c r="AD13" s="690">
        <f>CA13</f>
        <v/>
      </c>
      <c r="AE13" s="688">
        <f>CB13</f>
        <v/>
      </c>
      <c r="AF13" s="115"/>
      <c r="AG13" s="808">
        <f>IF(AZ13="","N/A",IF(CQ13="Pass","P","F"))</f>
        <v/>
      </c>
      <c r="AH13" s="129"/>
      <c r="AI13" s="129"/>
      <c r="AJ13" s="129"/>
      <c r="AK13" s="119"/>
      <c r="AL13" s="115"/>
      <c r="AM13" s="119"/>
      <c r="AN13" s="119"/>
      <c r="AO13" s="692"/>
      <c r="AP13" s="692"/>
      <c r="AQ13" s="692"/>
      <c r="AR13" s="692"/>
      <c r="AS13" s="692"/>
      <c r="AT13" s="691">
        <f>CE13</f>
        <v/>
      </c>
      <c r="AU13" s="691">
        <f>CF13</f>
        <v/>
      </c>
      <c r="AV13" s="813"/>
      <c r="AW13" s="813"/>
      <c r="AX13" s="197">
        <f>CZ13</f>
        <v/>
      </c>
      <c r="AY13" s="197">
        <f>DE13</f>
        <v/>
      </c>
      <c r="AZ13" s="3379">
        <f>CO13</f>
        <v/>
      </c>
      <c r="BA13" s="3380"/>
      <c r="BB13" s="197">
        <f>CP13</f>
        <v/>
      </c>
      <c r="BC13" s="813"/>
      <c r="BD13" s="197">
        <f>CR13</f>
        <v/>
      </c>
      <c r="BE13" s="121">
        <f>CS13</f>
        <v/>
      </c>
      <c r="BF13" s="122">
        <f>CT13*60</f>
        <v/>
      </c>
      <c r="BG13" s="121">
        <f>BE13</f>
        <v/>
      </c>
      <c r="BH13" s="122">
        <f>CU13*60</f>
        <v/>
      </c>
      <c r="BI13" s="122">
        <f>CV13</f>
        <v/>
      </c>
      <c r="BJ13" s="117"/>
      <c r="BK13" s="812">
        <f>Overview!$E$7</f>
        <v/>
      </c>
      <c r="BL13" s="117"/>
      <c r="BM13" s="836">
        <f>CW13</f>
        <v/>
      </c>
      <c r="BN13" s="812">
        <f>Overview!$P$153</f>
        <v/>
      </c>
      <c r="BO13" s="117"/>
      <c r="BP13" s="117"/>
      <c r="BQ13" s="115"/>
      <c r="BR13" s="1478" t="inlineStr">
        <is>
          <t>N/A</t>
        </is>
      </c>
      <c r="BS13" s="1548"/>
      <c r="BT13" s="1783" t="inlineStr">
        <is>
          <t>GSM</t>
        </is>
      </c>
      <c r="BU13" s="1783">
        <v>900</v>
      </c>
      <c r="BV13" s="400">
        <f>Overview!$H$28</f>
        <v/>
      </c>
      <c r="BW13" s="2010"/>
      <c r="BX13" s="1783"/>
      <c r="BY13" s="2040"/>
      <c r="BZ13" s="2040"/>
      <c r="CA13" s="1997" t="inlineStr">
        <is>
          <t>Left Edge</t>
        </is>
      </c>
      <c r="CB13" s="200">
        <v>5</v>
      </c>
      <c r="CC13" s="1063">
        <f>'2G-3G'!BX15</f>
        <v>37</v>
      </c>
      <c r="CD13" s="1063">
        <f>'2G-3G'!BY15</f>
        <v>897.4</v>
      </c>
      <c r="CE13" s="1523"/>
      <c r="CF13" s="1523"/>
      <c r="CG13" s="387" t="str">
        <f>IF(OR($BY$3="",$BY$3=""),"",$BY$3)</f>
        <v/>
      </c>
      <c r="CH13" s="387">
        <f>BZ13</f>
        <v/>
      </c>
      <c r="CI13" s="387">
        <f>CA13</f>
        <v/>
      </c>
      <c r="CJ13" s="1527"/>
      <c r="CK13" s="2042"/>
      <c r="CL13" s="206">
        <f>IF(CF13=""," ",IF(ABS(CE13-CF13)&lt;=0.125,"Valid","Not valid"))</f>
        <v/>
      </c>
      <c r="CM13" s="207">
        <f> IF(CE13="","",IF(AND(CE13&lt;&gt;"",CF13=""),IF(CE13&gt;=1,"Medir+Sig Max","No"),IF(CF13&lt;&gt;"",IF(CF13&gt;=1,"Medir+Sig Max","No"),"")))</f>
        <v/>
      </c>
      <c r="CN13" s="208">
        <f>IF(UPPER(CM1)="X",IF(CF13=""," ",IF((ABS(CE13)&lt;5)*AND(ABS(CF13)&lt;5)*AND(ABS(CO13)&lt;5),"Solo si es max","Medir")),IF(CF13=""," ",IF((ABS(CE13)&lt;1)*AND(ABS(CF13)&lt;1)*AND(ABS(CO13)&lt;1),"Solo si es max","Medir")))</f>
        <v/>
      </c>
      <c r="CO13" s="220">
        <f>IF(CK13="",IF(AND(CE13="",CF13=""),"",IF(CF13="",IF(DE13&gt;1,ROUND(DE13*CE13,3),CE13),IF(DE13&gt;1,ROUND(DE13*CF13,3),CF13))),IF(AND(CE13="",CF13=""),"",IF(CF13="",IF(DE13&gt;1,ROUND(DE13*CE13*(1/(CK13)),3),CE13*(1/(CK13))),IF(DE13&gt;1,ROUND(DE13*CF13*(1/(CK13)),3),CF13*(1/(CK13))))))</f>
        <v/>
      </c>
      <c r="CP13" s="2043">
        <f>$CP$3</f>
        <v/>
      </c>
      <c r="CQ13" s="1472">
        <f>IF(CO13="","",IF(CO13&gt;CP13,"Fail","Pass"))</f>
        <v/>
      </c>
      <c r="CR13" s="1481">
        <f>IF(AND(MAX(CO11:CO18)=CO13,CO13&lt;&gt;0),COUNT($CR$3:CR12)+1,"")</f>
        <v/>
      </c>
      <c r="CS13" s="1565">
        <f>MyTimestamp(CO13)</f>
        <v/>
      </c>
      <c r="CT13" s="1531">
        <f>IF(CE13="",0,15)+IF(CF13="",0,15)</f>
        <v/>
      </c>
      <c r="CU13" s="1532">
        <f>IF(CT13=0,0,2)</f>
        <v/>
      </c>
      <c r="CV13" s="859" t="inlineStr">
        <is>
          <t>S/02</t>
        </is>
      </c>
      <c r="CW13" s="859" t="inlineStr">
        <is>
          <t>Dasy6</t>
        </is>
      </c>
      <c r="CX13" s="2038"/>
      <c r="CY13" s="2044"/>
      <c r="CZ13" s="1543">
        <f>10^(CJ13/20)*100-100</f>
        <v/>
      </c>
      <c r="DA13" s="1319">
        <f>IF('Tune-Up'!$H$12="","",'Tune-Up'!$H$12)</f>
        <v/>
      </c>
      <c r="DB13" s="695">
        <f>'2G-3G'!BZ15</f>
        <v/>
      </c>
      <c r="DC13" s="797">
        <f>IF(DA13="","",10^(DA13/10))</f>
        <v/>
      </c>
      <c r="DD13" s="1363">
        <f>IF(ISNUMBER(DB13)=FALSE,"",10^(DB13/10))</f>
        <v/>
      </c>
      <c r="DE13" s="1543">
        <f>IF(AND(ISNUMBER(DC13),ISNUMBER(DD13)),IF(DC13/DD13&gt;1,ROUND((DC13)/DD13,3),1),1)</f>
        <v/>
      </c>
      <c r="DF13" s="1541"/>
      <c r="DG13" s="1541"/>
      <c r="DH13" s="1541"/>
      <c r="DI13" s="1541"/>
      <c r="DJ13" s="1541"/>
      <c r="DK13" s="1541"/>
      <c r="DL13" s="1541"/>
      <c r="DM13" s="1541"/>
      <c r="DN13" s="1541"/>
      <c r="DO13" s="1541"/>
      <c r="DP13" s="1541"/>
      <c r="DQ13" s="1541"/>
      <c r="DR13" s="1541"/>
    </row>
    <row r="14" ht="12.75" x14ac:dyDescent="0.2">
      <c r="A14" s="1541"/>
      <c r="B14" s="1541"/>
      <c r="C14"/>
      <c r="D14" s="130">
        <f>IF(BX$11="Close to Ear","EN 62209-1","EN 62209-2")</f>
        <v/>
      </c>
      <c r="E14" s="130">
        <f>IF(CG14="Close to Ear","2016","2010/A1:2019")</f>
        <v/>
      </c>
      <c r="F14" s="1488" t="inlineStr">
        <is>
          <t>5.1</t>
        </is>
      </c>
      <c r="G14" s="1497"/>
      <c r="H14" s="120">
        <f>BV14</f>
        <v/>
      </c>
      <c r="I14" s="120">
        <f>BW14</f>
        <v/>
      </c>
      <c r="J14" s="687" t="str">
        <f>BT14</f>
        <v>GSM</v>
      </c>
      <c r="K14" s="194">
        <f>BU14</f>
        <v>900</v>
      </c>
      <c r="L14" s="115"/>
      <c r="M14" s="120">
        <f>BZ14</f>
        <v>0</v>
      </c>
      <c r="N14" s="119"/>
      <c r="O14" s="131"/>
      <c r="P14" s="6597"/>
      <c r="Q14" s="131"/>
      <c r="R14" s="131"/>
      <c r="S14" s="120">
        <f>CG14</f>
        <v>0</v>
      </c>
      <c r="T14" s="120">
        <f>CC14</f>
        <v>37</v>
      </c>
      <c r="U14" s="120">
        <f>CD14</f>
        <v>897.4</v>
      </c>
      <c r="V14" s="119"/>
      <c r="W14" s="197">
        <f>CK14*100</f>
        <v/>
      </c>
      <c r="X14" s="119"/>
      <c r="Y14" s="119"/>
      <c r="Z14" s="119"/>
      <c r="AA14" s="115"/>
      <c r="AB14" s="115"/>
      <c r="AC14" s="689">
        <f>IF(OR(BX$11="Close to Ear",BX$11="Close to Head"),"Head",IF(BX$11="Extremity","Extremity","Body"))</f>
        <v/>
      </c>
      <c r="AD14" s="690">
        <f>CA14</f>
        <v/>
      </c>
      <c r="AE14" s="688">
        <f>CB14</f>
        <v/>
      </c>
      <c r="AF14" s="115"/>
      <c r="AG14" s="808">
        <f>IF(AZ14="","N/A",IF(CQ14="Pass","P","F"))</f>
        <v/>
      </c>
      <c r="AH14" s="129"/>
      <c r="AI14" s="129"/>
      <c r="AJ14" s="129"/>
      <c r="AK14" s="119"/>
      <c r="AL14" s="115"/>
      <c r="AM14" s="119"/>
      <c r="AN14" s="119"/>
      <c r="AO14" s="692"/>
      <c r="AP14" s="692"/>
      <c r="AQ14" s="692"/>
      <c r="AR14" s="692"/>
      <c r="AS14" s="692"/>
      <c r="AT14" s="691">
        <f>CE14</f>
        <v/>
      </c>
      <c r="AU14" s="691">
        <f>CF14</f>
        <v/>
      </c>
      <c r="AV14" s="813"/>
      <c r="AW14" s="813"/>
      <c r="AX14" s="197">
        <f>CZ14</f>
        <v/>
      </c>
      <c r="AY14" s="197">
        <f>DE14</f>
        <v/>
      </c>
      <c r="AZ14" s="3379">
        <f>CO14</f>
        <v/>
      </c>
      <c r="BA14" s="3380"/>
      <c r="BB14" s="197">
        <f>CP14</f>
        <v/>
      </c>
      <c r="BC14" s="813"/>
      <c r="BD14" s="197">
        <f>CR14</f>
        <v/>
      </c>
      <c r="BE14" s="121">
        <f>CS14</f>
        <v/>
      </c>
      <c r="BF14" s="122">
        <f>CT14*60</f>
        <v/>
      </c>
      <c r="BG14" s="121">
        <f>BE14</f>
        <v/>
      </c>
      <c r="BH14" s="122">
        <f>CU14*60</f>
        <v/>
      </c>
      <c r="BI14" s="122">
        <f>CV14</f>
        <v/>
      </c>
      <c r="BJ14" s="117"/>
      <c r="BK14" s="812">
        <f>Overview!$E$7</f>
        <v/>
      </c>
      <c r="BL14" s="117"/>
      <c r="BM14" s="836">
        <f>CW14</f>
        <v/>
      </c>
      <c r="BN14" s="812">
        <f>Overview!$P$153</f>
        <v/>
      </c>
      <c r="BO14" s="117"/>
      <c r="BP14" s="117"/>
      <c r="BQ14" s="115"/>
      <c r="BR14" s="1478" t="inlineStr">
        <is>
          <t>N/A</t>
        </is>
      </c>
      <c r="BS14" s="1548"/>
      <c r="BT14" s="1791" t="inlineStr">
        <is>
          <t>GSM</t>
        </is>
      </c>
      <c r="BU14" s="1791">
        <v>900</v>
      </c>
      <c r="BV14" s="403">
        <f>Overview!$H$28</f>
        <v/>
      </c>
      <c r="BW14" s="2010"/>
      <c r="BX14" s="1791"/>
      <c r="BY14" s="2040"/>
      <c r="BZ14" s="2040"/>
      <c r="CA14" s="1997" t="inlineStr">
        <is>
          <t>Right Edge</t>
        </is>
      </c>
      <c r="CB14" s="200">
        <v>5</v>
      </c>
      <c r="CC14" s="1063">
        <f>'2G-3G'!BX15</f>
        <v>37</v>
      </c>
      <c r="CD14" s="1063">
        <f>'2G-3G'!BY15</f>
        <v>897.4</v>
      </c>
      <c r="CE14" s="1523"/>
      <c r="CF14" s="1523"/>
      <c r="CG14" s="387" t="str">
        <f>IF(OR($BY$3="",$BY$3=""),"",$BY$3)</f>
        <v/>
      </c>
      <c r="CH14" s="387">
        <f>BZ14</f>
        <v/>
      </c>
      <c r="CI14" s="387">
        <f>CA14</f>
        <v/>
      </c>
      <c r="CJ14" s="1527"/>
      <c r="CK14" s="2042"/>
      <c r="CL14" s="206">
        <f>IF(CF14=""," ",IF(ABS(CE14-CF14)&lt;=0.125,"Valid","Not valid"))</f>
        <v/>
      </c>
      <c r="CM14" s="207">
        <f> IF(CE14="","",IF(AND(CE14&lt;&gt;"",CF14=""),IF(CE14&gt;=1,"Medir+Sig Max","No"),IF(CF14&lt;&gt;"",IF(CF14&gt;=1,"Medir+Sig Max","No"),"")))</f>
        <v/>
      </c>
      <c r="CN14" s="208">
        <f>IF(UPPER(CM1)="X",IF(CF14=""," ",IF((ABS(CE14)&lt;5)*AND(ABS(CF14)&lt;5)*AND(ABS(CO14)&lt;5),"Solo si es max","Medir")),IF(CF14=""," ",IF((ABS(CE14)&lt;1)*AND(ABS(CF14)&lt;1)*AND(ABS(CO14)&lt;1),"Solo si es max","Medir")))</f>
        <v/>
      </c>
      <c r="CO14" s="220">
        <f>IF(CK14="",IF(AND(CE14="",CF14=""),"",IF(CF14="",IF(DE14&gt;1,ROUND(DE14*CE14,3),CE14),IF(DE14&gt;1,ROUND(DE14*CF14,3),CF14))),IF(AND(CE14="",CF14=""),"",IF(CF14="",IF(DE14&gt;1,ROUND(DE14*CE14*(1/(CK14)),3),CE14*(1/(CK14))),IF(DE14&gt;1,ROUND(DE14*CF14*(1/(CK14)),3),CF14*(1/(CK14))))))</f>
        <v/>
      </c>
      <c r="CP14" s="2043">
        <f>$CP$3</f>
        <v/>
      </c>
      <c r="CQ14" s="1472">
        <f>IF(CO14="","",IF(CO14&gt;CP14,"Fail","Pass"))</f>
        <v/>
      </c>
      <c r="CR14" s="1481">
        <f>IF(AND(MAX(CO11:CO18)=CO14,CO14&lt;&gt;0),COUNT($CR$3:CR13)+1,"")</f>
        <v/>
      </c>
      <c r="CS14" s="1565">
        <f>MyTimestamp(CO14)</f>
        <v/>
      </c>
      <c r="CT14" s="1531">
        <f>IF(CE14="",0,15)+IF(CF14="",0,15)</f>
        <v/>
      </c>
      <c r="CU14" s="1532">
        <f>IF(CT14=0,0,2)</f>
        <v/>
      </c>
      <c r="CV14" s="859" t="inlineStr">
        <is>
          <t>S/02</t>
        </is>
      </c>
      <c r="CW14" s="859" t="inlineStr">
        <is>
          <t>Dasy6</t>
        </is>
      </c>
      <c r="CX14" s="2038"/>
      <c r="CY14" s="2044"/>
      <c r="CZ14" s="1543">
        <f>10^(CJ14/20)*100-100</f>
        <v/>
      </c>
      <c r="DA14" s="1319">
        <f>IF('Tune-Up'!$H$12="","",'Tune-Up'!$H$12)</f>
        <v/>
      </c>
      <c r="DB14" s="695">
        <f>'2G-3G'!BZ15</f>
        <v/>
      </c>
      <c r="DC14" s="797">
        <f>IF(DA14="","",10^(DA14/10))</f>
        <v/>
      </c>
      <c r="DD14" s="1363">
        <f>IF(ISNUMBER(DB14)=FALSE,"",10^(DB14/10))</f>
        <v/>
      </c>
      <c r="DE14" s="1543">
        <f>IF(AND(ISNUMBER(DC14),ISNUMBER(DD14)),IF(DC14/DD14&gt;1,ROUND((DC14)/DD14,3),1),1)</f>
        <v/>
      </c>
      <c r="DF14" s="1541"/>
      <c r="DG14" s="1541"/>
      <c r="DH14" s="1541"/>
      <c r="DI14" s="1541"/>
      <c r="DJ14" s="1541"/>
      <c r="DK14" s="1541"/>
      <c r="DL14" s="1541"/>
      <c r="DM14" s="1541"/>
      <c r="DN14" s="1541"/>
      <c r="DO14" s="1541"/>
      <c r="DP14" s="1541"/>
      <c r="DQ14" s="1541"/>
      <c r="DR14" s="1541"/>
    </row>
    <row r="15" ht="12.75" x14ac:dyDescent="0.2">
      <c r="A15" s="1541"/>
      <c r="B15" s="1541"/>
      <c r="C15"/>
      <c r="D15" s="130">
        <f>IF(BX$11="Close to Ear","EN 62209-1","EN 62209-2")</f>
        <v/>
      </c>
      <c r="E15" s="130">
        <f>IF(CG15="Close to Ear","2016","2010/A1:2019")</f>
        <v/>
      </c>
      <c r="F15" s="1488" t="inlineStr">
        <is>
          <t>5.1</t>
        </is>
      </c>
      <c r="G15" s="1497"/>
      <c r="H15" s="120">
        <f>BV15</f>
        <v/>
      </c>
      <c r="I15" s="120">
        <f>BW15</f>
        <v/>
      </c>
      <c r="J15" s="687" t="str">
        <f>BT15</f>
        <v>GSM</v>
      </c>
      <c r="K15" s="194">
        <f>BU15</f>
        <v>900</v>
      </c>
      <c r="L15" s="115"/>
      <c r="M15" s="120">
        <f>BZ15</f>
        <v>0</v>
      </c>
      <c r="N15" s="119"/>
      <c r="O15" s="131"/>
      <c r="P15" s="6597"/>
      <c r="Q15" s="131"/>
      <c r="R15" s="131"/>
      <c r="S15" s="120">
        <f>CG15</f>
        <v>0</v>
      </c>
      <c r="T15" s="120">
        <f>CC15</f>
        <v>37</v>
      </c>
      <c r="U15" s="120">
        <f>CD15</f>
        <v>897.4</v>
      </c>
      <c r="V15" s="119"/>
      <c r="W15" s="197">
        <f>CK15*100</f>
        <v/>
      </c>
      <c r="X15" s="119"/>
      <c r="Y15" s="119"/>
      <c r="Z15" s="119"/>
      <c r="AA15" s="115"/>
      <c r="AB15" s="115"/>
      <c r="AC15" s="689">
        <f>IF(OR(BX$11="Close to Ear",BX$11="Close to Head"),"Head",IF(BX$11="Extremity","Extremity","Body"))</f>
        <v/>
      </c>
      <c r="AD15" s="690">
        <f>CA15</f>
        <v/>
      </c>
      <c r="AE15" s="688">
        <f>CB15</f>
        <v/>
      </c>
      <c r="AF15" s="115"/>
      <c r="AG15" s="808">
        <f>IF(AZ15="","N/A",IF(CQ15="Pass","P","F"))</f>
        <v/>
      </c>
      <c r="AH15" s="129"/>
      <c r="AI15" s="129"/>
      <c r="AJ15" s="129"/>
      <c r="AK15" s="119"/>
      <c r="AL15" s="115"/>
      <c r="AM15" s="119"/>
      <c r="AN15" s="119"/>
      <c r="AO15" s="692"/>
      <c r="AP15" s="692"/>
      <c r="AQ15" s="692"/>
      <c r="AR15" s="692"/>
      <c r="AS15" s="692"/>
      <c r="AT15" s="691">
        <f>CE15</f>
        <v/>
      </c>
      <c r="AU15" s="691">
        <f>CF15</f>
        <v/>
      </c>
      <c r="AV15" s="813"/>
      <c r="AW15" s="813"/>
      <c r="AX15" s="197">
        <f>CZ15</f>
        <v/>
      </c>
      <c r="AY15" s="197">
        <f>DE15</f>
        <v/>
      </c>
      <c r="AZ15" s="3379">
        <f>CO15</f>
        <v/>
      </c>
      <c r="BA15" s="3380"/>
      <c r="BB15" s="197">
        <f>CP15</f>
        <v/>
      </c>
      <c r="BC15" s="813"/>
      <c r="BD15" s="197">
        <f>CR15</f>
        <v/>
      </c>
      <c r="BE15" s="121">
        <f>CS15</f>
        <v/>
      </c>
      <c r="BF15" s="122">
        <f>CT15*60</f>
        <v/>
      </c>
      <c r="BG15" s="121">
        <f>BE15</f>
        <v/>
      </c>
      <c r="BH15" s="122">
        <f>CU15*60</f>
        <v/>
      </c>
      <c r="BI15" s="122">
        <f>CV15</f>
        <v/>
      </c>
      <c r="BJ15" s="117"/>
      <c r="BK15" s="812">
        <f>Overview!$E$7</f>
        <v/>
      </c>
      <c r="BL15" s="117"/>
      <c r="BM15" s="836">
        <f>CW15</f>
        <v/>
      </c>
      <c r="BN15" s="812">
        <f>Overview!$P$153</f>
        <v/>
      </c>
      <c r="BO15" s="117"/>
      <c r="BP15" s="117"/>
      <c r="BQ15" s="115"/>
      <c r="BR15" s="1478" t="inlineStr">
        <is>
          <t>N/A</t>
        </is>
      </c>
      <c r="BS15" s="1548"/>
      <c r="BT15" s="1783" t="inlineStr">
        <is>
          <t>GSM</t>
        </is>
      </c>
      <c r="BU15" s="1783">
        <v>900</v>
      </c>
      <c r="BV15" s="400">
        <f>Overview!$H$28</f>
        <v/>
      </c>
      <c r="BW15" s="2010"/>
      <c r="BX15" s="1783"/>
      <c r="BY15" s="2040"/>
      <c r="BZ15" s="2040"/>
      <c r="CA15" s="1997" t="inlineStr">
        <is>
          <t>Top Edge</t>
        </is>
      </c>
      <c r="CB15" s="200">
        <v>5</v>
      </c>
      <c r="CC15" s="1063">
        <f>'2G-3G'!BX15</f>
        <v>37</v>
      </c>
      <c r="CD15" s="1063">
        <f>'2G-3G'!BY15</f>
        <v>897.4</v>
      </c>
      <c r="CE15" s="1523"/>
      <c r="CF15" s="1523"/>
      <c r="CG15" s="387" t="str">
        <f>IF(OR($BY$3="",$BY$3=""),"",$BY$3)</f>
        <v/>
      </c>
      <c r="CH15" s="387">
        <f>BZ15</f>
        <v/>
      </c>
      <c r="CI15" s="387">
        <f>CA15</f>
        <v/>
      </c>
      <c r="CJ15" s="1527"/>
      <c r="CK15" s="2042"/>
      <c r="CL15" s="206">
        <f>IF(CF15=""," ",IF(ABS(CE15-CF15)&lt;=0.125,"Valid","Not valid"))</f>
        <v/>
      </c>
      <c r="CM15" s="207">
        <f> IF(CE15="","",IF(AND(CE15&lt;&gt;"",CF15=""),IF(CE15&gt;=1,"Medir+Sig Max","No"),IF(CF15&lt;&gt;"",IF(CF15&gt;=1,"Medir+Sig Max","No"),"")))</f>
        <v/>
      </c>
      <c r="CN15" s="208">
        <f>IF(UPPER(CM1)="X",IF(CF15=""," ",IF((ABS(CE15)&lt;5)*AND(ABS(CF15)&lt;5)*AND(ABS(CO15)&lt;5),"Solo si es max","Medir")),IF(CF15=""," ",IF((ABS(CE15)&lt;1)*AND(ABS(CF15)&lt;1)*AND(ABS(CO15)&lt;1),"Solo si es max","Medir")))</f>
        <v/>
      </c>
      <c r="CO15" s="220">
        <f>IF(CK15="",IF(AND(CE15="",CF15=""),"",IF(CF15="",IF(DE15&gt;1,ROUND(DE15*CE15,3),CE15),IF(DE15&gt;1,ROUND(DE15*CF15,3),CF15))),IF(AND(CE15="",CF15=""),"",IF(CF15="",IF(DE15&gt;1,ROUND(DE15*CE15*(1/(CK15)),3),CE15*(1/(CK15))),IF(DE15&gt;1,ROUND(DE15*CF15*(1/(CK15)),3),CF15*(1/(CK15))))))</f>
        <v/>
      </c>
      <c r="CP15" s="2043">
        <f>$CP$3</f>
        <v/>
      </c>
      <c r="CQ15" s="1472">
        <f>IF(CO15="","",IF(CO15&gt;CP15,"Fail","Pass"))</f>
        <v/>
      </c>
      <c r="CR15" s="1481">
        <f>IF(AND(MAX(CO11:CO18)=CO15,CO15&lt;&gt;0),COUNT($CR$3:CR14)+1,"")</f>
        <v/>
      </c>
      <c r="CS15" s="1565">
        <f>MyTimestamp(CO15)</f>
        <v/>
      </c>
      <c r="CT15" s="1531">
        <f>IF(CE15="",0,15)+IF(CF15="",0,15)</f>
        <v/>
      </c>
      <c r="CU15" s="1532">
        <f>IF(CT15=0,0,2)</f>
        <v/>
      </c>
      <c r="CV15" s="859" t="inlineStr">
        <is>
          <t>S/02</t>
        </is>
      </c>
      <c r="CW15" s="859" t="inlineStr">
        <is>
          <t>Dasy6</t>
        </is>
      </c>
      <c r="CX15" s="2038"/>
      <c r="CY15" s="2044"/>
      <c r="CZ15" s="1543">
        <f>10^(CJ15/20)*100-100</f>
        <v/>
      </c>
      <c r="DA15" s="1319">
        <f>IF('Tune-Up'!$H$12="","",'Tune-Up'!$H$12)</f>
        <v/>
      </c>
      <c r="DB15" s="695">
        <f>'2G-3G'!BZ15</f>
        <v/>
      </c>
      <c r="DC15" s="797">
        <f>IF(DA15="","",10^(DA15/10))</f>
        <v/>
      </c>
      <c r="DD15" s="1363">
        <f>IF(ISNUMBER(DB15)=FALSE,"",10^(DB15/10))</f>
        <v/>
      </c>
      <c r="DE15" s="1543">
        <f>IF(AND(ISNUMBER(DC15),ISNUMBER(DD15)),IF(DC15/DD15&gt;1,ROUND((DC15)/DD15,3),1),1)</f>
        <v/>
      </c>
      <c r="DF15" s="1541"/>
      <c r="DG15" s="1541"/>
      <c r="DH15" s="1541"/>
      <c r="DI15" s="1541"/>
      <c r="DJ15" s="1541"/>
      <c r="DK15" s="1541"/>
      <c r="DL15" s="1541"/>
      <c r="DM15" s="1541"/>
      <c r="DN15" s="1541"/>
      <c r="DO15" s="1541"/>
      <c r="DP15" s="1541"/>
      <c r="DQ15" s="1541"/>
      <c r="DR15" s="1541"/>
    </row>
    <row r="16" ht="12.75" x14ac:dyDescent="0.2">
      <c r="A16" s="1541"/>
      <c r="B16" s="1541"/>
      <c r="C16"/>
      <c r="D16" s="130">
        <f>IF(BX$11="Close to Ear","EN 62209-1","EN 62209-2")</f>
        <v/>
      </c>
      <c r="E16" s="130">
        <f>IF(CG16="Close to Ear","2016","2010/A1:2019")</f>
        <v/>
      </c>
      <c r="F16" s="1488" t="inlineStr">
        <is>
          <t>5.1</t>
        </is>
      </c>
      <c r="G16" s="1497"/>
      <c r="H16" s="120">
        <f>BV16</f>
        <v/>
      </c>
      <c r="I16" s="120">
        <f>BW16</f>
        <v/>
      </c>
      <c r="J16" s="687" t="str">
        <f>BT16</f>
        <v>GSM</v>
      </c>
      <c r="K16" s="194">
        <f>BU16</f>
        <v>900</v>
      </c>
      <c r="L16" s="115"/>
      <c r="M16" s="120">
        <f>BZ16</f>
        <v>0</v>
      </c>
      <c r="N16" s="119"/>
      <c r="O16" s="131"/>
      <c r="P16" s="6597"/>
      <c r="Q16" s="131"/>
      <c r="R16" s="131"/>
      <c r="S16" s="120">
        <f>CG16</f>
        <v>0</v>
      </c>
      <c r="T16" s="120">
        <f>CC16</f>
        <v>37</v>
      </c>
      <c r="U16" s="120">
        <f>CD16</f>
        <v>897.4</v>
      </c>
      <c r="V16" s="119"/>
      <c r="W16" s="197">
        <f>CK16*100</f>
        <v/>
      </c>
      <c r="X16" s="119"/>
      <c r="Y16" s="119"/>
      <c r="Z16" s="119"/>
      <c r="AA16" s="115"/>
      <c r="AB16" s="115"/>
      <c r="AC16" s="689">
        <f>IF(OR(BX$11="Close to Ear",BX$11="Close to Head"),"Head",IF(BX$11="Extremity","Extremity","Body"))</f>
        <v/>
      </c>
      <c r="AD16" s="690">
        <f>CA16</f>
        <v/>
      </c>
      <c r="AE16" s="688">
        <f>CB16</f>
        <v/>
      </c>
      <c r="AF16" s="115"/>
      <c r="AG16" s="808">
        <f>IF(AZ16="","N/A",IF(CQ16="Pass","P","F"))</f>
        <v/>
      </c>
      <c r="AH16" s="129"/>
      <c r="AI16" s="129"/>
      <c r="AJ16" s="129"/>
      <c r="AK16" s="119"/>
      <c r="AL16" s="115"/>
      <c r="AM16" s="119"/>
      <c r="AN16" s="119"/>
      <c r="AO16" s="692"/>
      <c r="AP16" s="692"/>
      <c r="AQ16" s="692"/>
      <c r="AR16" s="692"/>
      <c r="AS16" s="692"/>
      <c r="AT16" s="691">
        <f>CE16</f>
        <v/>
      </c>
      <c r="AU16" s="691">
        <f>CF16</f>
        <v/>
      </c>
      <c r="AV16" s="813"/>
      <c r="AW16" s="813"/>
      <c r="AX16" s="197">
        <f>CZ16</f>
        <v/>
      </c>
      <c r="AY16" s="197">
        <f>DE16</f>
        <v/>
      </c>
      <c r="AZ16" s="3379">
        <f>CO16</f>
        <v/>
      </c>
      <c r="BA16" s="3380"/>
      <c r="BB16" s="197">
        <f>CP16</f>
        <v/>
      </c>
      <c r="BC16" s="813"/>
      <c r="BD16" s="197">
        <f>CR16</f>
        <v/>
      </c>
      <c r="BE16" s="121">
        <f>CS16</f>
        <v/>
      </c>
      <c r="BF16" s="122">
        <f>CT16*60</f>
        <v/>
      </c>
      <c r="BG16" s="121">
        <f>BE16</f>
        <v/>
      </c>
      <c r="BH16" s="122">
        <f>CU16*60</f>
        <v/>
      </c>
      <c r="BI16" s="122">
        <f>CV16</f>
        <v/>
      </c>
      <c r="BJ16" s="117"/>
      <c r="BK16" s="812">
        <f>Overview!$E$7</f>
        <v/>
      </c>
      <c r="BL16" s="117"/>
      <c r="BM16" s="836">
        <f>CW16</f>
        <v/>
      </c>
      <c r="BN16" s="812">
        <f>Overview!$P$153</f>
        <v/>
      </c>
      <c r="BO16" s="117"/>
      <c r="BP16" s="117"/>
      <c r="BQ16" s="115"/>
      <c r="BR16" s="1478" t="inlineStr">
        <is>
          <t>N/A</t>
        </is>
      </c>
      <c r="BS16" s="1548"/>
      <c r="BT16" s="1783" t="inlineStr">
        <is>
          <t>GSM</t>
        </is>
      </c>
      <c r="BU16" s="1783">
        <v>900</v>
      </c>
      <c r="BV16" s="400">
        <f>Overview!$H$28</f>
        <v/>
      </c>
      <c r="BW16" s="2010"/>
      <c r="BX16" s="1783"/>
      <c r="BY16" s="2040"/>
      <c r="BZ16" s="2040"/>
      <c r="CA16" s="1997" t="inlineStr">
        <is>
          <t>Bottom Edge</t>
        </is>
      </c>
      <c r="CB16" s="200">
        <v>5</v>
      </c>
      <c r="CC16" s="1063">
        <f>'2G-3G'!BX15</f>
        <v>37</v>
      </c>
      <c r="CD16" s="1063">
        <f>'2G-3G'!BY15</f>
        <v>897.4</v>
      </c>
      <c r="CE16" s="1523"/>
      <c r="CF16" s="1523"/>
      <c r="CG16" s="387" t="str">
        <f>IF(OR($BY$3="",$BY$3=""),"",$BY$3)</f>
        <v/>
      </c>
      <c r="CH16" s="387">
        <f>BZ16</f>
        <v/>
      </c>
      <c r="CI16" s="387">
        <f>CA16</f>
        <v/>
      </c>
      <c r="CJ16" s="1527"/>
      <c r="CK16" s="2042"/>
      <c r="CL16" s="206">
        <f>IF(CF16=""," ",IF(ABS(CE16-CF16)&lt;=0.125,"Valid","Not valid"))</f>
        <v/>
      </c>
      <c r="CM16" s="207">
        <f> IF(CE16="","",IF(AND(CE16&lt;&gt;"",CF16=""),IF(CE16&gt;=1,"Medir+Sig Max","No"),IF(CF16&lt;&gt;"",IF(CF16&gt;=1,"Medir+Sig Max","No"),"")))</f>
        <v/>
      </c>
      <c r="CN16" s="208">
        <f>IF(UPPER(CM1)="X",IF(CF16=""," ",IF((ABS(CE16)&lt;5)*AND(ABS(CF16)&lt;5)*AND(ABS(CO16)&lt;5),"Solo si es max","Medir")),IF(CF16=""," ",IF((ABS(CE16)&lt;1)*AND(ABS(CF16)&lt;1)*AND(ABS(CO16)&lt;1),"Solo si es max","Medir")))</f>
        <v/>
      </c>
      <c r="CO16" s="220">
        <f>IF(CK16="",IF(AND(CE16="",CF16=""),"",IF(CF16="",IF(DE16&gt;1,ROUND(DE16*CE16,3),CE16),IF(DE16&gt;1,ROUND(DE16*CF16,3),CF16))),IF(AND(CE16="",CF16=""),"",IF(CF16="",IF(DE16&gt;1,ROUND(DE16*CE16*(1/(CK16)),3),CE16*(1/(CK16))),IF(DE16&gt;1,ROUND(DE16*CF16*(1/(CK16)),3),CF16*(1/(CK16))))))</f>
        <v/>
      </c>
      <c r="CP16" s="2043">
        <f>$CP$3</f>
        <v/>
      </c>
      <c r="CQ16" s="1472">
        <f>IF(CO16="","",IF(CO16&gt;CP16,"Fail","Pass"))</f>
        <v/>
      </c>
      <c r="CR16" s="1481">
        <f>IF(AND(MAX(CO11:CO18)=CO16,CO16&lt;&gt;0),COUNT($CR$3:CR15)+1,"")</f>
        <v/>
      </c>
      <c r="CS16" s="1565">
        <f>MyTimestamp(CO16)</f>
        <v/>
      </c>
      <c r="CT16" s="1531">
        <f>IF(CE16="",0,15)+IF(CF16="",0,15)</f>
        <v/>
      </c>
      <c r="CU16" s="1532">
        <f>IF(CT16=0,0,2)</f>
        <v/>
      </c>
      <c r="CV16" s="859" t="inlineStr">
        <is>
          <t>S/02</t>
        </is>
      </c>
      <c r="CW16" s="859" t="inlineStr">
        <is>
          <t>Dasy6</t>
        </is>
      </c>
      <c r="CX16" s="2038"/>
      <c r="CY16" s="2044"/>
      <c r="CZ16" s="1543">
        <f>10^(CJ16/20)*100-100</f>
        <v/>
      </c>
      <c r="DA16" s="1319">
        <f>IF('Tune-Up'!$H$12="","",'Tune-Up'!$H$12)</f>
        <v/>
      </c>
      <c r="DB16" s="695">
        <f>'2G-3G'!BZ15</f>
        <v/>
      </c>
      <c r="DC16" s="797">
        <f>IF(DA16="","",10^(DA16/10))</f>
        <v/>
      </c>
      <c r="DD16" s="1363">
        <f>IF(ISNUMBER(DB16)=FALSE,"",10^(DB16/10))</f>
        <v/>
      </c>
      <c r="DE16" s="1543">
        <f>IF(AND(ISNUMBER(DC16),ISNUMBER(DD16)),IF(DC16/DD16&gt;1,ROUND((DC16)/DD16,3),1),1)</f>
        <v/>
      </c>
      <c r="DF16" s="1541"/>
      <c r="DG16" s="1541"/>
      <c r="DH16" s="1541"/>
      <c r="DI16" s="1541"/>
      <c r="DJ16" s="1541"/>
      <c r="DK16" s="1541"/>
      <c r="DL16" s="1541"/>
      <c r="DM16" s="1541"/>
      <c r="DN16" s="1541"/>
      <c r="DO16" s="1541"/>
      <c r="DP16" s="1541"/>
      <c r="DQ16" s="1541"/>
      <c r="DR16" s="1541"/>
    </row>
    <row r="17" ht="12.75" x14ac:dyDescent="0.2">
      <c r="A17" s="1541"/>
      <c r="B17" s="1541"/>
      <c r="C17"/>
      <c r="D17" s="130">
        <f>IF(BX$11="Close to Ear","EN 62209-1","EN 62209-2")</f>
        <v/>
      </c>
      <c r="E17" s="130">
        <f>IF(CG17="Close to Ear","2016","2010/A1:2019")</f>
        <v/>
      </c>
      <c r="F17" s="1488" t="inlineStr">
        <is>
          <t>5.1</t>
        </is>
      </c>
      <c r="G17" s="1497"/>
      <c r="H17" s="120">
        <f>BV17</f>
        <v/>
      </c>
      <c r="I17" s="120">
        <f>BW17</f>
        <v/>
      </c>
      <c r="J17" s="687" t="str">
        <f>BT17</f>
        <v>GSM</v>
      </c>
      <c r="K17" s="194">
        <f>BU17</f>
        <v>900</v>
      </c>
      <c r="L17" s="115"/>
      <c r="M17" s="120">
        <f>BZ17</f>
        <v>0</v>
      </c>
      <c r="N17" s="119"/>
      <c r="O17" s="131"/>
      <c r="P17" s="6597"/>
      <c r="Q17" s="131"/>
      <c r="R17" s="131"/>
      <c r="S17" s="120">
        <f>CG17</f>
        <v>0</v>
      </c>
      <c r="T17" s="120">
        <f>CC17</f>
        <v>975</v>
      </c>
      <c r="U17" s="120">
        <f>CD17</f>
        <v>880.2</v>
      </c>
      <c r="V17" s="119"/>
      <c r="W17" s="197">
        <f>CK17*100</f>
        <v/>
      </c>
      <c r="X17" s="119"/>
      <c r="Y17" s="119"/>
      <c r="Z17" s="119"/>
      <c r="AA17" s="115"/>
      <c r="AB17" s="115"/>
      <c r="AC17" s="689">
        <f>IF(OR(BX$11="Close to Ear",BX$11="Close to Head"),"Head",IF(BX$11="Extremity","Extremity","Body"))</f>
        <v/>
      </c>
      <c r="AD17" s="690">
        <f>CA17</f>
        <v/>
      </c>
      <c r="AE17" s="688">
        <f>CB17</f>
        <v/>
      </c>
      <c r="AF17" s="115"/>
      <c r="AG17" s="808">
        <f>IF(AZ17="","N/A",IF(CQ17="Pass","P","F"))</f>
        <v/>
      </c>
      <c r="AH17" s="129"/>
      <c r="AI17" s="129"/>
      <c r="AJ17" s="129"/>
      <c r="AK17" s="119"/>
      <c r="AL17" s="115"/>
      <c r="AM17" s="119"/>
      <c r="AN17" s="119"/>
      <c r="AO17" s="692"/>
      <c r="AP17" s="692"/>
      <c r="AQ17" s="692"/>
      <c r="AR17" s="692"/>
      <c r="AS17" s="692"/>
      <c r="AT17" s="691">
        <f>CE17</f>
        <v/>
      </c>
      <c r="AU17" s="691">
        <f>CF17</f>
        <v/>
      </c>
      <c r="AV17" s="813"/>
      <c r="AW17" s="813"/>
      <c r="AX17" s="197">
        <f>CZ17</f>
        <v/>
      </c>
      <c r="AY17" s="197">
        <f>DE17</f>
        <v/>
      </c>
      <c r="AZ17" s="3379">
        <f>CO17</f>
        <v/>
      </c>
      <c r="BA17" s="3380"/>
      <c r="BB17" s="197">
        <f>CP17</f>
        <v/>
      </c>
      <c r="BC17" s="813"/>
      <c r="BD17" s="197">
        <f>CR17</f>
        <v/>
      </c>
      <c r="BE17" s="121">
        <f>CS17</f>
        <v/>
      </c>
      <c r="BF17" s="122">
        <f>CT17*60</f>
        <v/>
      </c>
      <c r="BG17" s="121">
        <f>BE17</f>
        <v/>
      </c>
      <c r="BH17" s="122">
        <f>CU17*60</f>
        <v/>
      </c>
      <c r="BI17" s="122">
        <f>CV17</f>
        <v/>
      </c>
      <c r="BJ17" s="117"/>
      <c r="BK17" s="812">
        <f>Overview!$E$7</f>
        <v/>
      </c>
      <c r="BL17" s="117"/>
      <c r="BM17" s="836">
        <f>CW17</f>
        <v/>
      </c>
      <c r="BN17" s="812">
        <f>Overview!$P$153</f>
        <v/>
      </c>
      <c r="BO17" s="117"/>
      <c r="BP17" s="117"/>
      <c r="BQ17" s="115"/>
      <c r="BR17" s="1478" t="inlineStr">
        <is>
          <t>N/A</t>
        </is>
      </c>
      <c r="BS17" s="1548"/>
      <c r="BT17" s="1783" t="inlineStr">
        <is>
          <t>GSM</t>
        </is>
      </c>
      <c r="BU17" s="1783">
        <v>900</v>
      </c>
      <c r="BV17" s="400">
        <f>Overview!$H$28</f>
        <v/>
      </c>
      <c r="BW17" s="2010"/>
      <c r="BX17" s="1783"/>
      <c r="BY17" s="2040"/>
      <c r="BZ17" s="2040"/>
      <c r="CA17" s="401" t="str">
        <f>IF(COUNT(CF11:CF16)=0,IF(COUNT(CE11:CE16)=0,"TBD",VLOOKUP(MAX(CE11:CE16),CE11:CI16,5,FALSE)),VLOOKUP(MAX(CF11:CF16),CF11:CI16,4,FALSE))</f>
        <v>TBD</v>
      </c>
      <c r="CB17" s="200">
        <v>5</v>
      </c>
      <c r="CC17" s="1063">
        <f>'2G-3G'!BX16</f>
        <v>975</v>
      </c>
      <c r="CD17" s="1063">
        <f>'2G-3G'!BY16</f>
        <v>880.2</v>
      </c>
      <c r="CE17" s="1523"/>
      <c r="CF17" s="1523"/>
      <c r="CG17" s="387" t="str">
        <f>IF(OR($BY$3="",$BY$3=""),"",$BY$3)</f>
        <v/>
      </c>
      <c r="CH17" s="387">
        <f>BZ17</f>
        <v/>
      </c>
      <c r="CI17" s="387">
        <f>CA17</f>
        <v/>
      </c>
      <c r="CJ17" s="1527"/>
      <c r="CK17" s="2042"/>
      <c r="CL17" s="206">
        <f>IF(CF17=""," ",IF(ABS(CE17-CF17)&lt;=0.125,"Valid","Not valid"))</f>
        <v/>
      </c>
      <c r="CM17" s="207">
        <f> IF(CE17="","",IF(AND(CE17&lt;&gt;"",CF17=""),IF(CE17&gt;=1,"Medir+Sig Max","No"),IF(CF17&lt;&gt;"",IF(CF17&gt;=1,"Medir+Sig Max","No"),"")))</f>
        <v/>
      </c>
      <c r="CN17" s="208">
        <f>IF(UPPER(CM1)="X",IF(CF17=""," ",IF((ABS(CE17)&lt;5)*AND(ABS(CF17)&lt;5)*AND(ABS(CO17)&lt;5),"Solo si es max","Medir")),IF(CF17=""," ",IF((ABS(CE17)&lt;1)*AND(ABS(CF17)&lt;1)*AND(ABS(CO17)&lt;1),"Solo si es max","Medir")))</f>
        <v/>
      </c>
      <c r="CO17" s="220">
        <f>IF(CK17="",IF(AND(CE17="",CF17=""),"",IF(CF17="",IF(DE17&gt;1,ROUND(DE17*CE17,3),CE17),IF(DE17&gt;1,ROUND(DE17*CF17,3),CF17))),IF(AND(CE17="",CF17=""),"",IF(CF17="",IF(DE17&gt;1,ROUND(DE17*CE17*(1/(CK17)),3),CE17*(1/(CK17))),IF(DE17&gt;1,ROUND(DE17*CF17*(1/(CK17)),3),CF17*(1/(CK17))))))</f>
        <v/>
      </c>
      <c r="CP17" s="2043">
        <f>$CP$3</f>
        <v/>
      </c>
      <c r="CQ17" s="1472">
        <f>IF(CO17="","",IF(CO17&gt;CP17,"Fail","Pass"))</f>
        <v/>
      </c>
      <c r="CR17" s="1481">
        <f>IF(AND(MAX(CO11:CO18)=CO17,CO17&lt;&gt;0),COUNT($CR$3:CR16)+1,"")</f>
        <v/>
      </c>
      <c r="CS17" s="1565">
        <f>MyTimestamp(CO17)</f>
        <v/>
      </c>
      <c r="CT17" s="1531">
        <f>IF(CE17="",0,15)+IF(CF17="",0,15)</f>
        <v/>
      </c>
      <c r="CU17" s="1532">
        <f>IF(CT17=0,0,2)</f>
        <v/>
      </c>
      <c r="CV17" s="859" t="inlineStr">
        <is>
          <t>S/02</t>
        </is>
      </c>
      <c r="CW17" s="859" t="inlineStr">
        <is>
          <t>Dasy6</t>
        </is>
      </c>
      <c r="CX17" s="2038"/>
      <c r="CY17" s="2044"/>
      <c r="CZ17" s="1543">
        <f>10^(CJ17/20)*100-100</f>
        <v/>
      </c>
      <c r="DA17" s="1319">
        <f>IF('Tune-Up'!$H$12="","",'Tune-Up'!$H$12)</f>
        <v/>
      </c>
      <c r="DB17" s="695">
        <f>'2G-3G'!BZ16</f>
        <v/>
      </c>
      <c r="DC17" s="797">
        <f>IF(DA17="","",10^(DA17/10))</f>
        <v/>
      </c>
      <c r="DD17" s="1363">
        <f>IF(ISNUMBER(DB17)=FALSE,"",10^(DB17/10))</f>
        <v/>
      </c>
      <c r="DE17" s="1543">
        <f>IF(AND(ISNUMBER(DC17),ISNUMBER(DD17)),IF(DC17/DD17&gt;1,ROUND((DC17)/DD17,3),1),1)</f>
        <v/>
      </c>
      <c r="DF17" s="1541"/>
      <c r="DG17" s="1541"/>
      <c r="DH17" s="1541"/>
      <c r="DI17" s="1541"/>
      <c r="DJ17" s="1541"/>
      <c r="DK17" s="1541"/>
      <c r="DL17" s="1541"/>
      <c r="DM17" s="1541"/>
      <c r="DN17" s="1541"/>
      <c r="DO17" s="1541"/>
      <c r="DP17" s="1541"/>
      <c r="DQ17" s="1541"/>
      <c r="DR17" s="1541"/>
    </row>
    <row r="18" ht="12.75" x14ac:dyDescent="0.2">
      <c r="A18" s="1541"/>
      <c r="B18" s="1541"/>
      <c r="C18"/>
      <c r="D18" s="130">
        <f>IF(BX$11="Close to Ear","EN 62209-1","EN 62209-2")</f>
        <v/>
      </c>
      <c r="E18" s="130">
        <f>IF(CG18="Close to Ear","2016","2010/A1:2019")</f>
        <v/>
      </c>
      <c r="F18" s="1488" t="inlineStr">
        <is>
          <t>5.1</t>
        </is>
      </c>
      <c r="G18" s="1497"/>
      <c r="H18" s="120">
        <f>BV18</f>
        <v/>
      </c>
      <c r="I18" s="120">
        <f>BW18</f>
        <v/>
      </c>
      <c r="J18" s="687" t="str">
        <f>BT18</f>
        <v>GSM</v>
      </c>
      <c r="K18" s="194">
        <f>BU18</f>
        <v>900</v>
      </c>
      <c r="L18" s="115"/>
      <c r="M18" s="120">
        <f>BZ18</f>
        <v>0</v>
      </c>
      <c r="N18" s="119"/>
      <c r="O18" s="131"/>
      <c r="P18" s="6597"/>
      <c r="Q18" s="131"/>
      <c r="R18" s="131"/>
      <c r="S18" s="120">
        <f>CG18</f>
        <v>0</v>
      </c>
      <c r="T18" s="120">
        <f>CC18</f>
        <v>124</v>
      </c>
      <c r="U18" s="120">
        <f>CD18</f>
        <v>914.8</v>
      </c>
      <c r="V18" s="119"/>
      <c r="W18" s="197">
        <f>CK18*100</f>
        <v/>
      </c>
      <c r="X18" s="119"/>
      <c r="Y18" s="119"/>
      <c r="Z18" s="119"/>
      <c r="AA18" s="115"/>
      <c r="AB18" s="115"/>
      <c r="AC18" s="689">
        <f>IF(OR(BX$11="Close to Ear",BX$11="Close to Head"),"Head",IF(BX$11="Extremity","Extremity","Body"))</f>
        <v/>
      </c>
      <c r="AD18" s="690">
        <f>CA18</f>
        <v/>
      </c>
      <c r="AE18" s="688">
        <f>CB18</f>
        <v/>
      </c>
      <c r="AF18" s="115"/>
      <c r="AG18" s="808">
        <f>IF(AZ18="","N/A",IF(CQ18="Pass","P","F"))</f>
        <v/>
      </c>
      <c r="AH18" s="129"/>
      <c r="AI18" s="129"/>
      <c r="AJ18" s="129"/>
      <c r="AK18" s="119"/>
      <c r="AL18" s="115"/>
      <c r="AM18" s="119"/>
      <c r="AN18" s="119"/>
      <c r="AO18" s="692"/>
      <c r="AP18" s="692"/>
      <c r="AQ18" s="692"/>
      <c r="AR18" s="692"/>
      <c r="AS18" s="692"/>
      <c r="AT18" s="691">
        <f>CE18</f>
        <v/>
      </c>
      <c r="AU18" s="691">
        <f>CF18</f>
        <v/>
      </c>
      <c r="AV18" s="813"/>
      <c r="AW18" s="813"/>
      <c r="AX18" s="197">
        <f>CZ18</f>
        <v/>
      </c>
      <c r="AY18" s="197">
        <f>DE18</f>
        <v/>
      </c>
      <c r="AZ18" s="3379">
        <f>CO18</f>
        <v/>
      </c>
      <c r="BA18" s="3380"/>
      <c r="BB18" s="197">
        <f>CP18</f>
        <v/>
      </c>
      <c r="BC18" s="813"/>
      <c r="BD18" s="197">
        <f>CR18</f>
        <v/>
      </c>
      <c r="BE18" s="121">
        <f>CS18</f>
        <v/>
      </c>
      <c r="BF18" s="122">
        <f>CT18*60</f>
        <v/>
      </c>
      <c r="BG18" s="121">
        <f>BE18</f>
        <v/>
      </c>
      <c r="BH18" s="122">
        <f>CU18*60</f>
        <v/>
      </c>
      <c r="BI18" s="122">
        <f>CV18</f>
        <v/>
      </c>
      <c r="BJ18" s="117"/>
      <c r="BK18" s="812">
        <f>Overview!$E$7</f>
        <v/>
      </c>
      <c r="BL18" s="117"/>
      <c r="BM18" s="836">
        <f>CW18</f>
        <v/>
      </c>
      <c r="BN18" s="812">
        <f>Overview!$P$153</f>
        <v/>
      </c>
      <c r="BO18" s="117"/>
      <c r="BP18" s="117"/>
      <c r="BQ18" s="115"/>
      <c r="BR18" s="1478" t="inlineStr">
        <is>
          <t>N/A</t>
        </is>
      </c>
      <c r="BS18" s="1548"/>
      <c r="BT18" s="1783" t="inlineStr">
        <is>
          <t>GSM</t>
        </is>
      </c>
      <c r="BU18" s="1783">
        <v>900</v>
      </c>
      <c r="BV18" s="400">
        <f>Overview!$H$28</f>
        <v/>
      </c>
      <c r="BW18" s="2010"/>
      <c r="BX18" s="1800"/>
      <c r="BY18" s="2010"/>
      <c r="BZ18" s="2010"/>
      <c r="CA18" s="404" t="str">
        <f>IF(COUNT(CF11:CF16)=0,IF(COUNT(CE11:CE16)=0,"TBD",VLOOKUP(MAX(CE11:CE16),CE11:CI16,5,FALSE)),VLOOKUP(MAX(CF11:CF16),CF11:CI16,4,FALSE))</f>
        <v>TBD</v>
      </c>
      <c r="CB18" s="201">
        <v>5</v>
      </c>
      <c r="CC18" s="1081">
        <f>'2G-3G'!BX17</f>
        <v>124</v>
      </c>
      <c r="CD18" s="1081">
        <f>'2G-3G'!BY17</f>
        <v>914.8</v>
      </c>
      <c r="CE18" s="1874"/>
      <c r="CF18" s="1874"/>
      <c r="CG18" s="388" t="str">
        <f>IF(OR($BY$3="",$BY$3=""),"",$BY$3)</f>
        <v/>
      </c>
      <c r="CH18" s="388">
        <f>BZ18</f>
        <v/>
      </c>
      <c r="CI18" s="388">
        <f>CA18</f>
        <v/>
      </c>
      <c r="CJ18" s="2046"/>
      <c r="CK18" s="2047"/>
      <c r="CL18" s="212">
        <f>IF(CF18=""," ",IF(ABS(CE18-CF18)&lt;=0.125,"Valid","Not valid"))</f>
        <v/>
      </c>
      <c r="CM18" s="213">
        <f> IF(CE18="","",IF(AND(CE18&lt;&gt;"",CF18=""),IF(CE18&gt;=1,"Medir+Sig Max","No"),IF(CF18&lt;&gt;"",IF(CF18&gt;=1,"Medir+Sig Max","No"),"")))</f>
        <v/>
      </c>
      <c r="CN18" s="214">
        <f>IF(UPPER(CM1)="X",IF(CF18=""," ",IF((ABS(CE18)&lt;5)*AND(ABS(CF18)&lt;5)*AND(ABS(CO18)&lt;5),"Solo si es max","Medir")),IF(CF18=""," ",IF((ABS(CE18)&lt;1)*AND(ABS(CF18)&lt;1)*AND(ABS(CO18)&lt;1),"Solo si es max","Medir")))</f>
        <v/>
      </c>
      <c r="CO18" s="221">
        <f>IF(CK18="",IF(AND(CE18="",CF18=""),"",IF(CF18="",IF(DE18&gt;1,ROUND(DE18*CE18,3),CE18),IF(DE18&gt;1,ROUND(DE18*CF18,3),CF18))),IF(AND(CE18="",CF18=""),"",IF(CF18="",IF(DE18&gt;1,ROUND(DE18*CE18*(1/(CK18)),3),CE18*(1/(CK18))),IF(DE18&gt;1,ROUND(DE18*CF18*(1/(CK18)),3),CF18*(1/(CK18))))))</f>
        <v/>
      </c>
      <c r="CP18" s="2048">
        <f>$CP$3</f>
        <v/>
      </c>
      <c r="CQ18" s="1473">
        <f>IF(CO18="","",IF(CO18&gt;CP18,"Fail","Pass"))</f>
        <v/>
      </c>
      <c r="CR18" s="1482">
        <f>IF(AND(MAX(CO11:CO18)=CO18,CO18&lt;&gt;0),COUNT($CR$3:CR17)+1,"")</f>
        <v/>
      </c>
      <c r="CS18" s="1566">
        <f>MyTimestamp(CO18)</f>
        <v/>
      </c>
      <c r="CT18" s="1535">
        <f>IF(CE18="",0,15)+IF(CF18="",0,15)</f>
        <v/>
      </c>
      <c r="CU18" s="1536">
        <f>IF(CT18=0,0,2)</f>
        <v/>
      </c>
      <c r="CV18" s="861" t="inlineStr">
        <is>
          <t>S/02</t>
        </is>
      </c>
      <c r="CW18" s="861" t="inlineStr">
        <is>
          <t>Dasy6</t>
        </is>
      </c>
      <c r="CX18" s="2038"/>
      <c r="CY18" s="2050"/>
      <c r="CZ18" s="1545">
        <f>10^(CJ18/20)*100-100</f>
        <v/>
      </c>
      <c r="DA18" s="1320">
        <f>IF('Tune-Up'!$H$12="","",'Tune-Up'!$H$12)</f>
        <v/>
      </c>
      <c r="DB18" s="696">
        <f>'2G-3G'!BZ17</f>
        <v/>
      </c>
      <c r="DC18" s="798">
        <f>IF(DA18="","",10^(DA18/10))</f>
        <v/>
      </c>
      <c r="DD18" s="1364">
        <f>IF(ISNUMBER(DB18)=FALSE,"",10^(DB18/10))</f>
        <v/>
      </c>
      <c r="DE18" s="1545">
        <f>IF(AND(ISNUMBER(DC18),ISNUMBER(DD18)),IF(DC18/DD18&gt;1,ROUND((DC18)/DD18,3),1),1)</f>
        <v/>
      </c>
      <c r="DF18" s="1541"/>
      <c r="DG18" s="1541"/>
      <c r="DH18" s="1541"/>
      <c r="DI18" s="1541"/>
      <c r="DJ18" s="1541"/>
      <c r="DK18" s="1541"/>
      <c r="DL18" s="1541"/>
      <c r="DM18" s="1541"/>
      <c r="DN18" s="1541"/>
      <c r="DO18" s="1541"/>
      <c r="DP18" s="1541"/>
      <c r="DQ18" s="1541"/>
      <c r="DR18" s="1541"/>
    </row>
    <row r="19" ht="12.75" x14ac:dyDescent="0.2">
      <c r="A19" s="1541"/>
      <c r="B19" s="1541"/>
      <c r="C19"/>
      <c r="D19" s="130">
        <f>IF(BX$11="Close to Ear","EN 62209-1","EN 62209-2")</f>
        <v/>
      </c>
      <c r="E19" s="130">
        <f>IF(CG19="Close to Ear","2016","2010/A1:2019")</f>
        <v/>
      </c>
      <c r="F19" s="1488" t="inlineStr">
        <is>
          <t>5.1</t>
        </is>
      </c>
      <c r="G19" s="1497"/>
      <c r="H19" s="120">
        <f>BV19</f>
        <v/>
      </c>
      <c r="I19" s="120">
        <f>BW19</f>
        <v/>
      </c>
      <c r="J19" s="687">
        <f>BT19</f>
        <v/>
      </c>
      <c r="K19" s="194">
        <f>BU19</f>
        <v/>
      </c>
      <c r="L19" s="115"/>
      <c r="M19" s="120">
        <f>BZ19</f>
        <v/>
      </c>
      <c r="N19" s="119"/>
      <c r="O19" s="131"/>
      <c r="P19" s="6597"/>
      <c r="Q19" s="131"/>
      <c r="R19" s="131"/>
      <c r="S19" s="120">
        <f>CG19</f>
        <v/>
      </c>
      <c r="T19" s="120">
        <f>CC19</f>
        <v/>
      </c>
      <c r="U19" s="120">
        <f>CD19</f>
        <v/>
      </c>
      <c r="V19" s="119"/>
      <c r="W19" s="197">
        <f>CK19*100</f>
        <v/>
      </c>
      <c r="X19" s="119"/>
      <c r="Y19" s="119"/>
      <c r="Z19" s="119"/>
      <c r="AA19" s="115"/>
      <c r="AB19" s="115"/>
      <c r="AC19" s="689">
        <f>IF(OR(BX$11="Close to Ear",BX$11="Close to Head"),"Head",IF(BX$11="Extremity","Extremity","Body"))</f>
        <v/>
      </c>
      <c r="AD19" s="690">
        <f>CA19</f>
        <v/>
      </c>
      <c r="AE19" s="688">
        <f>CB19</f>
        <v/>
      </c>
      <c r="AF19" s="115"/>
      <c r="AG19" s="808">
        <f>IF(AZ19="","N/A",IF(CQ19="Pass","P","F"))</f>
        <v/>
      </c>
      <c r="AH19" s="129"/>
      <c r="AI19" s="129"/>
      <c r="AJ19" s="129"/>
      <c r="AK19" s="119"/>
      <c r="AL19" s="115"/>
      <c r="AM19" s="119"/>
      <c r="AN19" s="119"/>
      <c r="AO19" s="692"/>
      <c r="AP19" s="692"/>
      <c r="AQ19" s="692"/>
      <c r="AR19" s="692"/>
      <c r="AS19" s="692"/>
      <c r="AT19" s="691">
        <f>CE19</f>
        <v/>
      </c>
      <c r="AU19" s="691">
        <f>CF19</f>
        <v/>
      </c>
      <c r="AV19" s="813"/>
      <c r="AW19" s="813"/>
      <c r="AX19" s="197">
        <f>CZ19</f>
        <v/>
      </c>
      <c r="AY19" s="197">
        <f>DE19</f>
        <v/>
      </c>
      <c r="AZ19" s="3379">
        <f>CO19</f>
        <v/>
      </c>
      <c r="BA19" s="3380"/>
      <c r="BB19" s="197">
        <f>CP19</f>
        <v/>
      </c>
      <c r="BC19" s="813"/>
      <c r="BD19" s="197">
        <f>CR19</f>
        <v/>
      </c>
      <c r="BE19" s="121">
        <f>CS19</f>
        <v/>
      </c>
      <c r="BF19" s="122">
        <f>CT19*60</f>
        <v/>
      </c>
      <c r="BG19" s="121">
        <f>BE19</f>
        <v/>
      </c>
      <c r="BH19" s="122">
        <f>CU19*60</f>
        <v/>
      </c>
      <c r="BI19" s="122">
        <f>CV19</f>
        <v/>
      </c>
      <c r="BJ19" s="117"/>
      <c r="BK19" s="812">
        <f>Overview!$E$7</f>
        <v/>
      </c>
      <c r="BL19" s="117"/>
      <c r="BM19" s="836">
        <f>CW19</f>
        <v/>
      </c>
      <c r="BN19" s="812">
        <f>Overview!$P$153</f>
        <v/>
      </c>
      <c r="BO19" s="117"/>
      <c r="BP19" s="117"/>
      <c r="BQ19" s="115"/>
      <c r="BR19" s="1478" t="inlineStr">
        <is>
          <t>N/A</t>
        </is>
      </c>
      <c r="BS19" s="1548"/>
      <c r="BT19" s="1783" t="inlineStr">
        <is>
          <t>GSM</t>
        </is>
      </c>
      <c r="BU19" s="1783">
        <v>900</v>
      </c>
      <c r="BV19" s="400">
        <f>Overview!$H$28</f>
        <v/>
      </c>
      <c r="BW19" s="2010"/>
      <c r="BX19" s="1800"/>
      <c r="BY19" s="2010"/>
      <c r="BZ19" s="2010"/>
      <c r="CA19" s="404" t="str">
        <f>CONCATENATE(CA17," - Battery check 1")</f>
        <v>TBD - Battery check 1</v>
      </c>
      <c r="CB19" s="201">
        <v>5</v>
      </c>
      <c r="CC19" s="1081">
        <f>IF(COUNT($CO$11:$CO$18)=0,"N/A",INDEX($CC$11:$CC$18,MATCH(MAX($CO$11:$CO$18),$CO$11:$CO$18,0)))</f>
        <v/>
      </c>
      <c r="CD19" s="1081">
        <f>IF(COUNT($CO$11:$CO$18)=0,"N/A",INDEX($CD$11:$CD$18,MATCH(MAX($CO$11:$CO$18),$CO$11:$CO$18,0)))</f>
        <v/>
      </c>
      <c r="CE19" s="1874"/>
      <c r="CF19" s="1874"/>
      <c r="CG19" s="388" t="inlineStr">
        <is>
          <t>N/A</t>
        </is>
      </c>
      <c r="CH19" s="388">
        <f>BZ19</f>
        <v/>
      </c>
      <c r="CI19" s="388">
        <f>CA19</f>
        <v/>
      </c>
      <c r="CJ19" s="2046"/>
      <c r="CK19" s="2047"/>
      <c r="CL19" s="212">
        <f>IF(CF19=""," ",IF(ABS(CE19-CF19)&lt;=0.125,"Valid","Not valid"))</f>
        <v/>
      </c>
      <c r="CM19" s="213">
        <f> IF(CE19="","",IF(AND(CE19&lt;&gt;"",CF19=""),IF(CE19&gt;=1,"Medir+Sig Max","No"),IF(CF19&lt;&gt;"",IF(CF19&gt;=1,"Medir+Sig Max","No"),"")))</f>
        <v/>
      </c>
      <c r="CN19" s="214">
        <f>IF(UPPER(CM1)="X",IF(CF19=""," ",IF((ABS(CE19)&lt;5)*AND(ABS(CF19)&lt;5)*AND(ABS(CO19)&lt;5),"Solo si es max","Medir")),IF(CF19=""," ",IF((ABS(CE19)&lt;1)*AND(ABS(CF19)&lt;1)*AND(ABS(CO19)&lt;1),"Solo si es max","Medir")))</f>
        <v/>
      </c>
      <c r="CO19" s="221">
        <f>IF(CK19="",IF(AND(CE19="",CF19=""),"",IF(CF19="",IF(DE19&gt;1,ROUND(DE19*CE19,3),CE19),IF(DE19&gt;1,ROUND(DE19*CF19,3),CF19))),IF(AND(CE19="",CF19=""),"",IF(CF19="",IF(DE19&gt;1,ROUND(DE19*CE19*(1/(CK19)),3),CE19*(1/(CK19))),IF(DE19&gt;1,ROUND(DE19*CF19*(1/(CK19)),3),CF19*(1/(CK19))))))</f>
        <v/>
      </c>
      <c r="CP19" s="2048">
        <f>$CP$3</f>
        <v/>
      </c>
      <c r="CQ19" s="1473">
        <f>IF(CO19="","",IF(CO19&gt;CP19,"Fail","Pass"))</f>
        <v/>
      </c>
      <c r="CR19" s="1482">
        <f>IF(CO19&lt;&gt;"",MAX($CR$3:CR18)+1,"")</f>
        <v/>
      </c>
      <c r="CS19" s="1566">
        <f>MyTimestamp(CQ19)</f>
        <v/>
      </c>
      <c r="CT19" s="1535">
        <f>IF(COUNT(CE19:CF19)=1,15,IF(COUNT(CE19:CF19)=0,0,30))</f>
        <v/>
      </c>
      <c r="CU19" s="1536">
        <f>IF(CT19=0,0,2)</f>
        <v/>
      </c>
      <c r="CV19" s="861" t="inlineStr">
        <is>
          <t>S/02</t>
        </is>
      </c>
      <c r="CW19" s="861" t="inlineStr">
        <is>
          <t>Dasy6</t>
        </is>
      </c>
      <c r="CX19" s="2038"/>
      <c r="CY19" s="2050"/>
      <c r="CZ19" s="1545">
        <f>10^(CJ19/20)*100-100</f>
        <v/>
      </c>
      <c r="DA19" s="1320">
        <f>IF('Tune-Up'!$H$12="","",'Tune-Up'!$H$12)</f>
        <v/>
      </c>
      <c r="DB19" s="696">
        <f>IF(COUNT($CO$11:$CO$18)=0,"N/A",IFERROR(INDEX($DB$11:$DB$18,MATCH(MAX($CO$11:$CO$18),$CO$11:$CO$18,0)),"N/A"))</f>
        <v/>
      </c>
      <c r="DC19" s="798">
        <f>IF(DA19="","",10^(DA19/10))</f>
        <v/>
      </c>
      <c r="DD19" s="1364">
        <f>IF(ISNUMBER(DB19)=FALSE,"N/A",10^(DB19/10))</f>
        <v/>
      </c>
      <c r="DE19" s="1545">
        <f>IF(AND(ISNUMBER(DC19),ISNUMBER(DD19)),IF(DC19/DD19&gt;1,ROUND((DC19)/DD19,3),1),1)</f>
        <v/>
      </c>
      <c r="DF19" s="1541"/>
      <c r="DG19" s="1541"/>
      <c r="DH19" s="1541"/>
      <c r="DI19" s="1541"/>
      <c r="DJ19" s="1541"/>
      <c r="DK19" s="1541"/>
      <c r="DL19" s="1541"/>
      <c r="DM19" s="1541"/>
      <c r="DN19" s="1541"/>
      <c r="DO19" s="1541"/>
      <c r="DP19" s="1541"/>
      <c r="DQ19" s="1541"/>
      <c r="DR19" s="1541"/>
    </row>
    <row r="20" ht="12.75" x14ac:dyDescent="0.2">
      <c r="A20" s="1541"/>
      <c r="B20" s="1541"/>
      <c r="C20"/>
      <c r="D20" s="130">
        <f>IF(BX$11="Close to Ear","EN 62209-1","EN 62209-2")</f>
        <v/>
      </c>
      <c r="E20" s="130">
        <f>IF(CG20="Close to Ear","2016","2010/A1:2019")</f>
        <v/>
      </c>
      <c r="F20" s="1488" t="inlineStr">
        <is>
          <t>5.1</t>
        </is>
      </c>
      <c r="G20" s="1497"/>
      <c r="H20" s="120">
        <f>BV20</f>
        <v/>
      </c>
      <c r="I20" s="120">
        <f>BW20</f>
        <v/>
      </c>
      <c r="J20" s="687">
        <f>BT20</f>
        <v/>
      </c>
      <c r="K20" s="194">
        <f>BU20</f>
        <v/>
      </c>
      <c r="L20" s="115"/>
      <c r="M20" s="120">
        <f>BZ20</f>
        <v/>
      </c>
      <c r="N20" s="119"/>
      <c r="O20" s="131"/>
      <c r="P20" s="6597"/>
      <c r="Q20" s="131"/>
      <c r="R20" s="131"/>
      <c r="S20" s="120">
        <f>CG20</f>
        <v/>
      </c>
      <c r="T20" s="120">
        <f>CC20</f>
        <v/>
      </c>
      <c r="U20" s="120">
        <f>CD20</f>
        <v/>
      </c>
      <c r="V20" s="119"/>
      <c r="W20" s="197">
        <f>CK20*100</f>
        <v/>
      </c>
      <c r="X20" s="119"/>
      <c r="Y20" s="119"/>
      <c r="Z20" s="119"/>
      <c r="AA20" s="115"/>
      <c r="AB20" s="115"/>
      <c r="AC20" s="689">
        <f>IF(OR(BX$11="Close to Ear",BX$11="Close to Head"),"Head",IF(BX$11="Extremity","Extremity","Body"))</f>
        <v/>
      </c>
      <c r="AD20" s="690">
        <f>CA20</f>
        <v/>
      </c>
      <c r="AE20" s="688">
        <f>CB20</f>
        <v/>
      </c>
      <c r="AF20" s="115"/>
      <c r="AG20" s="808">
        <f>IF(AZ20="","N/A",IF(CQ20="Pass","P","F"))</f>
        <v/>
      </c>
      <c r="AH20" s="129"/>
      <c r="AI20" s="129"/>
      <c r="AJ20" s="129"/>
      <c r="AK20" s="119"/>
      <c r="AL20" s="115"/>
      <c r="AM20" s="119"/>
      <c r="AN20" s="119"/>
      <c r="AO20" s="692"/>
      <c r="AP20" s="692"/>
      <c r="AQ20" s="692"/>
      <c r="AR20" s="692"/>
      <c r="AS20" s="692"/>
      <c r="AT20" s="691">
        <f>CE20</f>
        <v/>
      </c>
      <c r="AU20" s="691">
        <f>CF20</f>
        <v/>
      </c>
      <c r="AV20" s="813"/>
      <c r="AW20" s="813"/>
      <c r="AX20" s="197">
        <f>CZ20</f>
        <v/>
      </c>
      <c r="AY20" s="197">
        <f>DE20</f>
        <v/>
      </c>
      <c r="AZ20" s="3379">
        <f>CO20</f>
        <v/>
      </c>
      <c r="BA20" s="3380"/>
      <c r="BB20" s="197">
        <f>CP20</f>
        <v/>
      </c>
      <c r="BC20" s="813"/>
      <c r="BD20" s="197">
        <f>CR20</f>
        <v/>
      </c>
      <c r="BE20" s="121">
        <f>CS20</f>
        <v/>
      </c>
      <c r="BF20" s="122">
        <f>CT20*60</f>
        <v/>
      </c>
      <c r="BG20" s="121">
        <f>BE20</f>
        <v/>
      </c>
      <c r="BH20" s="122">
        <f>CU20*60</f>
        <v/>
      </c>
      <c r="BI20" s="122">
        <f>CV20</f>
        <v/>
      </c>
      <c r="BJ20" s="117"/>
      <c r="BK20" s="812">
        <f>Overview!$E$7</f>
        <v/>
      </c>
      <c r="BL20" s="117"/>
      <c r="BM20" s="836">
        <f>CW20</f>
        <v/>
      </c>
      <c r="BN20" s="812">
        <f>Overview!$P$153</f>
        <v/>
      </c>
      <c r="BO20" s="117"/>
      <c r="BP20" s="117"/>
      <c r="BQ20" s="115"/>
      <c r="BR20" s="1478" t="inlineStr">
        <is>
          <t>N/A</t>
        </is>
      </c>
      <c r="BS20" s="1548"/>
      <c r="BT20" s="1783" t="inlineStr">
        <is>
          <t>GSM</t>
        </is>
      </c>
      <c r="BU20" s="1783">
        <v>900</v>
      </c>
      <c r="BV20" s="400">
        <f>Overview!$H$28</f>
        <v/>
      </c>
      <c r="BW20" s="2010"/>
      <c r="BX20" s="1800"/>
      <c r="BY20" s="2010"/>
      <c r="BZ20" s="2010"/>
      <c r="CA20" s="404" t="str">
        <f>CONCATENATE(CA18," - Battery check 2")</f>
        <v>TBD - Battery check 2</v>
      </c>
      <c r="CB20" s="201">
        <v>5</v>
      </c>
      <c r="CC20" s="1081">
        <f>IF(COUNT($CO$11:$CO$18)=0,"N/A",INDEX($CC$11:$CC$18,MATCH(MAX($CO$11:$CO$18),$CO$11:$CO$18,0)))</f>
        <v/>
      </c>
      <c r="CD20" s="1081">
        <f>IF(COUNT($CO$11:$CO$18)=0,"N/A",INDEX($CD$11:$CD$18,MATCH(MAX($CO$11:$CO$18),$CO$11:$CO$18,0)))</f>
        <v/>
      </c>
      <c r="CE20" s="1874"/>
      <c r="CF20" s="1874"/>
      <c r="CG20" s="388" t="inlineStr">
        <is>
          <t>N/A</t>
        </is>
      </c>
      <c r="CH20" s="388">
        <f>BZ20</f>
        <v/>
      </c>
      <c r="CI20" s="388">
        <f>CA20</f>
        <v/>
      </c>
      <c r="CJ20" s="2046"/>
      <c r="CK20" s="2047"/>
      <c r="CL20" s="212">
        <f>IF(CF20=""," ",IF(ABS(CE20-CF20)&lt;=0.125,"Valid","Not valid"))</f>
        <v/>
      </c>
      <c r="CM20" s="213">
        <f> IF(CE20="","",IF(AND(CE20&lt;&gt;"",CF20=""),IF(CE20&gt;=1,"Medir+Sig Max","No"),IF(CF20&lt;&gt;"",IF(CF20&gt;=1,"Medir+Sig Max","No"),"")))</f>
        <v/>
      </c>
      <c r="CN20" s="214">
        <f>IF(UPPER(CM1)="X",IF(CF20=""," ",IF((ABS(CE20)&lt;5)*AND(ABS(CF20)&lt;5)*AND(ABS(CO20)&lt;5),"Solo si es max","Medir")),IF(CF20=""," ",IF((ABS(CE20)&lt;1)*AND(ABS(CF20)&lt;1)*AND(ABS(CO20)&lt;1),"Solo si es max","Medir")))</f>
        <v/>
      </c>
      <c r="CO20" s="221">
        <f>IF(CK20="",IF(AND(CE20="",CF20=""),"",IF(CF20="",IF(DE20&gt;1,ROUND(DE20*CE20,3),CE20),IF(DE20&gt;1,ROUND(DE20*CF20,3),CF20))),IF(AND(CE20="",CF20=""),"",IF(CF20="",IF(DE20&gt;1,ROUND(DE20*CE20*(1/(CK20)),3),CE20*(1/(CK20))),IF(DE20&gt;1,ROUND(DE20*CF20*(1/(CK20)),3),CF20*(1/(CK20))))))</f>
        <v/>
      </c>
      <c r="CP20" s="2048">
        <f>$CP$3</f>
        <v/>
      </c>
      <c r="CQ20" s="1473">
        <f>IF(CO20="","",IF(CO20&gt;CP20,"Fail","Pass"))</f>
        <v/>
      </c>
      <c r="CR20" s="1482">
        <f>IF(CO20&lt;&gt;"",MAX($CR$3:CR19)+1,"")</f>
        <v/>
      </c>
      <c r="CS20" s="1566">
        <f>MyTimestamp(CQ20)</f>
        <v/>
      </c>
      <c r="CT20" s="1535">
        <f>IF(COUNT(CE20:CF20)=1,15,IF(COUNT(CE20:CF20)=0,0,30))</f>
        <v/>
      </c>
      <c r="CU20" s="1536">
        <f>IF(CT20=0,0,2)</f>
        <v/>
      </c>
      <c r="CV20" s="861" t="inlineStr">
        <is>
          <t>S/02</t>
        </is>
      </c>
      <c r="CW20" s="861" t="inlineStr">
        <is>
          <t>Dasy6</t>
        </is>
      </c>
      <c r="CX20" s="2038"/>
      <c r="CY20" s="2050"/>
      <c r="CZ20" s="1545">
        <f>10^(CJ20/20)*100-100</f>
        <v/>
      </c>
      <c r="DA20" s="1320">
        <f>IF('Tune-Up'!$H$12="","",'Tune-Up'!$H$12)</f>
        <v/>
      </c>
      <c r="DB20" s="696">
        <f>IF(COUNT($CO$11:$CO$18)=0,"N/A",IFERROR(INDEX($DB$11:$DB$18,MATCH(MAX($CO$11:$CO$18),$CO$11:$CO$18,0)),"N/A"))</f>
        <v/>
      </c>
      <c r="DC20" s="798">
        <f>IF(DA20="","",10^(DA20/10))</f>
        <v/>
      </c>
      <c r="DD20" s="1364">
        <f>IF(ISNUMBER(DB20)=FALSE,"N/A",10^(DB20/10))</f>
        <v/>
      </c>
      <c r="DE20" s="1545">
        <f>IF(AND(ISNUMBER(DC20),ISNUMBER(DD20)),IF(DC20/DD20&gt;1,ROUND((DC20)/DD20,3),1),1)</f>
        <v/>
      </c>
      <c r="DF20" s="1541"/>
      <c r="DG20" s="1541"/>
      <c r="DH20" s="1541"/>
      <c r="DI20" s="1541"/>
      <c r="DJ20" s="1541"/>
      <c r="DK20" s="1541"/>
      <c r="DL20" s="1541"/>
      <c r="DM20" s="1541"/>
      <c r="DN20" s="1541"/>
      <c r="DO20" s="1541"/>
      <c r="DP20" s="1541"/>
      <c r="DQ20" s="1541"/>
      <c r="DR20" s="1541"/>
    </row>
    <row r="21" ht="12.75" x14ac:dyDescent="0.2">
      <c r="A21" s="1541"/>
      <c r="B21" s="1541"/>
      <c r="C21"/>
      <c r="D21" s="130">
        <f>IF(BX$21="Close to Ear","EN 62209-1","EN 62209-2")</f>
        <v/>
      </c>
      <c r="E21" s="130">
        <f>IF(CG21="Close to Ear","2016","2010/A1:2019")</f>
        <v/>
      </c>
      <c r="F21" s="1488" t="inlineStr">
        <is>
          <t>5.1</t>
        </is>
      </c>
      <c r="G21" s="1497"/>
      <c r="H21" s="120">
        <f>BV21</f>
        <v/>
      </c>
      <c r="I21" s="120">
        <f>BW21</f>
        <v/>
      </c>
      <c r="J21" s="687" t="str">
        <f>BT21</f>
        <v>GSM</v>
      </c>
      <c r="K21" s="194">
        <f>BU21</f>
        <v>900</v>
      </c>
      <c r="L21" s="115"/>
      <c r="M21" s="120">
        <f>BZ21</f>
        <v>0</v>
      </c>
      <c r="N21" s="119"/>
      <c r="O21" s="131"/>
      <c r="P21" s="6597"/>
      <c r="Q21" s="131"/>
      <c r="R21" s="131"/>
      <c r="S21" s="120">
        <f>CG21</f>
        <v>0</v>
      </c>
      <c r="T21" s="120">
        <f>CC21</f>
        <v>37</v>
      </c>
      <c r="U21" s="120">
        <f>CD21</f>
        <v>897.4</v>
      </c>
      <c r="V21" s="119"/>
      <c r="W21" s="197">
        <f>CK21*100</f>
        <v/>
      </c>
      <c r="X21" s="119"/>
      <c r="Y21" s="119"/>
      <c r="Z21" s="119"/>
      <c r="AA21" s="115"/>
      <c r="AB21" s="115"/>
      <c r="AC21" s="689">
        <f>IF(OR(BX$21="Close to Ear",BX$21="Close to Head"),"Head",IF(BX$21="Extremity","Extremity","Body"))</f>
        <v/>
      </c>
      <c r="AD21" s="690">
        <f>CA21</f>
        <v/>
      </c>
      <c r="AE21" s="688">
        <f>CB21</f>
        <v/>
      </c>
      <c r="AF21" s="115"/>
      <c r="AG21" s="808">
        <f>IF(AZ21="","N/A",IF(CQ21="Pass","P","F"))</f>
        <v/>
      </c>
      <c r="AH21" s="129"/>
      <c r="AI21" s="129"/>
      <c r="AJ21" s="129"/>
      <c r="AK21" s="119"/>
      <c r="AL21" s="115"/>
      <c r="AM21" s="119"/>
      <c r="AN21" s="119"/>
      <c r="AO21" s="692"/>
      <c r="AP21" s="692"/>
      <c r="AQ21" s="692"/>
      <c r="AR21" s="692"/>
      <c r="AS21" s="692"/>
      <c r="AT21" s="691">
        <f>CE21</f>
        <v/>
      </c>
      <c r="AU21" s="691">
        <f>CF21</f>
        <v/>
      </c>
      <c r="AV21" s="813"/>
      <c r="AW21" s="813"/>
      <c r="AX21" s="197">
        <f>CZ21</f>
        <v/>
      </c>
      <c r="AY21" s="197">
        <f>DE21</f>
        <v/>
      </c>
      <c r="AZ21" s="3379">
        <f>CO21</f>
        <v/>
      </c>
      <c r="BA21" s="3380"/>
      <c r="BB21" s="197">
        <f>CP21</f>
        <v/>
      </c>
      <c r="BC21" s="813"/>
      <c r="BD21" s="197">
        <f>CR21</f>
        <v/>
      </c>
      <c r="BE21" s="121">
        <f>CS21</f>
        <v/>
      </c>
      <c r="BF21" s="122">
        <f>CT21*60</f>
        <v/>
      </c>
      <c r="BG21" s="121">
        <f>BE21</f>
        <v/>
      </c>
      <c r="BH21" s="122">
        <f>CU21*60</f>
        <v/>
      </c>
      <c r="BI21" s="122">
        <f>CV21</f>
        <v/>
      </c>
      <c r="BJ21" s="117"/>
      <c r="BK21" s="812">
        <f>Overview!$E$7</f>
        <v/>
      </c>
      <c r="BL21" s="117"/>
      <c r="BM21" s="836">
        <f>CW21</f>
        <v/>
      </c>
      <c r="BN21" s="812">
        <f>Overview!$P$153</f>
        <v/>
      </c>
      <c r="BO21" s="117"/>
      <c r="BP21" s="117"/>
      <c r="BQ21" s="115"/>
      <c r="BR21" s="1478" t="inlineStr">
        <is>
          <t>N/A</t>
        </is>
      </c>
      <c r="BS21" s="1548"/>
      <c r="BT21" s="1783" t="inlineStr">
        <is>
          <t>GSM</t>
        </is>
      </c>
      <c r="BU21" s="1783">
        <v>900</v>
      </c>
      <c r="BV21" s="400">
        <f>Overview!$H$28</f>
        <v/>
      </c>
      <c r="BW21" s="2010"/>
      <c r="BX21" s="7672" t="inlineStr">
        <is>
          <t>Body</t>
        </is>
      </c>
      <c r="BY21" s="2040"/>
      <c r="BZ21" s="2040"/>
      <c r="CA21" s="1996" t="inlineStr">
        <is>
          <t>Front Face</t>
        </is>
      </c>
      <c r="CB21" s="202">
        <v>5</v>
      </c>
      <c r="CC21" s="1062">
        <f>'2G-3G'!BX15</f>
        <v>37</v>
      </c>
      <c r="CD21" s="1062">
        <f>'2G-3G'!BY15</f>
        <v>897.4</v>
      </c>
      <c r="CE21" s="1522"/>
      <c r="CF21" s="1522"/>
      <c r="CG21" s="386" t="str">
        <f>IF(OR($BY$3="",$BY$3=""),"",$BY$3)</f>
        <v/>
      </c>
      <c r="CH21" s="386">
        <f>BZ21</f>
        <v/>
      </c>
      <c r="CI21" s="386">
        <f>CA21</f>
        <v/>
      </c>
      <c r="CJ21" s="1526"/>
      <c r="CK21" s="2036"/>
      <c r="CL21" s="203">
        <f>IF(CF21=""," ",IF(ABS(CE21-CF21)&lt;=0.125,"Valid","Not valid"))</f>
        <v/>
      </c>
      <c r="CM21" s="204">
        <f> IF(CE21="","",IF(AND(CE21&lt;&gt;"",CF21=""),IF(CE21&gt;=1,"Medir+Sig Max","No"),IF(CF21&lt;&gt;"",IF(CF21&gt;=1,"Medir+Sig Max","No"),"")))</f>
        <v/>
      </c>
      <c r="CN21" s="205">
        <f>IF(UPPER(CM1)="X",IF(CF21=""," ",IF((ABS(CE21)&lt;5)*AND(ABS(CF21)&lt;5)*AND(ABS(CO21)&lt;5),"Solo si es max","Medir")),IF(CF21=""," ",IF((ABS(CE21)&lt;1)*AND(ABS(CF21)&lt;1)*AND(ABS(CO21)&lt;1),"Solo si es max","Medir")))</f>
        <v/>
      </c>
      <c r="CO21" s="219">
        <f>IF(CK21="",IF(AND(CE21="",CF21=""),"",IF(CF21="",IF(DE21&gt;1,ROUND(DE21*CE21,3),CE21),IF(DE21&gt;1,ROUND(DE21*CF21,3),CF21))),IF(AND(CE21="",CF21=""),"",IF(CF21="",IF(DE21&gt;1,ROUND(DE21*CE21*(1/(CK21)),3),CE21*(1/(CK21))),IF(DE21&gt;1,ROUND(DE21*CF21*(1/(CK21)),3),CF21*(1/(CK21))))))</f>
        <v/>
      </c>
      <c r="CP21" s="2037">
        <f>$CP$3</f>
        <v/>
      </c>
      <c r="CQ21" s="1471">
        <f>IF(CO21="","",IF(CO21&gt;CP21,"Fail","Pass"))</f>
        <v/>
      </c>
      <c r="CR21" s="1480">
        <f>IF(AND(MAX(CO21:CO28)=CO21,CO21&lt;&gt;0),COUNT($CR$3:CR18)+1,"")</f>
        <v/>
      </c>
      <c r="CS21" s="1564">
        <f>MyTimestamp(CO21)</f>
        <v/>
      </c>
      <c r="CT21" s="1529">
        <f>IF(CE21="",0,15)+IF(CF21="",0,15)</f>
        <v/>
      </c>
      <c r="CU21" s="1530">
        <f>IF(CT21=0,0,2)</f>
        <v/>
      </c>
      <c r="CV21" s="862" t="inlineStr">
        <is>
          <t>S/02</t>
        </is>
      </c>
      <c r="CW21" s="862" t="inlineStr">
        <is>
          <t>Dasy6</t>
        </is>
      </c>
      <c r="CX21" s="2038"/>
      <c r="CY21" s="2039"/>
      <c r="CZ21" s="1542">
        <f>10^(CJ21/20)*100-100</f>
        <v/>
      </c>
      <c r="DA21" s="1318">
        <f>IF('Tune-Up'!$H$12="","",'Tune-Up'!$H$12)</f>
        <v/>
      </c>
      <c r="DB21" s="694">
        <f>'2G-3G'!BZ15</f>
        <v/>
      </c>
      <c r="DC21" s="796">
        <f>IF(DA21="","",10^(DA21/10))</f>
        <v/>
      </c>
      <c r="DD21" s="1362">
        <f>IF(ISNUMBER(DB21)=FALSE,"",10^(DB21/10))</f>
        <v/>
      </c>
      <c r="DE21" s="1542">
        <f>IF(AND(ISNUMBER(DC21),ISNUMBER(DD21)),IF(DC21/DD21&gt;1,ROUND((DC21)/DD21,3),1),1)</f>
        <v/>
      </c>
      <c r="DF21" s="1541"/>
      <c r="DG21" s="1541"/>
      <c r="DH21" s="1541"/>
      <c r="DI21" s="1541"/>
      <c r="DJ21" s="1541"/>
      <c r="DK21" s="1541"/>
      <c r="DL21" s="1541"/>
      <c r="DM21" s="1541"/>
      <c r="DN21" s="1541"/>
      <c r="DO21" s="1541"/>
      <c r="DP21" s="1541"/>
      <c r="DQ21" s="1541"/>
      <c r="DR21" s="1541"/>
    </row>
    <row r="22" ht="12.75" x14ac:dyDescent="0.2">
      <c r="A22" s="1541"/>
      <c r="B22" s="1541"/>
      <c r="C22"/>
      <c r="D22" s="130">
        <f>IF(BX$21="Close to Ear","EN 62209-1","EN 62209-2")</f>
        <v/>
      </c>
      <c r="E22" s="130">
        <f>IF(CG22="Close to Ear","2016","2010/A1:2019")</f>
        <v/>
      </c>
      <c r="F22" s="1488" t="inlineStr">
        <is>
          <t>5.1</t>
        </is>
      </c>
      <c r="G22" s="1497"/>
      <c r="H22" s="120">
        <f>BV22</f>
        <v/>
      </c>
      <c r="I22" s="120">
        <f>BW22</f>
        <v/>
      </c>
      <c r="J22" s="687" t="str">
        <f>BT22</f>
        <v>GSM</v>
      </c>
      <c r="K22" s="194">
        <f>BU22</f>
        <v>900</v>
      </c>
      <c r="L22" s="115"/>
      <c r="M22" s="120">
        <f>BZ22</f>
        <v>0</v>
      </c>
      <c r="N22" s="119"/>
      <c r="O22" s="131"/>
      <c r="P22" s="6597"/>
      <c r="Q22" s="131"/>
      <c r="R22" s="131"/>
      <c r="S22" s="120">
        <f>CG22</f>
        <v>0</v>
      </c>
      <c r="T22" s="120">
        <f>CC22</f>
        <v>37</v>
      </c>
      <c r="U22" s="120">
        <f>CD22</f>
        <v>897.4</v>
      </c>
      <c r="V22" s="119"/>
      <c r="W22" s="197">
        <f>CK22*100</f>
        <v/>
      </c>
      <c r="X22" s="119"/>
      <c r="Y22" s="119"/>
      <c r="Z22" s="119"/>
      <c r="AA22" s="115"/>
      <c r="AB22" s="115"/>
      <c r="AC22" s="689">
        <f>IF(OR(BX$21="Close to Ear",BX$21="Close to Head"),"Head",IF(BX$21="Extremity","Extremity","Body"))</f>
        <v/>
      </c>
      <c r="AD22" s="690">
        <f>CA22</f>
        <v/>
      </c>
      <c r="AE22" s="688">
        <f>CB22</f>
        <v/>
      </c>
      <c r="AF22" s="115"/>
      <c r="AG22" s="808">
        <f>IF(AZ22="","N/A",IF(CQ22="Pass","P","F"))</f>
        <v/>
      </c>
      <c r="AH22" s="129"/>
      <c r="AI22" s="129"/>
      <c r="AJ22" s="129"/>
      <c r="AK22" s="119"/>
      <c r="AL22" s="115"/>
      <c r="AM22" s="119"/>
      <c r="AN22" s="119"/>
      <c r="AO22" s="692"/>
      <c r="AP22" s="692"/>
      <c r="AQ22" s="692"/>
      <c r="AR22" s="692"/>
      <c r="AS22" s="692"/>
      <c r="AT22" s="691">
        <f>CE22</f>
        <v/>
      </c>
      <c r="AU22" s="691">
        <f>CF22</f>
        <v/>
      </c>
      <c r="AV22" s="813"/>
      <c r="AW22" s="813"/>
      <c r="AX22" s="197">
        <f>CZ22</f>
        <v/>
      </c>
      <c r="AY22" s="197">
        <f>DE22</f>
        <v/>
      </c>
      <c r="AZ22" s="3379">
        <f>CO22</f>
        <v/>
      </c>
      <c r="BA22" s="3380"/>
      <c r="BB22" s="197">
        <f>CP22</f>
        <v/>
      </c>
      <c r="BC22" s="813"/>
      <c r="BD22" s="197">
        <f>CR22</f>
        <v/>
      </c>
      <c r="BE22" s="121">
        <f>CS22</f>
        <v/>
      </c>
      <c r="BF22" s="122">
        <f>CT22*60</f>
        <v/>
      </c>
      <c r="BG22" s="121">
        <f>BE22</f>
        <v/>
      </c>
      <c r="BH22" s="122">
        <f>CU22*60</f>
        <v/>
      </c>
      <c r="BI22" s="122">
        <f>CV22</f>
        <v/>
      </c>
      <c r="BJ22" s="117"/>
      <c r="BK22" s="812">
        <f>Overview!$E$7</f>
        <v/>
      </c>
      <c r="BL22" s="117"/>
      <c r="BM22" s="836">
        <f>CW22</f>
        <v/>
      </c>
      <c r="BN22" s="812">
        <f>Overview!$P$153</f>
        <v/>
      </c>
      <c r="BO22" s="117"/>
      <c r="BP22" s="117"/>
      <c r="BQ22" s="115"/>
      <c r="BR22" s="1478" t="inlineStr">
        <is>
          <t>N/A</t>
        </is>
      </c>
      <c r="BS22" s="1548"/>
      <c r="BT22" s="1783" t="inlineStr">
        <is>
          <t>GSM</t>
        </is>
      </c>
      <c r="BU22" s="1783">
        <v>900</v>
      </c>
      <c r="BV22" s="400">
        <f>Overview!$H$28</f>
        <v/>
      </c>
      <c r="BW22" s="2010"/>
      <c r="BX22" s="1783"/>
      <c r="BY22" s="2040"/>
      <c r="BZ22" s="2040"/>
      <c r="CA22" s="1997" t="inlineStr">
        <is>
          <t>Back Face</t>
        </is>
      </c>
      <c r="CB22" s="200">
        <v>5</v>
      </c>
      <c r="CC22" s="1063">
        <f>'2G-3G'!BX15</f>
        <v>37</v>
      </c>
      <c r="CD22" s="1063">
        <f>'2G-3G'!BY15</f>
        <v>897.4</v>
      </c>
      <c r="CE22" s="1523"/>
      <c r="CF22" s="1523"/>
      <c r="CG22" s="387" t="str">
        <f>IF(OR($BY$3="",$BY$3=""),"",$BY$3)</f>
        <v/>
      </c>
      <c r="CH22" s="387">
        <f>BZ22</f>
        <v/>
      </c>
      <c r="CI22" s="387">
        <f>CA22</f>
        <v/>
      </c>
      <c r="CJ22" s="1527"/>
      <c r="CK22" s="2042"/>
      <c r="CL22" s="206">
        <f>IF(CF22=""," ",IF(ABS(CE22-CF22)&lt;=0.125,"Valid","Not valid"))</f>
        <v/>
      </c>
      <c r="CM22" s="207">
        <f> IF(CE22="","",IF(AND(CE22&lt;&gt;"",CF22=""),IF(CE22&gt;=1,"Medir+Sig Max","No"),IF(CF22&lt;&gt;"",IF(CF22&gt;=1,"Medir+Sig Max","No"),"")))</f>
        <v/>
      </c>
      <c r="CN22" s="208">
        <f>IF(UPPER(CM1)="X",IF(CF22=""," ",IF((ABS(CE22)&lt;5)*AND(ABS(CF22)&lt;5)*AND(ABS(CO22)&lt;5),"Solo si es max","Medir")),IF(CF22=""," ",IF((ABS(CE22)&lt;1)*AND(ABS(CF22)&lt;1)*AND(ABS(CO22)&lt;1),"Solo si es max","Medir")))</f>
        <v/>
      </c>
      <c r="CO22" s="220">
        <f>IF(CK22="",IF(AND(CE22="",CF22=""),"",IF(CF22="",IF(DE22&gt;1,ROUND(DE22*CE22,3),CE22),IF(DE22&gt;1,ROUND(DE22*CF22,3),CF22))),IF(AND(CE22="",CF22=""),"",IF(CF22="",IF(DE22&gt;1,ROUND(DE22*CE22*(1/(CK22)),3),CE22*(1/(CK22))),IF(DE22&gt;1,ROUND(DE22*CF22*(1/(CK22)),3),CF22*(1/(CK22))))))</f>
        <v/>
      </c>
      <c r="CP22" s="2043">
        <f>$CP$3</f>
        <v/>
      </c>
      <c r="CQ22" s="1472">
        <f>IF(CO22="","",IF(CO22&gt;CP22,"Fail","Pass"))</f>
        <v/>
      </c>
      <c r="CR22" s="1481">
        <f>IF(AND(MAX(CO21:CO28)=CO22,CO22&lt;&gt;0),COUNT($CR$3:CR21)+1,"")</f>
        <v/>
      </c>
      <c r="CS22" s="1565">
        <f>MyTimestamp(CO22)</f>
        <v/>
      </c>
      <c r="CT22" s="1531">
        <f>IF(CE22="",0,15)+IF(CF22="",0,15)</f>
        <v/>
      </c>
      <c r="CU22" s="1532">
        <f>IF(CT22=0,0,2)</f>
        <v/>
      </c>
      <c r="CV22" s="859" t="inlineStr">
        <is>
          <t>S/02</t>
        </is>
      </c>
      <c r="CW22" s="859" t="inlineStr">
        <is>
          <t>Dasy6</t>
        </is>
      </c>
      <c r="CX22" s="2038"/>
      <c r="CY22" s="2044"/>
      <c r="CZ22" s="1543">
        <f>10^(CJ22/20)*100-100</f>
        <v/>
      </c>
      <c r="DA22" s="1319">
        <f>IF('Tune-Up'!$H$12="","",'Tune-Up'!$H$12)</f>
        <v/>
      </c>
      <c r="DB22" s="695">
        <f>'2G-3G'!BZ15</f>
        <v/>
      </c>
      <c r="DC22" s="797">
        <f>IF(DA22="","",10^(DA22/10))</f>
        <v/>
      </c>
      <c r="DD22" s="1363">
        <f>IF(ISNUMBER(DB22)=FALSE,"",10^(DB22/10))</f>
        <v/>
      </c>
      <c r="DE22" s="1543">
        <f>IF(AND(ISNUMBER(DC22),ISNUMBER(DD22)),IF(DC22/DD22&gt;1,ROUND((DC22)/DD22,3),1),1)</f>
        <v/>
      </c>
      <c r="DF22" s="1541"/>
      <c r="DG22" s="1541"/>
      <c r="DH22" s="1541"/>
      <c r="DI22" s="1541"/>
      <c r="DJ22" s="1541"/>
      <c r="DK22" s="1541"/>
      <c r="DL22" s="1541"/>
      <c r="DM22" s="1541"/>
      <c r="DN22" s="1541"/>
      <c r="DO22" s="1541"/>
      <c r="DP22" s="1541"/>
      <c r="DQ22" s="1541"/>
      <c r="DR22" s="1541"/>
    </row>
    <row r="23" ht="12.75" x14ac:dyDescent="0.2">
      <c r="A23" s="1541"/>
      <c r="B23" s="1541"/>
      <c r="C23"/>
      <c r="D23" s="130">
        <f>IF(BX$21="Close to Ear","EN 62209-1","EN 62209-2")</f>
        <v/>
      </c>
      <c r="E23" s="130">
        <f>IF(CG23="Close to Ear","2016","2010/A1:2019")</f>
        <v/>
      </c>
      <c r="F23" s="1488" t="inlineStr">
        <is>
          <t>5.1</t>
        </is>
      </c>
      <c r="G23" s="1497"/>
      <c r="H23" s="120">
        <f>BV23</f>
        <v/>
      </c>
      <c r="I23" s="120">
        <f>BW23</f>
        <v/>
      </c>
      <c r="J23" s="687" t="str">
        <f>BT23</f>
        <v>GSM</v>
      </c>
      <c r="K23" s="194">
        <f>BU23</f>
        <v>900</v>
      </c>
      <c r="L23" s="115"/>
      <c r="M23" s="120">
        <f>BZ23</f>
        <v>0</v>
      </c>
      <c r="N23" s="119"/>
      <c r="O23" s="131"/>
      <c r="P23" s="6597"/>
      <c r="Q23" s="131"/>
      <c r="R23" s="131"/>
      <c r="S23" s="120">
        <f>CG23</f>
        <v>0</v>
      </c>
      <c r="T23" s="120">
        <f>CC23</f>
        <v>37</v>
      </c>
      <c r="U23" s="120">
        <f>CD23</f>
        <v>897.4</v>
      </c>
      <c r="V23" s="119"/>
      <c r="W23" s="197">
        <f>CK23*100</f>
        <v/>
      </c>
      <c r="X23" s="119"/>
      <c r="Y23" s="119"/>
      <c r="Z23" s="119"/>
      <c r="AA23" s="115"/>
      <c r="AB23" s="115"/>
      <c r="AC23" s="689">
        <f>IF(OR(BX$21="Close to Ear",BX$21="Close to Head"),"Head",IF(BX$21="Extremity","Extremity","Body"))</f>
        <v/>
      </c>
      <c r="AD23" s="690">
        <f>CA23</f>
        <v/>
      </c>
      <c r="AE23" s="688">
        <f>CB23</f>
        <v/>
      </c>
      <c r="AF23" s="115"/>
      <c r="AG23" s="808">
        <f>IF(AZ23="","N/A",IF(CQ23="Pass","P","F"))</f>
        <v/>
      </c>
      <c r="AH23" s="129"/>
      <c r="AI23" s="129"/>
      <c r="AJ23" s="129"/>
      <c r="AK23" s="119"/>
      <c r="AL23" s="115"/>
      <c r="AM23" s="119"/>
      <c r="AN23" s="119"/>
      <c r="AO23" s="692"/>
      <c r="AP23" s="692"/>
      <c r="AQ23" s="692"/>
      <c r="AR23" s="692"/>
      <c r="AS23" s="692"/>
      <c r="AT23" s="691">
        <f>CE23</f>
        <v/>
      </c>
      <c r="AU23" s="691">
        <f>CF23</f>
        <v/>
      </c>
      <c r="AV23" s="813"/>
      <c r="AW23" s="813"/>
      <c r="AX23" s="197">
        <f>CZ23</f>
        <v/>
      </c>
      <c r="AY23" s="197">
        <f>DE23</f>
        <v/>
      </c>
      <c r="AZ23" s="3379">
        <f>CO23</f>
        <v/>
      </c>
      <c r="BA23" s="3380"/>
      <c r="BB23" s="197">
        <f>CP23</f>
        <v/>
      </c>
      <c r="BC23" s="813"/>
      <c r="BD23" s="197">
        <f>CR23</f>
        <v/>
      </c>
      <c r="BE23" s="121">
        <f>CS23</f>
        <v/>
      </c>
      <c r="BF23" s="122">
        <f>CT23*60</f>
        <v/>
      </c>
      <c r="BG23" s="121">
        <f>BE23</f>
        <v/>
      </c>
      <c r="BH23" s="122">
        <f>CU23*60</f>
        <v/>
      </c>
      <c r="BI23" s="122">
        <f>CV23</f>
        <v/>
      </c>
      <c r="BJ23" s="117"/>
      <c r="BK23" s="812">
        <f>Overview!$E$7</f>
        <v/>
      </c>
      <c r="BL23" s="117"/>
      <c r="BM23" s="836">
        <f>CW23</f>
        <v/>
      </c>
      <c r="BN23" s="812">
        <f>Overview!$P$153</f>
        <v/>
      </c>
      <c r="BO23" s="117"/>
      <c r="BP23" s="117"/>
      <c r="BQ23" s="115"/>
      <c r="BR23" s="1478" t="inlineStr">
        <is>
          <t>N/A</t>
        </is>
      </c>
      <c r="BS23" s="1548"/>
      <c r="BT23" s="1783" t="inlineStr">
        <is>
          <t>GSM</t>
        </is>
      </c>
      <c r="BU23" s="1783">
        <v>900</v>
      </c>
      <c r="BV23" s="400">
        <f>Overview!$H$28</f>
        <v/>
      </c>
      <c r="BW23" s="2010"/>
      <c r="BX23" s="1783"/>
      <c r="BY23" s="2040"/>
      <c r="BZ23" s="2040"/>
      <c r="CA23" s="1997" t="inlineStr">
        <is>
          <t>Left Edge</t>
        </is>
      </c>
      <c r="CB23" s="200">
        <v>5</v>
      </c>
      <c r="CC23" s="1063">
        <f>'2G-3G'!BX15</f>
        <v>37</v>
      </c>
      <c r="CD23" s="1063">
        <f>'2G-3G'!BY15</f>
        <v>897.4</v>
      </c>
      <c r="CE23" s="1523"/>
      <c r="CF23" s="1523"/>
      <c r="CG23" s="387" t="str">
        <f>IF(OR($BY$3="",$BY$3=""),"",$BY$3)</f>
        <v/>
      </c>
      <c r="CH23" s="387">
        <f>BZ23</f>
        <v/>
      </c>
      <c r="CI23" s="387">
        <f>CA23</f>
        <v/>
      </c>
      <c r="CJ23" s="1527"/>
      <c r="CK23" s="2042"/>
      <c r="CL23" s="206">
        <f>IF(CF23=""," ",IF(ABS(CE23-CF23)&lt;=0.125,"Valid","Not valid"))</f>
        <v/>
      </c>
      <c r="CM23" s="207">
        <f> IF(CE23="","",IF(AND(CE23&lt;&gt;"",CF23=""),IF(CE23&gt;=1,"Medir+Sig Max","No"),IF(CF23&lt;&gt;"",IF(CF23&gt;=1,"Medir+Sig Max","No"),"")))</f>
        <v/>
      </c>
      <c r="CN23" s="208">
        <f>IF(UPPER(CM1)="X",IF(CF23=""," ",IF((ABS(CE23)&lt;5)*AND(ABS(CF23)&lt;5)*AND(ABS(CO23)&lt;5),"Solo si es max","Medir")),IF(CF23=""," ",IF((ABS(CE23)&lt;1)*AND(ABS(CF23)&lt;1)*AND(ABS(CO23)&lt;1),"Solo si es max","Medir")))</f>
        <v/>
      </c>
      <c r="CO23" s="220">
        <f>IF(CK23="",IF(AND(CE23="",CF23=""),"",IF(CF23="",IF(DE23&gt;1,ROUND(DE23*CE23,3),CE23),IF(DE23&gt;1,ROUND(DE23*CF23,3),CF23))),IF(AND(CE23="",CF23=""),"",IF(CF23="",IF(DE23&gt;1,ROUND(DE23*CE23*(1/(CK23)),3),CE23*(1/(CK23))),IF(DE23&gt;1,ROUND(DE23*CF23*(1/(CK23)),3),CF23*(1/(CK23))))))</f>
        <v/>
      </c>
      <c r="CP23" s="2043">
        <f>$CP$3</f>
        <v/>
      </c>
      <c r="CQ23" s="1472">
        <f>IF(CO23="","",IF(CO23&gt;CP23,"Fail","Pass"))</f>
        <v/>
      </c>
      <c r="CR23" s="1481">
        <f>IF(AND(MAX(CO21:CO28)=CO23,CO23&lt;&gt;0),COUNT($CR$3:CR22)+1,"")</f>
        <v/>
      </c>
      <c r="CS23" s="1565">
        <f>MyTimestamp(CO23)</f>
        <v/>
      </c>
      <c r="CT23" s="1531">
        <f>IF(CE23="",0,15)+IF(CF23="",0,15)</f>
        <v/>
      </c>
      <c r="CU23" s="1532">
        <f>IF(CT23=0,0,2)</f>
        <v/>
      </c>
      <c r="CV23" s="859" t="inlineStr">
        <is>
          <t>S/02</t>
        </is>
      </c>
      <c r="CW23" s="859" t="inlineStr">
        <is>
          <t>Dasy6</t>
        </is>
      </c>
      <c r="CX23" s="2038"/>
      <c r="CY23" s="2044"/>
      <c r="CZ23" s="1543">
        <f>10^(CJ23/20)*100-100</f>
        <v/>
      </c>
      <c r="DA23" s="1319">
        <f>IF('Tune-Up'!$H$12="","",'Tune-Up'!$H$12)</f>
        <v/>
      </c>
      <c r="DB23" s="695">
        <f>'2G-3G'!BZ15</f>
        <v/>
      </c>
      <c r="DC23" s="797">
        <f>IF(DA23="","",10^(DA23/10))</f>
        <v/>
      </c>
      <c r="DD23" s="1363">
        <f>IF(ISNUMBER(DB23)=FALSE,"",10^(DB23/10))</f>
        <v/>
      </c>
      <c r="DE23" s="1543">
        <f>IF(AND(ISNUMBER(DC23),ISNUMBER(DD23)),IF(DC23/DD23&gt;1,ROUND((DC23)/DD23,3),1),1)</f>
        <v/>
      </c>
      <c r="DF23" s="1541"/>
      <c r="DG23" s="1541"/>
      <c r="DH23" s="1541"/>
      <c r="DI23" s="1541"/>
      <c r="DJ23" s="1541"/>
      <c r="DK23" s="1541"/>
      <c r="DL23" s="1541"/>
      <c r="DM23" s="1541"/>
      <c r="DN23" s="1541"/>
      <c r="DO23" s="1541"/>
      <c r="DP23" s="1541"/>
      <c r="DQ23" s="1541"/>
      <c r="DR23" s="1541"/>
    </row>
    <row r="24" ht="12.75" x14ac:dyDescent="0.2">
      <c r="A24" s="1541"/>
      <c r="B24" s="1541"/>
      <c r="C24"/>
      <c r="D24" s="130">
        <f>IF(BX$21="Close to Ear","EN 62209-1","EN 62209-2")</f>
        <v/>
      </c>
      <c r="E24" s="130">
        <f>IF(CG24="Close to Ear","2016","2010/A1:2019")</f>
        <v/>
      </c>
      <c r="F24" s="1488" t="inlineStr">
        <is>
          <t>5.1</t>
        </is>
      </c>
      <c r="G24" s="1497"/>
      <c r="H24" s="120">
        <f>BV24</f>
        <v/>
      </c>
      <c r="I24" s="120">
        <f>BW24</f>
        <v/>
      </c>
      <c r="J24" s="687" t="str">
        <f>BT24</f>
        <v>GSM</v>
      </c>
      <c r="K24" s="194">
        <f>BU24</f>
        <v>900</v>
      </c>
      <c r="L24" s="115"/>
      <c r="M24" s="120">
        <f>BZ24</f>
        <v>0</v>
      </c>
      <c r="N24" s="119"/>
      <c r="O24" s="131"/>
      <c r="P24" s="6597"/>
      <c r="Q24" s="131"/>
      <c r="R24" s="131"/>
      <c r="S24" s="120">
        <f>CG24</f>
        <v>0</v>
      </c>
      <c r="T24" s="120">
        <f>CC24</f>
        <v>37</v>
      </c>
      <c r="U24" s="120">
        <f>CD24</f>
        <v>897.4</v>
      </c>
      <c r="V24" s="119"/>
      <c r="W24" s="197">
        <f>CK24*100</f>
        <v/>
      </c>
      <c r="X24" s="119"/>
      <c r="Y24" s="119"/>
      <c r="Z24" s="119"/>
      <c r="AA24" s="115"/>
      <c r="AB24" s="115"/>
      <c r="AC24" s="689">
        <f>IF(OR(BX$21="Close to Ear",BX$21="Close to Head"),"Head",IF(BX$21="Extremity","Extremity","Body"))</f>
        <v/>
      </c>
      <c r="AD24" s="690">
        <f>CA24</f>
        <v/>
      </c>
      <c r="AE24" s="688">
        <f>CB24</f>
        <v/>
      </c>
      <c r="AF24" s="115"/>
      <c r="AG24" s="808">
        <f>IF(AZ24="","N/A",IF(CQ24="Pass","P","F"))</f>
        <v/>
      </c>
      <c r="AH24" s="129"/>
      <c r="AI24" s="129"/>
      <c r="AJ24" s="129"/>
      <c r="AK24" s="119"/>
      <c r="AL24" s="115"/>
      <c r="AM24" s="119"/>
      <c r="AN24" s="119"/>
      <c r="AO24" s="692"/>
      <c r="AP24" s="692"/>
      <c r="AQ24" s="692"/>
      <c r="AR24" s="692"/>
      <c r="AS24" s="692"/>
      <c r="AT24" s="691">
        <f>CE24</f>
        <v/>
      </c>
      <c r="AU24" s="691">
        <f>CF24</f>
        <v/>
      </c>
      <c r="AV24" s="813"/>
      <c r="AW24" s="813"/>
      <c r="AX24" s="197">
        <f>CZ24</f>
        <v/>
      </c>
      <c r="AY24" s="197">
        <f>DE24</f>
        <v/>
      </c>
      <c r="AZ24" s="3379">
        <f>CO24</f>
        <v/>
      </c>
      <c r="BA24" s="3380"/>
      <c r="BB24" s="197">
        <f>CP24</f>
        <v/>
      </c>
      <c r="BC24" s="813"/>
      <c r="BD24" s="197">
        <f>CR24</f>
        <v/>
      </c>
      <c r="BE24" s="121">
        <f>CS24</f>
        <v/>
      </c>
      <c r="BF24" s="122">
        <f>CT24*60</f>
        <v/>
      </c>
      <c r="BG24" s="121">
        <f>BE24</f>
        <v/>
      </c>
      <c r="BH24" s="122">
        <f>CU24*60</f>
        <v/>
      </c>
      <c r="BI24" s="122">
        <f>CV24</f>
        <v/>
      </c>
      <c r="BJ24" s="117"/>
      <c r="BK24" s="812">
        <f>Overview!$E$7</f>
        <v/>
      </c>
      <c r="BL24" s="117"/>
      <c r="BM24" s="836">
        <f>CW24</f>
        <v/>
      </c>
      <c r="BN24" s="812">
        <f>Overview!$P$153</f>
        <v/>
      </c>
      <c r="BO24" s="117"/>
      <c r="BP24" s="117"/>
      <c r="BQ24" s="115"/>
      <c r="BR24" s="1478" t="inlineStr">
        <is>
          <t>N/A</t>
        </is>
      </c>
      <c r="BS24" s="1548"/>
      <c r="BT24" s="1791" t="inlineStr">
        <is>
          <t>GSM</t>
        </is>
      </c>
      <c r="BU24" s="1791">
        <v>900</v>
      </c>
      <c r="BV24" s="403">
        <f>Overview!$H$28</f>
        <v/>
      </c>
      <c r="BW24" s="2010"/>
      <c r="BX24" s="1791"/>
      <c r="BY24" s="2040"/>
      <c r="BZ24" s="2040"/>
      <c r="CA24" s="1997" t="inlineStr">
        <is>
          <t>Right Edge</t>
        </is>
      </c>
      <c r="CB24" s="200">
        <v>5</v>
      </c>
      <c r="CC24" s="1063">
        <f>'2G-3G'!BX15</f>
        <v>37</v>
      </c>
      <c r="CD24" s="1063">
        <f>'2G-3G'!BY15</f>
        <v>897.4</v>
      </c>
      <c r="CE24" s="1523"/>
      <c r="CF24" s="1523"/>
      <c r="CG24" s="387" t="str">
        <f>IF(OR($BY$3="",$BY$3=""),"",$BY$3)</f>
        <v/>
      </c>
      <c r="CH24" s="387">
        <f>BZ24</f>
        <v/>
      </c>
      <c r="CI24" s="387">
        <f>CA24</f>
        <v/>
      </c>
      <c r="CJ24" s="1527"/>
      <c r="CK24" s="2042"/>
      <c r="CL24" s="206">
        <f>IF(CF24=""," ",IF(ABS(CE24-CF24)&lt;=0.125,"Valid","Not valid"))</f>
        <v/>
      </c>
      <c r="CM24" s="207">
        <f> IF(CE24="","",IF(AND(CE24&lt;&gt;"",CF24=""),IF(CE24&gt;=1,"Medir+Sig Max","No"),IF(CF24&lt;&gt;"",IF(CF24&gt;=1,"Medir+Sig Max","No"),"")))</f>
        <v/>
      </c>
      <c r="CN24" s="208">
        <f>IF(UPPER(CM1)="X",IF(CF24=""," ",IF((ABS(CE24)&lt;5)*AND(ABS(CF24)&lt;5)*AND(ABS(CO24)&lt;5),"Solo si es max","Medir")),IF(CF24=""," ",IF((ABS(CE24)&lt;1)*AND(ABS(CF24)&lt;1)*AND(ABS(CO24)&lt;1),"Solo si es max","Medir")))</f>
        <v/>
      </c>
      <c r="CO24" s="220">
        <f>IF(CK24="",IF(AND(CE24="",CF24=""),"",IF(CF24="",IF(DE24&gt;1,ROUND(DE24*CE24,3),CE24),IF(DE24&gt;1,ROUND(DE24*CF24,3),CF24))),IF(AND(CE24="",CF24=""),"",IF(CF24="",IF(DE24&gt;1,ROUND(DE24*CE24*(1/(CK24)),3),CE24*(1/(CK24))),IF(DE24&gt;1,ROUND(DE24*CF24*(1/(CK24)),3),CF24*(1/(CK24))))))</f>
        <v/>
      </c>
      <c r="CP24" s="2043">
        <f>$CP$3</f>
        <v/>
      </c>
      <c r="CQ24" s="1472">
        <f>IF(CO24="","",IF(CO24&gt;CP24,"Fail","Pass"))</f>
        <v/>
      </c>
      <c r="CR24" s="1481">
        <f>IF(AND(MAX(CO21:CO28)=CO24,CO24&lt;&gt;0),COUNT($CR$3:CR23)+1,"")</f>
        <v/>
      </c>
      <c r="CS24" s="1565">
        <f>MyTimestamp(CO24)</f>
        <v/>
      </c>
      <c r="CT24" s="1531">
        <f>IF(CE24="",0,15)+IF(CF24="",0,15)</f>
        <v/>
      </c>
      <c r="CU24" s="1532">
        <f>IF(CT24=0,0,2)</f>
        <v/>
      </c>
      <c r="CV24" s="859" t="inlineStr">
        <is>
          <t>S/02</t>
        </is>
      </c>
      <c r="CW24" s="859" t="inlineStr">
        <is>
          <t>Dasy6</t>
        </is>
      </c>
      <c r="CX24" s="2038"/>
      <c r="CY24" s="2044"/>
      <c r="CZ24" s="1543">
        <f>10^(CJ24/20)*100-100</f>
        <v/>
      </c>
      <c r="DA24" s="1319">
        <f>IF('Tune-Up'!$H$12="","",'Tune-Up'!$H$12)</f>
        <v/>
      </c>
      <c r="DB24" s="695">
        <f>'2G-3G'!BZ15</f>
        <v/>
      </c>
      <c r="DC24" s="797">
        <f>IF(DA24="","",10^(DA24/10))</f>
        <v/>
      </c>
      <c r="DD24" s="1363">
        <f>IF(ISNUMBER(DB24)=FALSE,"",10^(DB24/10))</f>
        <v/>
      </c>
      <c r="DE24" s="1543">
        <f>IF(AND(ISNUMBER(DC24),ISNUMBER(DD24)),IF(DC24/DD24&gt;1,ROUND((DC24)/DD24,3),1),1)</f>
        <v/>
      </c>
      <c r="DF24" s="1541"/>
      <c r="DG24" s="1541"/>
      <c r="DH24" s="1541"/>
      <c r="DI24" s="1541"/>
      <c r="DJ24" s="1541"/>
      <c r="DK24" s="1541"/>
      <c r="DL24" s="1541"/>
      <c r="DM24" s="1541"/>
      <c r="DN24" s="1541"/>
      <c r="DO24" s="1541"/>
      <c r="DP24" s="1541"/>
      <c r="DQ24" s="1541"/>
      <c r="DR24" s="1541"/>
    </row>
    <row r="25" ht="12.75" x14ac:dyDescent="0.2">
      <c r="A25" s="1541"/>
      <c r="B25" s="1541"/>
      <c r="C25"/>
      <c r="D25" s="130">
        <f>IF(BX$21="Close to Ear","EN 62209-1","EN 62209-2")</f>
        <v/>
      </c>
      <c r="E25" s="130">
        <f>IF(CG25="Close to Ear","2016","2010/A1:2019")</f>
        <v/>
      </c>
      <c r="F25" s="1488" t="inlineStr">
        <is>
          <t>5.1</t>
        </is>
      </c>
      <c r="G25" s="1497"/>
      <c r="H25" s="120">
        <f>BV25</f>
        <v/>
      </c>
      <c r="I25" s="120">
        <f>BW25</f>
        <v/>
      </c>
      <c r="J25" s="687" t="str">
        <f>BT25</f>
        <v>GSM</v>
      </c>
      <c r="K25" s="194">
        <f>BU25</f>
        <v>900</v>
      </c>
      <c r="L25" s="115"/>
      <c r="M25" s="120">
        <f>BZ25</f>
        <v>0</v>
      </c>
      <c r="N25" s="119"/>
      <c r="O25" s="131"/>
      <c r="P25" s="6597"/>
      <c r="Q25" s="131"/>
      <c r="R25" s="131"/>
      <c r="S25" s="120">
        <f>CG25</f>
        <v>0</v>
      </c>
      <c r="T25" s="120">
        <f>CC25</f>
        <v>37</v>
      </c>
      <c r="U25" s="120">
        <f>CD25</f>
        <v>897.4</v>
      </c>
      <c r="V25" s="119"/>
      <c r="W25" s="197">
        <f>CK25*100</f>
        <v/>
      </c>
      <c r="X25" s="119"/>
      <c r="Y25" s="119"/>
      <c r="Z25" s="119"/>
      <c r="AA25" s="115"/>
      <c r="AB25" s="115"/>
      <c r="AC25" s="689">
        <f>IF(OR(BX$21="Close to Ear",BX$21="Close to Head"),"Head",IF(BX$21="Extremity","Extremity","Body"))</f>
        <v/>
      </c>
      <c r="AD25" s="690">
        <f>CA25</f>
        <v/>
      </c>
      <c r="AE25" s="688">
        <f>CB25</f>
        <v/>
      </c>
      <c r="AF25" s="115"/>
      <c r="AG25" s="808">
        <f>IF(AZ25="","N/A",IF(CQ25="Pass","P","F"))</f>
        <v/>
      </c>
      <c r="AH25" s="129"/>
      <c r="AI25" s="129"/>
      <c r="AJ25" s="129"/>
      <c r="AK25" s="119"/>
      <c r="AL25" s="115"/>
      <c r="AM25" s="119"/>
      <c r="AN25" s="119"/>
      <c r="AO25" s="692"/>
      <c r="AP25" s="692"/>
      <c r="AQ25" s="692"/>
      <c r="AR25" s="692"/>
      <c r="AS25" s="692"/>
      <c r="AT25" s="691">
        <f>CE25</f>
        <v/>
      </c>
      <c r="AU25" s="691">
        <f>CF25</f>
        <v/>
      </c>
      <c r="AV25" s="813"/>
      <c r="AW25" s="813"/>
      <c r="AX25" s="197">
        <f>CZ25</f>
        <v/>
      </c>
      <c r="AY25" s="197">
        <f>DE25</f>
        <v/>
      </c>
      <c r="AZ25" s="3379">
        <f>CO25</f>
        <v/>
      </c>
      <c r="BA25" s="3380"/>
      <c r="BB25" s="197">
        <f>CP25</f>
        <v/>
      </c>
      <c r="BC25" s="813"/>
      <c r="BD25" s="197">
        <f>CR25</f>
        <v/>
      </c>
      <c r="BE25" s="121">
        <f>CS25</f>
        <v/>
      </c>
      <c r="BF25" s="122">
        <f>CT25*60</f>
        <v/>
      </c>
      <c r="BG25" s="121">
        <f>BE25</f>
        <v/>
      </c>
      <c r="BH25" s="122">
        <f>CU25*60</f>
        <v/>
      </c>
      <c r="BI25" s="122">
        <f>CV25</f>
        <v/>
      </c>
      <c r="BJ25" s="117"/>
      <c r="BK25" s="812">
        <f>Overview!$E$7</f>
        <v/>
      </c>
      <c r="BL25" s="117"/>
      <c r="BM25" s="836">
        <f>CW25</f>
        <v/>
      </c>
      <c r="BN25" s="812">
        <f>Overview!$P$153</f>
        <v/>
      </c>
      <c r="BO25" s="117"/>
      <c r="BP25" s="117"/>
      <c r="BQ25" s="115"/>
      <c r="BR25" s="1478" t="inlineStr">
        <is>
          <t>N/A</t>
        </is>
      </c>
      <c r="BS25" s="1548"/>
      <c r="BT25" s="1783" t="inlineStr">
        <is>
          <t>GSM</t>
        </is>
      </c>
      <c r="BU25" s="1783">
        <v>900</v>
      </c>
      <c r="BV25" s="400">
        <f>Overview!$H$28</f>
        <v/>
      </c>
      <c r="BW25" s="2010"/>
      <c r="BX25" s="1783"/>
      <c r="BY25" s="2040"/>
      <c r="BZ25" s="2040"/>
      <c r="CA25" s="1997" t="inlineStr">
        <is>
          <t>Top Edge</t>
        </is>
      </c>
      <c r="CB25" s="200">
        <v>5</v>
      </c>
      <c r="CC25" s="1063">
        <f>'2G-3G'!BX15</f>
        <v>37</v>
      </c>
      <c r="CD25" s="1063">
        <f>'2G-3G'!BY15</f>
        <v>897.4</v>
      </c>
      <c r="CE25" s="1523"/>
      <c r="CF25" s="1523"/>
      <c r="CG25" s="387" t="str">
        <f>IF(OR($BY$3="",$BY$3=""),"",$BY$3)</f>
        <v/>
      </c>
      <c r="CH25" s="387">
        <f>BZ25</f>
        <v/>
      </c>
      <c r="CI25" s="387">
        <f>CA25</f>
        <v/>
      </c>
      <c r="CJ25" s="1527"/>
      <c r="CK25" s="2042"/>
      <c r="CL25" s="206">
        <f>IF(CF25=""," ",IF(ABS(CE25-CF25)&lt;=0.125,"Valid","Not valid"))</f>
        <v/>
      </c>
      <c r="CM25" s="207">
        <f> IF(CE25="","",IF(AND(CE25&lt;&gt;"",CF25=""),IF(CE25&gt;=1,"Medir+Sig Max","No"),IF(CF25&lt;&gt;"",IF(CF25&gt;=1,"Medir+Sig Max","No"),"")))</f>
        <v/>
      </c>
      <c r="CN25" s="208">
        <f>IF(UPPER(CM1)="X",IF(CF25=""," ",IF((ABS(CE25)&lt;5)*AND(ABS(CF25)&lt;5)*AND(ABS(CO25)&lt;5),"Solo si es max","Medir")),IF(CF25=""," ",IF((ABS(CE25)&lt;1)*AND(ABS(CF25)&lt;1)*AND(ABS(CO25)&lt;1),"Solo si es max","Medir")))</f>
        <v/>
      </c>
      <c r="CO25" s="220">
        <f>IF(CK25="",IF(AND(CE25="",CF25=""),"",IF(CF25="",IF(DE25&gt;1,ROUND(DE25*CE25,3),CE25),IF(DE25&gt;1,ROUND(DE25*CF25,3),CF25))),IF(AND(CE25="",CF25=""),"",IF(CF25="",IF(DE25&gt;1,ROUND(DE25*CE25*(1/(CK25)),3),CE25*(1/(CK25))),IF(DE25&gt;1,ROUND(DE25*CF25*(1/(CK25)),3),CF25*(1/(CK25))))))</f>
        <v/>
      </c>
      <c r="CP25" s="2043">
        <f>$CP$3</f>
        <v/>
      </c>
      <c r="CQ25" s="1472">
        <f>IF(CO25="","",IF(CO25&gt;CP25,"Fail","Pass"))</f>
        <v/>
      </c>
      <c r="CR25" s="1481">
        <f>IF(AND(MAX(CO21:CO28)=CO25,CO25&lt;&gt;0),COUNT($CR$3:CR24)+1,"")</f>
        <v/>
      </c>
      <c r="CS25" s="1565">
        <f>MyTimestamp(CO25)</f>
        <v/>
      </c>
      <c r="CT25" s="1531">
        <f>IF(CE25="",0,15)+IF(CF25="",0,15)</f>
        <v/>
      </c>
      <c r="CU25" s="1532">
        <f>IF(CT25=0,0,2)</f>
        <v/>
      </c>
      <c r="CV25" s="859" t="inlineStr">
        <is>
          <t>S/02</t>
        </is>
      </c>
      <c r="CW25" s="859" t="inlineStr">
        <is>
          <t>Dasy6</t>
        </is>
      </c>
      <c r="CX25" s="2038"/>
      <c r="CY25" s="2044"/>
      <c r="CZ25" s="1543">
        <f>10^(CJ25/20)*100-100</f>
        <v/>
      </c>
      <c r="DA25" s="1319">
        <f>IF('Tune-Up'!$H$12="","",'Tune-Up'!$H$12)</f>
        <v/>
      </c>
      <c r="DB25" s="695">
        <f>'2G-3G'!BZ15</f>
        <v/>
      </c>
      <c r="DC25" s="797">
        <f>IF(DA25="","",10^(DA25/10))</f>
        <v/>
      </c>
      <c r="DD25" s="1363">
        <f>IF(ISNUMBER(DB25)=FALSE,"",10^(DB25/10))</f>
        <v/>
      </c>
      <c r="DE25" s="1543">
        <f>IF(AND(ISNUMBER(DC25),ISNUMBER(DD25)),IF(DC25/DD25&gt;1,ROUND((DC25)/DD25,3),1),1)</f>
        <v/>
      </c>
      <c r="DF25" s="1541"/>
      <c r="DG25" s="1541"/>
      <c r="DH25" s="1541"/>
      <c r="DI25" s="1541"/>
      <c r="DJ25" s="1541"/>
      <c r="DK25" s="1541"/>
      <c r="DL25" s="1541"/>
      <c r="DM25" s="1541"/>
      <c r="DN25" s="1541"/>
      <c r="DO25" s="1541"/>
      <c r="DP25" s="1541"/>
      <c r="DQ25" s="1541"/>
      <c r="DR25" s="1541"/>
    </row>
    <row r="26" ht="12.75" x14ac:dyDescent="0.2">
      <c r="A26" s="1541"/>
      <c r="B26" s="1541"/>
      <c r="C26"/>
      <c r="D26" s="130">
        <f>IF(BX$21="Close to Ear","EN 62209-1","EN 62209-2")</f>
        <v/>
      </c>
      <c r="E26" s="130">
        <f>IF(CG26="Close to Ear","2016","2010/A1:2019")</f>
        <v/>
      </c>
      <c r="F26" s="1488" t="inlineStr">
        <is>
          <t>5.1</t>
        </is>
      </c>
      <c r="G26" s="1497"/>
      <c r="H26" s="120">
        <f>BV26</f>
        <v/>
      </c>
      <c r="I26" s="120">
        <f>BW26</f>
        <v/>
      </c>
      <c r="J26" s="687" t="str">
        <f>BT26</f>
        <v>GSM</v>
      </c>
      <c r="K26" s="194">
        <f>BU26</f>
        <v>900</v>
      </c>
      <c r="L26" s="115"/>
      <c r="M26" s="120">
        <f>BZ26</f>
        <v>0</v>
      </c>
      <c r="N26" s="119"/>
      <c r="O26" s="131"/>
      <c r="P26" s="6597"/>
      <c r="Q26" s="131"/>
      <c r="R26" s="131"/>
      <c r="S26" s="120">
        <f>CG26</f>
        <v>0</v>
      </c>
      <c r="T26" s="120">
        <f>CC26</f>
        <v>37</v>
      </c>
      <c r="U26" s="120">
        <f>CD26</f>
        <v>897.4</v>
      </c>
      <c r="V26" s="119"/>
      <c r="W26" s="197">
        <f>CK26*100</f>
        <v/>
      </c>
      <c r="X26" s="119"/>
      <c r="Y26" s="119"/>
      <c r="Z26" s="119"/>
      <c r="AA26" s="115"/>
      <c r="AB26" s="115"/>
      <c r="AC26" s="689">
        <f>IF(OR(BX$21="Close to Ear",BX$21="Close to Head"),"Head",IF(BX$21="Extremity","Extremity","Body"))</f>
        <v/>
      </c>
      <c r="AD26" s="690">
        <f>CA26</f>
        <v/>
      </c>
      <c r="AE26" s="688">
        <f>CB26</f>
        <v/>
      </c>
      <c r="AF26" s="115"/>
      <c r="AG26" s="808">
        <f>IF(AZ26="","N/A",IF(CQ26="Pass","P","F"))</f>
        <v/>
      </c>
      <c r="AH26" s="129"/>
      <c r="AI26" s="129"/>
      <c r="AJ26" s="129"/>
      <c r="AK26" s="119"/>
      <c r="AL26" s="115"/>
      <c r="AM26" s="119"/>
      <c r="AN26" s="119"/>
      <c r="AO26" s="692"/>
      <c r="AP26" s="692"/>
      <c r="AQ26" s="692"/>
      <c r="AR26" s="692"/>
      <c r="AS26" s="692"/>
      <c r="AT26" s="691">
        <f>CE26</f>
        <v/>
      </c>
      <c r="AU26" s="691">
        <f>CF26</f>
        <v/>
      </c>
      <c r="AV26" s="813"/>
      <c r="AW26" s="813"/>
      <c r="AX26" s="197">
        <f>CZ26</f>
        <v/>
      </c>
      <c r="AY26" s="197">
        <f>DE26</f>
        <v/>
      </c>
      <c r="AZ26" s="3379">
        <f>CO26</f>
        <v/>
      </c>
      <c r="BA26" s="3380"/>
      <c r="BB26" s="197">
        <f>CP26</f>
        <v/>
      </c>
      <c r="BC26" s="813"/>
      <c r="BD26" s="197">
        <f>CR26</f>
        <v/>
      </c>
      <c r="BE26" s="121">
        <f>CS26</f>
        <v/>
      </c>
      <c r="BF26" s="122">
        <f>CT26*60</f>
        <v/>
      </c>
      <c r="BG26" s="121">
        <f>BE26</f>
        <v/>
      </c>
      <c r="BH26" s="122">
        <f>CU26*60</f>
        <v/>
      </c>
      <c r="BI26" s="122">
        <f>CV26</f>
        <v/>
      </c>
      <c r="BJ26" s="117"/>
      <c r="BK26" s="812">
        <f>Overview!$E$7</f>
        <v/>
      </c>
      <c r="BL26" s="117"/>
      <c r="BM26" s="836">
        <f>CW26</f>
        <v/>
      </c>
      <c r="BN26" s="812">
        <f>Overview!$P$153</f>
        <v/>
      </c>
      <c r="BO26" s="117"/>
      <c r="BP26" s="117"/>
      <c r="BQ26" s="115"/>
      <c r="BR26" s="1478" t="inlineStr">
        <is>
          <t>N/A</t>
        </is>
      </c>
      <c r="BS26" s="1548"/>
      <c r="BT26" s="1783" t="inlineStr">
        <is>
          <t>GSM</t>
        </is>
      </c>
      <c r="BU26" s="1783">
        <v>900</v>
      </c>
      <c r="BV26" s="400">
        <f>Overview!$H$28</f>
        <v/>
      </c>
      <c r="BW26" s="2010"/>
      <c r="BX26" s="1783"/>
      <c r="BY26" s="2040"/>
      <c r="BZ26" s="2040"/>
      <c r="CA26" s="1997" t="inlineStr">
        <is>
          <t>Bottom Edge</t>
        </is>
      </c>
      <c r="CB26" s="200">
        <v>5</v>
      </c>
      <c r="CC26" s="1063">
        <f>'2G-3G'!BX15</f>
        <v>37</v>
      </c>
      <c r="CD26" s="1063">
        <f>'2G-3G'!BY15</f>
        <v>897.4</v>
      </c>
      <c r="CE26" s="1523"/>
      <c r="CF26" s="1523"/>
      <c r="CG26" s="387" t="str">
        <f>IF(OR($BY$3="",$BY$3=""),"",$BY$3)</f>
        <v/>
      </c>
      <c r="CH26" s="387">
        <f>BZ26</f>
        <v/>
      </c>
      <c r="CI26" s="387">
        <f>CA26</f>
        <v/>
      </c>
      <c r="CJ26" s="1527"/>
      <c r="CK26" s="2042"/>
      <c r="CL26" s="206">
        <f>IF(CF26=""," ",IF(ABS(CE26-CF26)&lt;=0.125,"Valid","Not valid"))</f>
        <v/>
      </c>
      <c r="CM26" s="207">
        <f> IF(CE26="","",IF(AND(CE26&lt;&gt;"",CF26=""),IF(CE26&gt;=1,"Medir+Sig Max","No"),IF(CF26&lt;&gt;"",IF(CF26&gt;=1,"Medir+Sig Max","No"),"")))</f>
        <v/>
      </c>
      <c r="CN26" s="208">
        <f>IF(UPPER(CM1)="X",IF(CF26=""," ",IF((ABS(CE26)&lt;5)*AND(ABS(CF26)&lt;5)*AND(ABS(CO26)&lt;5),"Solo si es max","Medir")),IF(CF26=""," ",IF((ABS(CE26)&lt;1)*AND(ABS(CF26)&lt;1)*AND(ABS(CO26)&lt;1),"Solo si es max","Medir")))</f>
        <v/>
      </c>
      <c r="CO26" s="220">
        <f>IF(CK26="",IF(AND(CE26="",CF26=""),"",IF(CF26="",IF(DE26&gt;1,ROUND(DE26*CE26,3),CE26),IF(DE26&gt;1,ROUND(DE26*CF26,3),CF26))),IF(AND(CE26="",CF26=""),"",IF(CF26="",IF(DE26&gt;1,ROUND(DE26*CE26*(1/(CK26)),3),CE26*(1/(CK26))),IF(DE26&gt;1,ROUND(DE26*CF26*(1/(CK26)),3),CF26*(1/(CK26))))))</f>
        <v/>
      </c>
      <c r="CP26" s="2043">
        <f>$CP$3</f>
        <v/>
      </c>
      <c r="CQ26" s="1472">
        <f>IF(CO26="","",IF(CO26&gt;CP26,"Fail","Pass"))</f>
        <v/>
      </c>
      <c r="CR26" s="1481">
        <f>IF(AND(MAX(CO21:CO28)=CO26,CO26&lt;&gt;0),COUNT($CR$3:CR25)+1,"")</f>
        <v/>
      </c>
      <c r="CS26" s="1565">
        <f>MyTimestamp(CO26)</f>
        <v/>
      </c>
      <c r="CT26" s="1531">
        <f>IF(CE26="",0,15)+IF(CF26="",0,15)</f>
        <v/>
      </c>
      <c r="CU26" s="1532">
        <f>IF(CT26=0,0,2)</f>
        <v/>
      </c>
      <c r="CV26" s="859" t="inlineStr">
        <is>
          <t>S/02</t>
        </is>
      </c>
      <c r="CW26" s="859" t="inlineStr">
        <is>
          <t>Dasy6</t>
        </is>
      </c>
      <c r="CX26" s="2038"/>
      <c r="CY26" s="2044"/>
      <c r="CZ26" s="1543">
        <f>10^(CJ26/20)*100-100</f>
        <v/>
      </c>
      <c r="DA26" s="1319">
        <f>IF('Tune-Up'!$H$12="","",'Tune-Up'!$H$12)</f>
        <v/>
      </c>
      <c r="DB26" s="695">
        <f>'2G-3G'!BZ15</f>
        <v/>
      </c>
      <c r="DC26" s="797">
        <f>IF(DA26="","",10^(DA26/10))</f>
        <v/>
      </c>
      <c r="DD26" s="1363">
        <f>IF(ISNUMBER(DB26)=FALSE,"",10^(DB26/10))</f>
        <v/>
      </c>
      <c r="DE26" s="1543">
        <f>IF(AND(ISNUMBER(DC26),ISNUMBER(DD26)),IF(DC26/DD26&gt;1,ROUND((DC26)/DD26,3),1),1)</f>
        <v/>
      </c>
      <c r="DF26" s="1541"/>
      <c r="DG26" s="1541"/>
      <c r="DH26" s="1541"/>
      <c r="DI26" s="1541"/>
      <c r="DJ26" s="1541"/>
      <c r="DK26" s="1541"/>
      <c r="DL26" s="1541"/>
      <c r="DM26" s="1541"/>
      <c r="DN26" s="1541"/>
      <c r="DO26" s="1541"/>
      <c r="DP26" s="1541"/>
      <c r="DQ26" s="1541"/>
      <c r="DR26" s="1541"/>
    </row>
    <row r="27" ht="12.75" x14ac:dyDescent="0.2">
      <c r="A27" s="1541"/>
      <c r="B27" s="1541"/>
      <c r="C27"/>
      <c r="D27" s="130">
        <f>IF(BX$21="Close to Ear","EN 62209-1","EN 62209-2")</f>
        <v/>
      </c>
      <c r="E27" s="130">
        <f>IF(CG27="Close to Ear","2016","2010/A1:2019")</f>
        <v/>
      </c>
      <c r="F27" s="1488" t="inlineStr">
        <is>
          <t>5.1</t>
        </is>
      </c>
      <c r="G27" s="1497"/>
      <c r="H27" s="120">
        <f>BV27</f>
        <v/>
      </c>
      <c r="I27" s="120">
        <f>BW27</f>
        <v/>
      </c>
      <c r="J27" s="687" t="str">
        <f>BT27</f>
        <v>GSM</v>
      </c>
      <c r="K27" s="194">
        <f>BU27</f>
        <v>900</v>
      </c>
      <c r="L27" s="115"/>
      <c r="M27" s="120">
        <f>BZ27</f>
        <v>0</v>
      </c>
      <c r="N27" s="119"/>
      <c r="O27" s="131"/>
      <c r="P27" s="6597"/>
      <c r="Q27" s="131"/>
      <c r="R27" s="131"/>
      <c r="S27" s="120">
        <f>CG27</f>
        <v>0</v>
      </c>
      <c r="T27" s="120">
        <f>CC27</f>
        <v>975</v>
      </c>
      <c r="U27" s="120">
        <f>CD27</f>
        <v>880.2</v>
      </c>
      <c r="V27" s="119"/>
      <c r="W27" s="197">
        <f>CK27*100</f>
        <v/>
      </c>
      <c r="X27" s="119"/>
      <c r="Y27" s="119"/>
      <c r="Z27" s="119"/>
      <c r="AA27" s="115"/>
      <c r="AB27" s="115"/>
      <c r="AC27" s="689">
        <f>IF(OR(BX$21="Close to Ear",BX$21="Close to Head"),"Head",IF(BX$21="Extremity","Extremity","Body"))</f>
        <v/>
      </c>
      <c r="AD27" s="690">
        <f>CA27</f>
        <v/>
      </c>
      <c r="AE27" s="688">
        <f>CB27</f>
        <v/>
      </c>
      <c r="AF27" s="115"/>
      <c r="AG27" s="808">
        <f>IF(AZ27="","N/A",IF(CQ27="Pass","P","F"))</f>
        <v/>
      </c>
      <c r="AH27" s="129"/>
      <c r="AI27" s="129"/>
      <c r="AJ27" s="129"/>
      <c r="AK27" s="119"/>
      <c r="AL27" s="115"/>
      <c r="AM27" s="119"/>
      <c r="AN27" s="119"/>
      <c r="AO27" s="692"/>
      <c r="AP27" s="692"/>
      <c r="AQ27" s="692"/>
      <c r="AR27" s="692"/>
      <c r="AS27" s="692"/>
      <c r="AT27" s="691">
        <f>CE27</f>
        <v/>
      </c>
      <c r="AU27" s="691">
        <f>CF27</f>
        <v/>
      </c>
      <c r="AV27" s="813"/>
      <c r="AW27" s="813"/>
      <c r="AX27" s="197">
        <f>CZ27</f>
        <v/>
      </c>
      <c r="AY27" s="197">
        <f>DE27</f>
        <v/>
      </c>
      <c r="AZ27" s="3379">
        <f>CO27</f>
        <v/>
      </c>
      <c r="BA27" s="3380"/>
      <c r="BB27" s="197">
        <f>CP27</f>
        <v/>
      </c>
      <c r="BC27" s="813"/>
      <c r="BD27" s="197">
        <f>CR27</f>
        <v/>
      </c>
      <c r="BE27" s="121">
        <f>CS27</f>
        <v/>
      </c>
      <c r="BF27" s="122">
        <f>CT27*60</f>
        <v/>
      </c>
      <c r="BG27" s="121">
        <f>BE27</f>
        <v/>
      </c>
      <c r="BH27" s="122">
        <f>CU27*60</f>
        <v/>
      </c>
      <c r="BI27" s="122">
        <f>CV27</f>
        <v/>
      </c>
      <c r="BJ27" s="117"/>
      <c r="BK27" s="812">
        <f>Overview!$E$7</f>
        <v/>
      </c>
      <c r="BL27" s="117"/>
      <c r="BM27" s="836">
        <f>CW27</f>
        <v/>
      </c>
      <c r="BN27" s="812">
        <f>Overview!$P$153</f>
        <v/>
      </c>
      <c r="BO27" s="117"/>
      <c r="BP27" s="117"/>
      <c r="BQ27" s="115"/>
      <c r="BR27" s="1478" t="inlineStr">
        <is>
          <t>N/A</t>
        </is>
      </c>
      <c r="BS27" s="1548"/>
      <c r="BT27" s="1783" t="inlineStr">
        <is>
          <t>GSM</t>
        </is>
      </c>
      <c r="BU27" s="1783">
        <v>900</v>
      </c>
      <c r="BV27" s="400">
        <f>Overview!$H$28</f>
        <v/>
      </c>
      <c r="BW27" s="2010"/>
      <c r="BX27" s="1783"/>
      <c r="BY27" s="2040"/>
      <c r="BZ27" s="2040"/>
      <c r="CA27" s="401" t="str">
        <f>IF(COUNT(CF21:CF26)=0,IF(COUNT(CE21:CE26)=0,"TBD",VLOOKUP(MAX(CE21:CE26),CE21:CI26,5,FALSE)),VLOOKUP(MAX(CF21:CF26),CF21:CI26,4,FALSE))</f>
        <v>TBD</v>
      </c>
      <c r="CB27" s="200">
        <v>5</v>
      </c>
      <c r="CC27" s="1063">
        <f>'2G-3G'!BX16</f>
        <v>975</v>
      </c>
      <c r="CD27" s="1063">
        <f>'2G-3G'!BY16</f>
        <v>880.2</v>
      </c>
      <c r="CE27" s="1523"/>
      <c r="CF27" s="1523"/>
      <c r="CG27" s="387" t="str">
        <f>IF(OR($BY$3="",$BY$3=""),"",$BY$3)</f>
        <v/>
      </c>
      <c r="CH27" s="387">
        <f>BZ27</f>
        <v/>
      </c>
      <c r="CI27" s="387">
        <f>CA27</f>
        <v/>
      </c>
      <c r="CJ27" s="1527"/>
      <c r="CK27" s="2042"/>
      <c r="CL27" s="206">
        <f>IF(CF27=""," ",IF(ABS(CE27-CF27)&lt;=0.125,"Valid","Not valid"))</f>
        <v/>
      </c>
      <c r="CM27" s="207">
        <f> IF(CE27="","",IF(AND(CE27&lt;&gt;"",CF27=""),IF(CE27&gt;=1,"Medir+Sig Max","No"),IF(CF27&lt;&gt;"",IF(CF27&gt;=1,"Medir+Sig Max","No"),"")))</f>
        <v/>
      </c>
      <c r="CN27" s="208">
        <f>IF(UPPER(CM1)="X",IF(CF27=""," ",IF((ABS(CE27)&lt;5)*AND(ABS(CF27)&lt;5)*AND(ABS(CO27)&lt;5),"Solo si es max","Medir")),IF(CF27=""," ",IF((ABS(CE27)&lt;1)*AND(ABS(CF27)&lt;1)*AND(ABS(CO27)&lt;1),"Solo si es max","Medir")))</f>
        <v/>
      </c>
      <c r="CO27" s="220">
        <f>IF(CK27="",IF(AND(CE27="",CF27=""),"",IF(CF27="",IF(DE27&gt;1,ROUND(DE27*CE27,3),CE27),IF(DE27&gt;1,ROUND(DE27*CF27,3),CF27))),IF(AND(CE27="",CF27=""),"",IF(CF27="",IF(DE27&gt;1,ROUND(DE27*CE27*(1/(CK27)),3),CE27*(1/(CK27))),IF(DE27&gt;1,ROUND(DE27*CF27*(1/(CK27)),3),CF27*(1/(CK27))))))</f>
        <v/>
      </c>
      <c r="CP27" s="2043">
        <f>$CP$3</f>
        <v/>
      </c>
      <c r="CQ27" s="1472">
        <f>IF(CO27="","",IF(CO27&gt;CP27,"Fail","Pass"))</f>
        <v/>
      </c>
      <c r="CR27" s="1481">
        <f>IF(AND(MAX(CO21:CO28)=CO27,CO27&lt;&gt;0),COUNT($CR$3:CR26)+1,"")</f>
        <v/>
      </c>
      <c r="CS27" s="1565">
        <f>MyTimestamp(CO27)</f>
        <v/>
      </c>
      <c r="CT27" s="1531">
        <f>IF(CE27="",0,15)+IF(CF27="",0,15)</f>
        <v/>
      </c>
      <c r="CU27" s="1532">
        <f>IF(CT27=0,0,2)</f>
        <v/>
      </c>
      <c r="CV27" s="859" t="inlineStr">
        <is>
          <t>S/02</t>
        </is>
      </c>
      <c r="CW27" s="859" t="inlineStr">
        <is>
          <t>Dasy6</t>
        </is>
      </c>
      <c r="CX27" s="2038"/>
      <c r="CY27" s="2044"/>
      <c r="CZ27" s="1543">
        <f>10^(CJ27/20)*100-100</f>
        <v/>
      </c>
      <c r="DA27" s="1319">
        <f>IF('Tune-Up'!$H$12="","",'Tune-Up'!$H$12)</f>
        <v/>
      </c>
      <c r="DB27" s="695">
        <f>'2G-3G'!BZ16</f>
        <v/>
      </c>
      <c r="DC27" s="797">
        <f>IF(DA27="","",10^(DA27/10))</f>
        <v/>
      </c>
      <c r="DD27" s="1363">
        <f>IF(ISNUMBER(DB27)=FALSE,"",10^(DB27/10))</f>
        <v/>
      </c>
      <c r="DE27" s="1543">
        <f>IF(AND(ISNUMBER(DC27),ISNUMBER(DD27)),IF(DC27/DD27&gt;1,ROUND((DC27)/DD27,3),1),1)</f>
        <v/>
      </c>
      <c r="DF27" s="1541"/>
      <c r="DG27" s="1541"/>
      <c r="DH27" s="1541"/>
      <c r="DI27" s="1541"/>
      <c r="DJ27" s="1541"/>
      <c r="DK27" s="1541"/>
      <c r="DL27" s="1541"/>
      <c r="DM27" s="1541"/>
      <c r="DN27" s="1541"/>
      <c r="DO27" s="1541"/>
      <c r="DP27" s="1541"/>
      <c r="DQ27" s="1541"/>
      <c r="DR27" s="1541"/>
    </row>
    <row r="28" ht="12.75" x14ac:dyDescent="0.2">
      <c r="A28" s="1541"/>
      <c r="B28" s="1541"/>
      <c r="C28"/>
      <c r="D28" s="130">
        <f>IF(BX$21="Close to Ear","EN 62209-1","EN 62209-2")</f>
        <v/>
      </c>
      <c r="E28" s="130">
        <f>IF(CG28="Close to Ear","2016","2010/A1:2019")</f>
        <v/>
      </c>
      <c r="F28" s="1488" t="inlineStr">
        <is>
          <t>5.1</t>
        </is>
      </c>
      <c r="G28" s="1497"/>
      <c r="H28" s="120">
        <f>BV28</f>
        <v/>
      </c>
      <c r="I28" s="120">
        <f>BW28</f>
        <v/>
      </c>
      <c r="J28" s="687" t="str">
        <f>BT28</f>
        <v>GSM</v>
      </c>
      <c r="K28" s="194">
        <f>BU28</f>
        <v>900</v>
      </c>
      <c r="L28" s="115"/>
      <c r="M28" s="120">
        <f>BZ28</f>
        <v>0</v>
      </c>
      <c r="N28" s="119"/>
      <c r="O28" s="131"/>
      <c r="P28" s="6597"/>
      <c r="Q28" s="131"/>
      <c r="R28" s="131"/>
      <c r="S28" s="120">
        <f>CG28</f>
        <v>0</v>
      </c>
      <c r="T28" s="120">
        <f>CC28</f>
        <v>124</v>
      </c>
      <c r="U28" s="120">
        <f>CD28</f>
        <v>914.8</v>
      </c>
      <c r="V28" s="119"/>
      <c r="W28" s="197">
        <f>CK28*100</f>
        <v/>
      </c>
      <c r="X28" s="119"/>
      <c r="Y28" s="119"/>
      <c r="Z28" s="119"/>
      <c r="AA28" s="115"/>
      <c r="AB28" s="115"/>
      <c r="AC28" s="689">
        <f>IF(OR(BX$21="Close to Ear",BX$21="Close to Head"),"Head",IF(BX$21="Extremity","Extremity","Body"))</f>
        <v/>
      </c>
      <c r="AD28" s="690">
        <f>CA28</f>
        <v/>
      </c>
      <c r="AE28" s="688">
        <f>CB28</f>
        <v/>
      </c>
      <c r="AF28" s="115"/>
      <c r="AG28" s="808">
        <f>IF(AZ28="","N/A",IF(CQ28="Pass","P","F"))</f>
        <v/>
      </c>
      <c r="AH28" s="129"/>
      <c r="AI28" s="129"/>
      <c r="AJ28" s="129"/>
      <c r="AK28" s="119"/>
      <c r="AL28" s="115"/>
      <c r="AM28" s="119"/>
      <c r="AN28" s="119"/>
      <c r="AO28" s="692"/>
      <c r="AP28" s="692"/>
      <c r="AQ28" s="692"/>
      <c r="AR28" s="692"/>
      <c r="AS28" s="692"/>
      <c r="AT28" s="691">
        <f>CE28</f>
        <v/>
      </c>
      <c r="AU28" s="691">
        <f>CF28</f>
        <v/>
      </c>
      <c r="AV28" s="813"/>
      <c r="AW28" s="813"/>
      <c r="AX28" s="197">
        <f>CZ28</f>
        <v/>
      </c>
      <c r="AY28" s="197">
        <f>DE28</f>
        <v/>
      </c>
      <c r="AZ28" s="3379">
        <f>CO28</f>
        <v/>
      </c>
      <c r="BA28" s="3380"/>
      <c r="BB28" s="197">
        <f>CP28</f>
        <v/>
      </c>
      <c r="BC28" s="813"/>
      <c r="BD28" s="197">
        <f>CR28</f>
        <v/>
      </c>
      <c r="BE28" s="121">
        <f>CS28</f>
        <v/>
      </c>
      <c r="BF28" s="122">
        <f>CT28*60</f>
        <v/>
      </c>
      <c r="BG28" s="121">
        <f>BE28</f>
        <v/>
      </c>
      <c r="BH28" s="122">
        <f>CU28*60</f>
        <v/>
      </c>
      <c r="BI28" s="122">
        <f>CV28</f>
        <v/>
      </c>
      <c r="BJ28" s="117"/>
      <c r="BK28" s="812">
        <f>Overview!$E$7</f>
        <v/>
      </c>
      <c r="BL28" s="117"/>
      <c r="BM28" s="836">
        <f>CW28</f>
        <v/>
      </c>
      <c r="BN28" s="812">
        <f>Overview!$P$153</f>
        <v/>
      </c>
      <c r="BO28" s="117"/>
      <c r="BP28" s="117"/>
      <c r="BQ28" s="115"/>
      <c r="BR28" s="1478" t="inlineStr">
        <is>
          <t>N/A</t>
        </is>
      </c>
      <c r="BS28" s="1548"/>
      <c r="BT28" s="1783" t="inlineStr">
        <is>
          <t>GSM</t>
        </is>
      </c>
      <c r="BU28" s="1783">
        <v>900</v>
      </c>
      <c r="BV28" s="400">
        <f>Overview!$H$28</f>
        <v/>
      </c>
      <c r="BW28" s="2010"/>
      <c r="BX28" s="1800"/>
      <c r="BY28" s="2040"/>
      <c r="BZ28" s="2040"/>
      <c r="CA28" s="404" t="str">
        <f>IF(COUNT(CF21:CF26)=0,IF(COUNT(CE21:CE26)=0,"TBD",VLOOKUP(MAX(CE21:CE26),CE21:CI26,5,FALSE)),VLOOKUP(MAX(CF21:CF26),CF21:CI26,4,FALSE))</f>
        <v>TBD</v>
      </c>
      <c r="CB28" s="201">
        <v>5</v>
      </c>
      <c r="CC28" s="1081">
        <f>'2G-3G'!BX17</f>
        <v>124</v>
      </c>
      <c r="CD28" s="1081">
        <f>'2G-3G'!BY17</f>
        <v>914.8</v>
      </c>
      <c r="CE28" s="1874"/>
      <c r="CF28" s="1874"/>
      <c r="CG28" s="388" t="str">
        <f>IF(OR($BY$3="",$BY$3=""),"",$BY$3)</f>
        <v/>
      </c>
      <c r="CH28" s="388">
        <f>BZ28</f>
        <v/>
      </c>
      <c r="CI28" s="388">
        <f>CA28</f>
        <v/>
      </c>
      <c r="CJ28" s="2046"/>
      <c r="CK28" s="2047"/>
      <c r="CL28" s="212">
        <f>IF(CF28=""," ",IF(ABS(CE28-CF28)&lt;=0.125,"Valid","Not valid"))</f>
        <v/>
      </c>
      <c r="CM28" s="213">
        <f> IF(CE28="","",IF(AND(CE28&lt;&gt;"",CF28=""),IF(CE28&gt;=1,"Medir+Sig Max","No"),IF(CF28&lt;&gt;"",IF(CF28&gt;=1,"Medir+Sig Max","No"),"")))</f>
        <v/>
      </c>
      <c r="CN28" s="214">
        <f>IF(UPPER(CM1)="X",IF(CF28=""," ",IF((ABS(CE28)&lt;5)*AND(ABS(CF28)&lt;5)*AND(ABS(CO28)&lt;5),"Solo si es max","Medir")),IF(CF28=""," ",IF((ABS(CE28)&lt;1)*AND(ABS(CF28)&lt;1)*AND(ABS(CO28)&lt;1),"Solo si es max","Medir")))</f>
        <v/>
      </c>
      <c r="CO28" s="221">
        <f>IF(CK28="",IF(AND(CE28="",CF28=""),"",IF(CF28="",IF(DE28&gt;1,ROUND(DE28*CE28,3),CE28),IF(DE28&gt;1,ROUND(DE28*CF28,3),CF28))),IF(AND(CE28="",CF28=""),"",IF(CF28="",IF(DE28&gt;1,ROUND(DE28*CE28*(1/(CK28)),3),CE28*(1/(CK28))),IF(DE28&gt;1,ROUND(DE28*CF28*(1/(CK28)),3),CF28*(1/(CK28))))))</f>
        <v/>
      </c>
      <c r="CP28" s="2048">
        <f>$CP$3</f>
        <v/>
      </c>
      <c r="CQ28" s="1473">
        <f>IF(CO28="","",IF(CO28&gt;CP28,"Fail","Pass"))</f>
        <v/>
      </c>
      <c r="CR28" s="1482">
        <f>IF(AND(MAX(CO21:CO28)=CO28,CO28&lt;&gt;0),COUNT($CR$3:CR27)+1,"")</f>
        <v/>
      </c>
      <c r="CS28" s="1566">
        <f>MyTimestamp(CO28)</f>
        <v/>
      </c>
      <c r="CT28" s="1535">
        <f>IF(CE28="",0,15)+IF(CF28="",0,15)</f>
        <v/>
      </c>
      <c r="CU28" s="1536">
        <f>IF(CT28=0,0,2)</f>
        <v/>
      </c>
      <c r="CV28" s="861" t="inlineStr">
        <is>
          <t>S/02</t>
        </is>
      </c>
      <c r="CW28" s="861" t="inlineStr">
        <is>
          <t>Dasy6</t>
        </is>
      </c>
      <c r="CX28" s="2038"/>
      <c r="CY28" s="2050"/>
      <c r="CZ28" s="1545">
        <f>10^(CJ28/20)*100-100</f>
        <v/>
      </c>
      <c r="DA28" s="1320">
        <f>IF('Tune-Up'!$H$12="","",'Tune-Up'!$H$12)</f>
        <v/>
      </c>
      <c r="DB28" s="696">
        <f>'2G-3G'!BZ17</f>
        <v/>
      </c>
      <c r="DC28" s="798">
        <f>IF(DA28="","",10^(DA28/10))</f>
        <v/>
      </c>
      <c r="DD28" s="1364">
        <f>IF(ISNUMBER(DB28)=FALSE,"",10^(DB28/10))</f>
        <v/>
      </c>
      <c r="DE28" s="1545">
        <f>IF(AND(ISNUMBER(DC28),ISNUMBER(DD28)),IF(DC28/DD28&gt;1,ROUND((DC28)/DD28,3),1),1)</f>
        <v/>
      </c>
      <c r="DF28" s="1541"/>
      <c r="DG28" s="1541"/>
      <c r="DH28" s="1541"/>
      <c r="DI28" s="1541"/>
      <c r="DJ28" s="1541"/>
      <c r="DK28" s="1541"/>
      <c r="DL28" s="1541"/>
      <c r="DM28" s="1541"/>
      <c r="DN28" s="1541"/>
      <c r="DO28" s="1541"/>
      <c r="DP28" s="1541"/>
      <c r="DQ28" s="1541"/>
      <c r="DR28" s="1541"/>
    </row>
    <row r="29" ht="12.75" x14ac:dyDescent="0.2">
      <c r="A29" s="1541"/>
      <c r="B29" s="1541"/>
      <c r="C29"/>
      <c r="D29" s="130">
        <f>IF(BX$21="Close to Ear","EN 62209-1","EN 62209-2")</f>
        <v/>
      </c>
      <c r="E29" s="130">
        <f>IF(CG29="Close to Ear","2016","2010/A1:2019")</f>
        <v/>
      </c>
      <c r="F29" s="1488" t="inlineStr">
        <is>
          <t>5.1</t>
        </is>
      </c>
      <c r="G29" s="1497"/>
      <c r="H29" s="120">
        <f>BV29</f>
        <v/>
      </c>
      <c r="I29" s="120">
        <f>BW29</f>
        <v/>
      </c>
      <c r="J29" s="687">
        <f>BT29</f>
        <v/>
      </c>
      <c r="K29" s="194">
        <f>BU29</f>
        <v/>
      </c>
      <c r="L29" s="115"/>
      <c r="M29" s="120">
        <f>BZ29</f>
        <v/>
      </c>
      <c r="N29" s="119"/>
      <c r="O29" s="131"/>
      <c r="P29" s="6597"/>
      <c r="Q29" s="131"/>
      <c r="R29" s="131"/>
      <c r="S29" s="120">
        <f>CG29</f>
        <v/>
      </c>
      <c r="T29" s="120">
        <f>CC29</f>
        <v/>
      </c>
      <c r="U29" s="120">
        <f>CD29</f>
        <v/>
      </c>
      <c r="V29" s="119"/>
      <c r="W29" s="197">
        <f>CK29*100</f>
        <v/>
      </c>
      <c r="X29" s="119"/>
      <c r="Y29" s="119"/>
      <c r="Z29" s="119"/>
      <c r="AA29" s="115"/>
      <c r="AB29" s="115"/>
      <c r="AC29" s="689">
        <f>IF(OR(BX$21="Close to Ear",BX$21="Close to Head"),"Head",IF(BX$21="Extremity","Extremity","Body"))</f>
        <v/>
      </c>
      <c r="AD29" s="690">
        <f>CA29</f>
        <v/>
      </c>
      <c r="AE29" s="688">
        <f>CB29</f>
        <v/>
      </c>
      <c r="AF29" s="115"/>
      <c r="AG29" s="808">
        <f>IF(AZ29="","N/A",IF(CQ29="Pass","P","F"))</f>
        <v/>
      </c>
      <c r="AH29" s="129"/>
      <c r="AI29" s="129"/>
      <c r="AJ29" s="129"/>
      <c r="AK29" s="119"/>
      <c r="AL29" s="115"/>
      <c r="AM29" s="119"/>
      <c r="AN29" s="119"/>
      <c r="AO29" s="692"/>
      <c r="AP29" s="692"/>
      <c r="AQ29" s="692"/>
      <c r="AR29" s="692"/>
      <c r="AS29" s="692"/>
      <c r="AT29" s="691">
        <f>CE29</f>
        <v/>
      </c>
      <c r="AU29" s="691">
        <f>CF29</f>
        <v/>
      </c>
      <c r="AV29" s="813"/>
      <c r="AW29" s="813"/>
      <c r="AX29" s="197">
        <f>CZ29</f>
        <v/>
      </c>
      <c r="AY29" s="197">
        <f>DE29</f>
        <v/>
      </c>
      <c r="AZ29" s="3379">
        <f>CO29</f>
        <v/>
      </c>
      <c r="BA29" s="3380"/>
      <c r="BB29" s="197">
        <f>CP29</f>
        <v/>
      </c>
      <c r="BC29" s="813"/>
      <c r="BD29" s="197">
        <f>CR29</f>
        <v/>
      </c>
      <c r="BE29" s="121">
        <f>CS29</f>
        <v/>
      </c>
      <c r="BF29" s="122">
        <f>CT29*60</f>
        <v/>
      </c>
      <c r="BG29" s="121">
        <f>BE29</f>
        <v/>
      </c>
      <c r="BH29" s="122">
        <f>CU29*60</f>
        <v/>
      </c>
      <c r="BI29" s="122">
        <f>CV29</f>
        <v/>
      </c>
      <c r="BJ29" s="117"/>
      <c r="BK29" s="812">
        <f>Overview!$E$7</f>
        <v/>
      </c>
      <c r="BL29" s="117"/>
      <c r="BM29" s="836">
        <f>CW29</f>
        <v/>
      </c>
      <c r="BN29" s="812">
        <f>Overview!$P$153</f>
        <v/>
      </c>
      <c r="BO29" s="117"/>
      <c r="BP29" s="117"/>
      <c r="BQ29" s="115"/>
      <c r="BR29" s="1478" t="inlineStr">
        <is>
          <t>N/A</t>
        </is>
      </c>
      <c r="BS29" s="1548"/>
      <c r="BT29" s="1783" t="inlineStr">
        <is>
          <t>GSM</t>
        </is>
      </c>
      <c r="BU29" s="1783">
        <v>900</v>
      </c>
      <c r="BV29" s="400">
        <f>Overview!$H$28</f>
        <v/>
      </c>
      <c r="BW29" s="2010"/>
      <c r="BX29" s="1800"/>
      <c r="BY29" s="2040"/>
      <c r="BZ29" s="2040"/>
      <c r="CA29" s="404" t="str">
        <f>CONCATENATE(CA27," - Battery check 1")</f>
        <v>TBD - Battery check 1</v>
      </c>
      <c r="CB29" s="201">
        <v>5</v>
      </c>
      <c r="CC29" s="1081">
        <f>IF(COUNT($CO$21:$CO$28)=0,"N/A",INDEX($CC$21:$CC$28,MATCH(MAX($CO$21:$CO$28),$CO$21:$CO$28,0)))</f>
        <v/>
      </c>
      <c r="CD29" s="1081">
        <f>IF(COUNT($CO$21:$CO$28)=0,"N/A",INDEX($CD$21:$CD$28,MATCH(MAX($CO$21:$CO$28),$CO$21:$CO$28,0)))</f>
        <v/>
      </c>
      <c r="CE29" s="1874"/>
      <c r="CF29" s="1874"/>
      <c r="CG29" s="388" t="inlineStr">
        <is>
          <t>N/A</t>
        </is>
      </c>
      <c r="CH29" s="388">
        <f>BZ29</f>
        <v/>
      </c>
      <c r="CI29" s="388">
        <f>CA29</f>
        <v/>
      </c>
      <c r="CJ29" s="2046"/>
      <c r="CK29" s="2047"/>
      <c r="CL29" s="212">
        <f>IF(CF29=""," ",IF(ABS(CE29-CF29)&lt;=0.125,"Valid","Not valid"))</f>
        <v/>
      </c>
      <c r="CM29" s="213">
        <f> IF(CE29="","",IF(AND(CE29&lt;&gt;"",CF29=""),IF(CE29&gt;=1,"Medir+Sig Max","No"),IF(CF29&lt;&gt;"",IF(CF29&gt;=1,"Medir+Sig Max","No"),"")))</f>
        <v/>
      </c>
      <c r="CN29" s="214">
        <f>IF(UPPER(CM1)="X",IF(CF29=""," ",IF((ABS(CE29)&lt;5)*AND(ABS(CF29)&lt;5)*AND(ABS(CO29)&lt;5),"Solo si es max","Medir")),IF(CF29=""," ",IF((ABS(CE29)&lt;1)*AND(ABS(CF29)&lt;1)*AND(ABS(CO29)&lt;1),"Solo si es max","Medir")))</f>
        <v/>
      </c>
      <c r="CO29" s="221">
        <f>IF(CK29="",IF(AND(CE29="",CF29=""),"",IF(CF29="",IF(DE29&gt;1,ROUND(DE29*CE29,3),CE29),IF(DE29&gt;1,ROUND(DE29*CF29,3),CF29))),IF(AND(CE29="",CF29=""),"",IF(CF29="",IF(DE29&gt;1,ROUND(DE29*CE29*(1/(CK29)),3),CE29*(1/(CK29))),IF(DE29&gt;1,ROUND(DE29*CF29*(1/(CK29)),3),CF29*(1/(CK29))))))</f>
        <v/>
      </c>
      <c r="CP29" s="2048">
        <f>$CP$3</f>
        <v/>
      </c>
      <c r="CQ29" s="1473">
        <f>IF(CO29="","",IF(CO29&gt;CP29,"Fail","Pass"))</f>
        <v/>
      </c>
      <c r="CR29" s="1482">
        <f>IF(CO29&lt;&gt;"",MAX($CR$3:CR28)+1,"")</f>
        <v/>
      </c>
      <c r="CS29" s="1566">
        <f>MyTimestamp(CQ29)</f>
        <v/>
      </c>
      <c r="CT29" s="1535">
        <f>IF(COUNT(CE29:CF29)=1,15,IF(COUNT(CE29:CF29)=0,0,30))</f>
        <v/>
      </c>
      <c r="CU29" s="1536">
        <f>IF(CT29=0,0,2)</f>
        <v/>
      </c>
      <c r="CV29" s="861" t="inlineStr">
        <is>
          <t>S/02</t>
        </is>
      </c>
      <c r="CW29" s="861" t="inlineStr">
        <is>
          <t>Dasy6</t>
        </is>
      </c>
      <c r="CX29" s="2038"/>
      <c r="CY29" s="2050"/>
      <c r="CZ29" s="1545">
        <f>10^(CJ29/20)*100-100</f>
        <v/>
      </c>
      <c r="DA29" s="1320">
        <f>IF('Tune-Up'!$H$12="","",'Tune-Up'!$H$12)</f>
        <v/>
      </c>
      <c r="DB29" s="696">
        <f>IF(COUNT($CO$21:$CO$28)=0,"N/A",IFERROR(INDEX($DB$21:$DB$28,MATCH(MAX($CO$21:$CO$28),$CO$21:$CO$28,0)),"N/A"))</f>
        <v/>
      </c>
      <c r="DC29" s="798">
        <f>IF(DA29="","",10^(DA29/10))</f>
        <v/>
      </c>
      <c r="DD29" s="1364">
        <f>IF(ISNUMBER(DB29)=FALSE,"N/A",10^(DB29/10))</f>
        <v/>
      </c>
      <c r="DE29" s="1545">
        <f>IF(AND(ISNUMBER(DC29),ISNUMBER(DD29)),IF(DC29/DD29&gt;1,ROUND((DC29)/DD29,3),1),1)</f>
        <v/>
      </c>
      <c r="DF29" s="1541"/>
      <c r="DG29" s="1541"/>
      <c r="DH29" s="1541"/>
      <c r="DI29" s="1541"/>
      <c r="DJ29" s="1541"/>
      <c r="DK29" s="1541"/>
      <c r="DL29" s="1541"/>
      <c r="DM29" s="1541"/>
      <c r="DN29" s="1541"/>
      <c r="DO29" s="1541"/>
      <c r="DP29" s="1541"/>
      <c r="DQ29" s="1541"/>
      <c r="DR29" s="1541"/>
    </row>
    <row r="30" ht="12.75" x14ac:dyDescent="0.2">
      <c r="A30" s="1541"/>
      <c r="B30" s="1541"/>
      <c r="C30"/>
      <c r="D30" s="130">
        <f>IF(BX$21="Close to Ear","EN 62209-1","EN 62209-2")</f>
        <v/>
      </c>
      <c r="E30" s="130">
        <f>IF(CG30="Close to Ear","2016","2010/A1:2019")</f>
        <v/>
      </c>
      <c r="F30" s="1488" t="inlineStr">
        <is>
          <t>5.1</t>
        </is>
      </c>
      <c r="G30" s="1497"/>
      <c r="H30" s="120">
        <f>BV30</f>
        <v/>
      </c>
      <c r="I30" s="120">
        <f>BW30</f>
        <v/>
      </c>
      <c r="J30" s="687">
        <f>BT30</f>
        <v/>
      </c>
      <c r="K30" s="194">
        <f>BU30</f>
        <v/>
      </c>
      <c r="L30" s="115"/>
      <c r="M30" s="120">
        <f>BZ30</f>
        <v/>
      </c>
      <c r="N30" s="119"/>
      <c r="O30" s="131"/>
      <c r="P30" s="6597"/>
      <c r="Q30" s="131"/>
      <c r="R30" s="131"/>
      <c r="S30" s="120">
        <f>CG30</f>
        <v/>
      </c>
      <c r="T30" s="120">
        <f>CC30</f>
        <v/>
      </c>
      <c r="U30" s="120">
        <f>CD30</f>
        <v/>
      </c>
      <c r="V30" s="119"/>
      <c r="W30" s="197">
        <f>CK30*100</f>
        <v/>
      </c>
      <c r="X30" s="119"/>
      <c r="Y30" s="119"/>
      <c r="Z30" s="119"/>
      <c r="AA30" s="115"/>
      <c r="AB30" s="115"/>
      <c r="AC30" s="689">
        <f>IF(OR(BX$21="Close to Ear",BX$21="Close to Head"),"Head",IF(BX$21="Extremity","Extremity","Body"))</f>
        <v/>
      </c>
      <c r="AD30" s="690">
        <f>CA30</f>
        <v/>
      </c>
      <c r="AE30" s="688">
        <f>CB30</f>
        <v/>
      </c>
      <c r="AF30" s="115"/>
      <c r="AG30" s="808">
        <f>IF(AZ30="","N/A",IF(CQ30="Pass","P","F"))</f>
        <v/>
      </c>
      <c r="AH30" s="129"/>
      <c r="AI30" s="129"/>
      <c r="AJ30" s="129"/>
      <c r="AK30" s="119"/>
      <c r="AL30" s="115"/>
      <c r="AM30" s="119"/>
      <c r="AN30" s="119"/>
      <c r="AO30" s="692"/>
      <c r="AP30" s="692"/>
      <c r="AQ30" s="692"/>
      <c r="AR30" s="692"/>
      <c r="AS30" s="692"/>
      <c r="AT30" s="691">
        <f>CE30</f>
        <v/>
      </c>
      <c r="AU30" s="691">
        <f>CF30</f>
        <v/>
      </c>
      <c r="AV30" s="813"/>
      <c r="AW30" s="813"/>
      <c r="AX30" s="197">
        <f>CZ30</f>
        <v/>
      </c>
      <c r="AY30" s="197">
        <f>DE30</f>
        <v/>
      </c>
      <c r="AZ30" s="3379">
        <f>CO30</f>
        <v/>
      </c>
      <c r="BA30" s="3380"/>
      <c r="BB30" s="197">
        <f>CP30</f>
        <v/>
      </c>
      <c r="BC30" s="813"/>
      <c r="BD30" s="197">
        <f>CR30</f>
        <v/>
      </c>
      <c r="BE30" s="121">
        <f>CS30</f>
        <v/>
      </c>
      <c r="BF30" s="122">
        <f>CT30*60</f>
        <v/>
      </c>
      <c r="BG30" s="121">
        <f>BE30</f>
        <v/>
      </c>
      <c r="BH30" s="122">
        <f>CU30*60</f>
        <v/>
      </c>
      <c r="BI30" s="122">
        <f>CV30</f>
        <v/>
      </c>
      <c r="BJ30" s="117"/>
      <c r="BK30" s="812">
        <f>Overview!$E$7</f>
        <v/>
      </c>
      <c r="BL30" s="117"/>
      <c r="BM30" s="836">
        <f>CW30</f>
        <v/>
      </c>
      <c r="BN30" s="812">
        <f>Overview!$P$153</f>
        <v/>
      </c>
      <c r="BO30" s="117"/>
      <c r="BP30" s="117"/>
      <c r="BQ30" s="115"/>
      <c r="BR30" s="1478" t="inlineStr">
        <is>
          <t>N/A</t>
        </is>
      </c>
      <c r="BS30" s="1548"/>
      <c r="BT30" s="1783" t="inlineStr">
        <is>
          <t>GSM</t>
        </is>
      </c>
      <c r="BU30" s="1783">
        <v>900</v>
      </c>
      <c r="BV30" s="400">
        <f>Overview!$H$28</f>
        <v/>
      </c>
      <c r="BW30" s="2010"/>
      <c r="BX30" s="1800"/>
      <c r="BY30" s="2040"/>
      <c r="BZ30" s="2040"/>
      <c r="CA30" s="404" t="str">
        <f>CONCATENATE(CA28," - Battery check 2")</f>
        <v>TBD - Battery check 2</v>
      </c>
      <c r="CB30" s="201">
        <v>5</v>
      </c>
      <c r="CC30" s="1081">
        <f>IF(COUNT($CO$21:$CO$28)=0,"N/A",INDEX($CC$21:$CC$28,MATCH(MAX($CO$21:$CO$28),$CO$21:$CO$28,0)))</f>
        <v/>
      </c>
      <c r="CD30" s="1081">
        <f>IF(COUNT($CO$21:$CO$28)=0,"N/A",INDEX($CD$21:$CD$28,MATCH(MAX($CO$21:$CO$28),$CO$21:$CO$28,0)))</f>
        <v/>
      </c>
      <c r="CE30" s="1874"/>
      <c r="CF30" s="1874"/>
      <c r="CG30" s="388" t="inlineStr">
        <is>
          <t>N/A</t>
        </is>
      </c>
      <c r="CH30" s="388">
        <f>BZ30</f>
        <v/>
      </c>
      <c r="CI30" s="388">
        <f>CA30</f>
        <v/>
      </c>
      <c r="CJ30" s="2046"/>
      <c r="CK30" s="2047"/>
      <c r="CL30" s="212">
        <f>IF(CF30=""," ",IF(ABS(CE30-CF30)&lt;=0.125,"Valid","Not valid"))</f>
        <v/>
      </c>
      <c r="CM30" s="213">
        <f> IF(CE30="","",IF(AND(CE30&lt;&gt;"",CF30=""),IF(CE30&gt;=1,"Medir+Sig Max","No"),IF(CF30&lt;&gt;"",IF(CF30&gt;=1,"Medir+Sig Max","No"),"")))</f>
        <v/>
      </c>
      <c r="CN30" s="214">
        <f>IF(UPPER(CM1)="X",IF(CF30=""," ",IF((ABS(CE30)&lt;5)*AND(ABS(CF30)&lt;5)*AND(ABS(CO30)&lt;5),"Solo si es max","Medir")),IF(CF30=""," ",IF((ABS(CE30)&lt;1)*AND(ABS(CF30)&lt;1)*AND(ABS(CO30)&lt;1),"Solo si es max","Medir")))</f>
        <v/>
      </c>
      <c r="CO30" s="221">
        <f>IF(CK30="",IF(AND(CE30="",CF30=""),"",IF(CF30="",IF(DE30&gt;1,ROUND(DE30*CE30,3),CE30),IF(DE30&gt;1,ROUND(DE30*CF30,3),CF30))),IF(AND(CE30="",CF30=""),"",IF(CF30="",IF(DE30&gt;1,ROUND(DE30*CE30*(1/(CK30)),3),CE30*(1/(CK30))),IF(DE30&gt;1,ROUND(DE30*CF30*(1/(CK30)),3),CF30*(1/(CK30))))))</f>
        <v/>
      </c>
      <c r="CP30" s="2048">
        <f>$CP$3</f>
        <v/>
      </c>
      <c r="CQ30" s="1473">
        <f>IF(CO30="","",IF(CO30&gt;CP30,"Fail","Pass"))</f>
        <v/>
      </c>
      <c r="CR30" s="1482">
        <f>IF(CO30&lt;&gt;"",MAX($CR$3:CR29)+1,"")</f>
        <v/>
      </c>
      <c r="CS30" s="1566">
        <f>MyTimestamp(CQ30)</f>
        <v/>
      </c>
      <c r="CT30" s="1535">
        <f>IF(COUNT(CE30:CF30)=1,15,IF(COUNT(CE30:CF30)=0,0,30))</f>
        <v/>
      </c>
      <c r="CU30" s="1536">
        <f>IF(CT30=0,0,2)</f>
        <v/>
      </c>
      <c r="CV30" s="861" t="inlineStr">
        <is>
          <t>S/02</t>
        </is>
      </c>
      <c r="CW30" s="861" t="inlineStr">
        <is>
          <t>Dasy6</t>
        </is>
      </c>
      <c r="CX30" s="2038"/>
      <c r="CY30" s="2050"/>
      <c r="CZ30" s="1545">
        <f>10^(CJ30/20)*100-100</f>
        <v/>
      </c>
      <c r="DA30" s="1320">
        <f>IF('Tune-Up'!$H$12="","",'Tune-Up'!$H$12)</f>
        <v/>
      </c>
      <c r="DB30" s="696">
        <f>IF(COUNT($CO$21:$CO$28)=0,"N/A",IFERROR(INDEX($DB$21:$DB$28,MATCH(MAX($CO$21:$CO$28),$CO$21:$CO$28,0)),"N/A"))</f>
        <v/>
      </c>
      <c r="DC30" s="798">
        <f>IF(DA30="","",10^(DA30/10))</f>
        <v/>
      </c>
      <c r="DD30" s="1364">
        <f>IF(ISNUMBER(DB30)=FALSE,"N/A",10^(DB30/10))</f>
        <v/>
      </c>
      <c r="DE30" s="1545">
        <f>IF(AND(ISNUMBER(DC30),ISNUMBER(DD30)),IF(DC30/DD30&gt;1,ROUND((DC30)/DD30,3),1),1)</f>
        <v/>
      </c>
      <c r="DF30" s="1541"/>
      <c r="DG30" s="1541"/>
      <c r="DH30" s="1541"/>
      <c r="DI30" s="1541"/>
      <c r="DJ30" s="1541"/>
      <c r="DK30" s="1541"/>
      <c r="DL30" s="1541"/>
      <c r="DM30" s="1541"/>
      <c r="DN30" s="1541"/>
      <c r="DO30" s="1541"/>
      <c r="DP30" s="1541"/>
      <c r="DQ30" s="1541"/>
      <c r="DR30" s="1541"/>
    </row>
    <row r="31" ht="12.75" x14ac:dyDescent="0.2">
      <c r="A31" s="1541"/>
      <c r="B31" s="1541"/>
      <c r="C31"/>
      <c r="D31" s="130">
        <f>IF(BX$21="Close to Ear","EN 62209-1","EN 62209-2")</f>
        <v/>
      </c>
      <c r="E31" s="130">
        <f>IF(CG31="Close to Ear","2016","2010/A1:2019")</f>
        <v/>
      </c>
      <c r="F31" s="1488" t="inlineStr">
        <is>
          <t>5.1</t>
        </is>
      </c>
      <c r="G31" s="1497"/>
      <c r="H31" s="120">
        <f>BV31</f>
        <v/>
      </c>
      <c r="I31" s="120">
        <f>BW31</f>
        <v/>
      </c>
      <c r="J31" s="687">
        <f>BT31</f>
        <v/>
      </c>
      <c r="K31" s="194">
        <f>BU31</f>
        <v/>
      </c>
      <c r="L31" s="115"/>
      <c r="M31" s="120">
        <f>BZ31</f>
        <v/>
      </c>
      <c r="N31" s="119"/>
      <c r="O31" s="131"/>
      <c r="P31" s="6597"/>
      <c r="Q31" s="131"/>
      <c r="R31" s="131"/>
      <c r="S31" s="120">
        <f>CG31</f>
        <v/>
      </c>
      <c r="T31" s="120">
        <f>CC31</f>
        <v/>
      </c>
      <c r="U31" s="120">
        <f>CD31</f>
        <v/>
      </c>
      <c r="V31" s="119"/>
      <c r="W31" s="197">
        <f>CK31*100</f>
        <v/>
      </c>
      <c r="X31" s="119"/>
      <c r="Y31" s="119"/>
      <c r="Z31" s="119"/>
      <c r="AA31" s="115"/>
      <c r="AB31" s="115"/>
      <c r="AC31" s="689">
        <f>IF(OR(BX$21="Close to Ear",BX$21="Close to Head"),"Head",IF(BX$21="Extremity","Extremity","Body"))</f>
        <v/>
      </c>
      <c r="AD31" s="690">
        <f>CA31</f>
        <v/>
      </c>
      <c r="AE31" s="688">
        <f>CB31</f>
        <v/>
      </c>
      <c r="AF31" s="115"/>
      <c r="AG31" s="808">
        <f>IF(AZ31="","N/A",IF(CQ31="Pass","P","F"))</f>
        <v/>
      </c>
      <c r="AH31" s="129"/>
      <c r="AI31" s="129"/>
      <c r="AJ31" s="129"/>
      <c r="AK31" s="119"/>
      <c r="AL31" s="115"/>
      <c r="AM31" s="119"/>
      <c r="AN31" s="119"/>
      <c r="AO31" s="692"/>
      <c r="AP31" s="692"/>
      <c r="AQ31" s="692"/>
      <c r="AR31" s="692"/>
      <c r="AS31" s="692"/>
      <c r="AT31" s="691">
        <f>CE31</f>
        <v/>
      </c>
      <c r="AU31" s="691">
        <f>CF31</f>
        <v/>
      </c>
      <c r="AV31" s="813"/>
      <c r="AW31" s="813"/>
      <c r="AX31" s="197">
        <f>CZ31</f>
        <v/>
      </c>
      <c r="AY31" s="197">
        <f>DE31</f>
        <v/>
      </c>
      <c r="AZ31" s="3379">
        <f>CO31</f>
        <v/>
      </c>
      <c r="BA31" s="3380"/>
      <c r="BB31" s="197">
        <f>CP31</f>
        <v/>
      </c>
      <c r="BC31" s="813"/>
      <c r="BD31" s="197">
        <f>CR31</f>
        <v/>
      </c>
      <c r="BE31" s="121">
        <f>CS31</f>
        <v/>
      </c>
      <c r="BF31" s="122">
        <f>CT31*60</f>
        <v/>
      </c>
      <c r="BG31" s="121">
        <f>BE31</f>
        <v/>
      </c>
      <c r="BH31" s="122">
        <f>CU31*60</f>
        <v/>
      </c>
      <c r="BI31" s="122">
        <f>CV31</f>
        <v/>
      </c>
      <c r="BJ31" s="117"/>
      <c r="BK31" s="812">
        <f>Overview!$E$7</f>
        <v/>
      </c>
      <c r="BL31" s="117"/>
      <c r="BM31" s="836">
        <f>CW31</f>
        <v/>
      </c>
      <c r="BN31" s="812">
        <f>Overview!$P$153</f>
        <v/>
      </c>
      <c r="BO31" s="117"/>
      <c r="BP31" s="117"/>
      <c r="BQ31" s="115"/>
      <c r="BR31" s="1478" t="inlineStr">
        <is>
          <t>N/A</t>
        </is>
      </c>
      <c r="BS31" s="1548"/>
      <c r="BT31" s="1783" t="inlineStr">
        <is>
          <t>GSM</t>
        </is>
      </c>
      <c r="BU31" s="1783">
        <v>900</v>
      </c>
      <c r="BV31" s="400">
        <f>Overview!$H$28</f>
        <v/>
      </c>
      <c r="BW31" s="2010"/>
      <c r="BX31" s="1800"/>
      <c r="BY31" s="2040"/>
      <c r="BZ31" s="2040"/>
      <c r="CA31" s="404" t="inlineStr">
        <is>
          <t>Front Face</t>
        </is>
      </c>
      <c r="CB31" s="201">
        <v>25</v>
      </c>
      <c r="CC31" s="1081">
        <f>IF(COUNT($CO$21:$CO$28)=0,"N/A",INDEX($CC$21:$CC$28,MATCH(MAX($CO$21:$CO$28),$CO$21:$CO$28,0)))</f>
        <v/>
      </c>
      <c r="CD31" s="1081">
        <f>IF(COUNT($CO$21:$CO$28)=0,"N/A",INDEX($CD$21:$CD$28,MATCH(MAX($CO$21:$CO$28),$CO$21:$CO$28,0)))</f>
        <v/>
      </c>
      <c r="CE31" s="1874"/>
      <c r="CF31" s="1874"/>
      <c r="CG31" s="388" t="inlineStr">
        <is>
          <t>N/A</t>
        </is>
      </c>
      <c r="CH31" s="388">
        <f>BZ31</f>
        <v/>
      </c>
      <c r="CI31" s="388">
        <f>CA31</f>
        <v/>
      </c>
      <c r="CJ31" s="2046"/>
      <c r="CK31" s="2047"/>
      <c r="CL31" s="212">
        <f>IF(CF31=""," ",IF(ABS(CE31-CF31)&lt;=0.125,"Valid","Not valid"))</f>
        <v/>
      </c>
      <c r="CM31" s="213">
        <f> IF(CE31="","",IF(AND(CE31&lt;&gt;"",CF31=""),IF(CE31&gt;=1,"Medir+Sig Max","No"),IF(CF31&lt;&gt;"",IF(CF31&gt;=1,"Medir+Sig Max","No"),"")))</f>
        <v/>
      </c>
      <c r="CN31" s="214">
        <f>IF(UPPER(CM1)="X",IF(CF31=""," ",IF((ABS(CE31)&lt;5)*AND(ABS(CF31)&lt;5)*AND(ABS(CO31)&lt;5),"Solo si es max","Medir")),IF(CF31=""," ",IF((ABS(CE31)&lt;1)*AND(ABS(CF31)&lt;1)*AND(ABS(CO31)&lt;1),"Solo si es max","Medir")))</f>
        <v/>
      </c>
      <c r="CO31" s="221">
        <f>IF(CK31="",IF(AND(CE31="",CF31=""),"",IF(CF31="",IF(DE31&gt;1,ROUND(DE31*CE31,3),CE31),IF(DE31&gt;1,ROUND(DE31*CF31,3),CF31))),IF(AND(CE31="",CF31=""),"",IF(CF31="",IF(DE31&gt;1,ROUND(DE31*CE31*(1/(CK31)),3),CE31*(1/(CK31))),IF(DE31&gt;1,ROUND(DE31*CF31*(1/(CK31)),3),CF31*(1/(CK31))))))</f>
        <v/>
      </c>
      <c r="CP31" s="2048">
        <f>$CP$3</f>
        <v/>
      </c>
      <c r="CQ31" s="1473">
        <f>IF(CO31="","",IF(CO31&gt;CP31,"Fail","Pass"))</f>
        <v/>
      </c>
      <c r="CR31" s="1482">
        <f>IF(CO31&lt;&gt;"",MAX($CR$3:CR30)+1,"")</f>
        <v/>
      </c>
      <c r="CS31" s="1566">
        <f>MyTimestamp(CQ31)</f>
        <v/>
      </c>
      <c r="CT31" s="1535">
        <f>IF(COUNT(CE31:CF31)=1,15,IF(COUNT(CE31:CF31)=0,0,30))</f>
        <v/>
      </c>
      <c r="CU31" s="1536">
        <f>IF(CT31=0,0,2)</f>
        <v/>
      </c>
      <c r="CV31" s="861" t="inlineStr">
        <is>
          <t>S/02</t>
        </is>
      </c>
      <c r="CW31" s="861" t="inlineStr">
        <is>
          <t>Dasy6</t>
        </is>
      </c>
      <c r="CX31" s="2038"/>
      <c r="CY31" s="2050"/>
      <c r="CZ31" s="1545">
        <f>10^(CJ31/20)*100-100</f>
        <v/>
      </c>
      <c r="DA31" s="1320">
        <f>IF('Tune-Up'!$H$12="","",'Tune-Up'!$H$12)</f>
        <v/>
      </c>
      <c r="DB31" s="696">
        <f>IF(COUNT($CO$21:$CO$28)=0,"N/A",IFERROR(INDEX($DB$21:$DB$28,MATCH(MAX($CO$21:$CO$28),$CO$21:$CO$28,0)),"N/A"))</f>
        <v/>
      </c>
      <c r="DC31" s="798">
        <f>IF(DA31="","",10^(DA31/10))</f>
        <v/>
      </c>
      <c r="DD31" s="1364">
        <f>IF(ISNUMBER(DB31)=FALSE,"N/A",10^(DB31/10))</f>
        <v/>
      </c>
      <c r="DE31" s="1545">
        <f>IF(AND(ISNUMBER(DC31),ISNUMBER(DD31)),IF(DC31/DD31&gt;1,ROUND((DC31)/DD31,3),1),1)</f>
        <v/>
      </c>
      <c r="DF31" s="1541"/>
      <c r="DG31" s="1541"/>
      <c r="DH31" s="1541"/>
      <c r="DI31" s="1541"/>
      <c r="DJ31" s="1541"/>
      <c r="DK31" s="1541"/>
      <c r="DL31" s="1541"/>
      <c r="DM31" s="1541"/>
      <c r="DN31" s="1541"/>
      <c r="DO31" s="1541"/>
      <c r="DP31" s="1541"/>
      <c r="DQ31" s="1541"/>
      <c r="DR31" s="1541"/>
    </row>
    <row r="32" ht="12.75" x14ac:dyDescent="0.2">
      <c r="A32" s="1541"/>
      <c r="B32" s="1541"/>
      <c r="C32"/>
      <c r="D32" s="130">
        <f>IF(BX$21="Close to Ear","EN 62209-1","EN 62209-2")</f>
        <v/>
      </c>
      <c r="E32" s="130">
        <f>IF(CG32="Close to Ear","2016","2010/A1:2019")</f>
        <v/>
      </c>
      <c r="F32" s="1488" t="inlineStr">
        <is>
          <t>5.1</t>
        </is>
      </c>
      <c r="G32" s="1497"/>
      <c r="H32" s="120">
        <f>BV32</f>
        <v/>
      </c>
      <c r="I32" s="120">
        <f>BW32</f>
        <v/>
      </c>
      <c r="J32" s="687">
        <f>BT32</f>
        <v/>
      </c>
      <c r="K32" s="194">
        <f>BU32</f>
        <v/>
      </c>
      <c r="L32" s="115"/>
      <c r="M32" s="120">
        <f>BZ32</f>
        <v/>
      </c>
      <c r="N32" s="119"/>
      <c r="O32" s="131"/>
      <c r="P32" s="6597"/>
      <c r="Q32" s="131"/>
      <c r="R32" s="131"/>
      <c r="S32" s="120">
        <f>CG32</f>
        <v/>
      </c>
      <c r="T32" s="120">
        <f>CC32</f>
        <v/>
      </c>
      <c r="U32" s="120">
        <f>CD32</f>
        <v/>
      </c>
      <c r="V32" s="119"/>
      <c r="W32" s="197">
        <f>CK32*100</f>
        <v/>
      </c>
      <c r="X32" s="119"/>
      <c r="Y32" s="119"/>
      <c r="Z32" s="119"/>
      <c r="AA32" s="115"/>
      <c r="AB32" s="115"/>
      <c r="AC32" s="689">
        <f>IF(OR(BX$21="Close to Ear",BX$21="Close to Head"),"Head",IF(BX$21="Extremity","Extremity","Body"))</f>
        <v/>
      </c>
      <c r="AD32" s="690">
        <f>CA32</f>
        <v/>
      </c>
      <c r="AE32" s="688">
        <f>CB32</f>
        <v/>
      </c>
      <c r="AF32" s="115"/>
      <c r="AG32" s="808">
        <f>IF(AZ32="","N/A",IF(CQ32="Pass","P","F"))</f>
        <v/>
      </c>
      <c r="AH32" s="129"/>
      <c r="AI32" s="129"/>
      <c r="AJ32" s="129"/>
      <c r="AK32" s="119"/>
      <c r="AL32" s="115"/>
      <c r="AM32" s="119"/>
      <c r="AN32" s="119"/>
      <c r="AO32" s="692"/>
      <c r="AP32" s="692"/>
      <c r="AQ32" s="692"/>
      <c r="AR32" s="692"/>
      <c r="AS32" s="692"/>
      <c r="AT32" s="691">
        <f>CE32</f>
        <v/>
      </c>
      <c r="AU32" s="691">
        <f>CF32</f>
        <v/>
      </c>
      <c r="AV32" s="813"/>
      <c r="AW32" s="813"/>
      <c r="AX32" s="197">
        <f>CZ32</f>
        <v/>
      </c>
      <c r="AY32" s="197">
        <f>DE32</f>
        <v/>
      </c>
      <c r="AZ32" s="3379">
        <f>CO32</f>
        <v/>
      </c>
      <c r="BA32" s="3380"/>
      <c r="BB32" s="197">
        <f>CP32</f>
        <v/>
      </c>
      <c r="BC32" s="813"/>
      <c r="BD32" s="197">
        <f>CR32</f>
        <v/>
      </c>
      <c r="BE32" s="121">
        <f>CS32</f>
        <v/>
      </c>
      <c r="BF32" s="122">
        <f>CT32*60</f>
        <v/>
      </c>
      <c r="BG32" s="121">
        <f>BE32</f>
        <v/>
      </c>
      <c r="BH32" s="122">
        <f>CU32*60</f>
        <v/>
      </c>
      <c r="BI32" s="122">
        <f>CV32</f>
        <v/>
      </c>
      <c r="BJ32" s="117"/>
      <c r="BK32" s="812">
        <f>Overview!$E$7</f>
        <v/>
      </c>
      <c r="BL32" s="117"/>
      <c r="BM32" s="836">
        <f>CW32</f>
        <v/>
      </c>
      <c r="BN32" s="812">
        <f>Overview!$P$153</f>
        <v/>
      </c>
      <c r="BO32" s="117"/>
      <c r="BP32" s="117"/>
      <c r="BQ32" s="115"/>
      <c r="BR32" s="1478" t="inlineStr">
        <is>
          <t>N/A</t>
        </is>
      </c>
      <c r="BS32" s="1548"/>
      <c r="BT32" s="1783" t="inlineStr">
        <is>
          <t>GSM</t>
        </is>
      </c>
      <c r="BU32" s="1783">
        <v>900</v>
      </c>
      <c r="BV32" s="400">
        <f>Overview!$H$28</f>
        <v/>
      </c>
      <c r="BW32" s="2010"/>
      <c r="BX32" s="1800"/>
      <c r="BY32" s="2040"/>
      <c r="BZ32" s="2040"/>
      <c r="CA32" s="404" t="inlineStr">
        <is>
          <t>Accesorio 1: Funda</t>
        </is>
      </c>
      <c r="CB32" s="201">
        <v>0</v>
      </c>
      <c r="CC32" s="1081">
        <f>IF(COUNT($CO$21:$CO$28)=0,"N/A",INDEX($CC$21:$CC$28,MATCH(MAX($CO$21:$CO$28),$CO$21:$CO$28,0)))</f>
        <v/>
      </c>
      <c r="CD32" s="1081">
        <f>IF(COUNT($CO$21:$CO$28)=0,"N/A",INDEX($CD$21:$CD$28,MATCH(MAX($CO$21:$CO$28),$CO$21:$CO$28,0)))</f>
        <v/>
      </c>
      <c r="CE32" s="1874"/>
      <c r="CF32" s="1874"/>
      <c r="CG32" s="388" t="inlineStr">
        <is>
          <t>N/A</t>
        </is>
      </c>
      <c r="CH32" s="388">
        <f>BZ32</f>
        <v/>
      </c>
      <c r="CI32" s="388">
        <f>CA32</f>
        <v/>
      </c>
      <c r="CJ32" s="2046"/>
      <c r="CK32" s="2047"/>
      <c r="CL32" s="212">
        <f>IF(CF32=""," ",IF(ABS(CE32-CF32)&lt;=0.125,"Valid","Not valid"))</f>
        <v/>
      </c>
      <c r="CM32" s="213">
        <f> IF(CE32="","",IF(AND(CE32&lt;&gt;"",CF32=""),IF(CE32&gt;=1,"Medir+Sig Max","No"),IF(CF32&lt;&gt;"",IF(CF32&gt;=1,"Medir+Sig Max","No"),"")))</f>
        <v/>
      </c>
      <c r="CN32" s="214">
        <f>IF(UPPER(CM1)="X",IF(CF32=""," ",IF((ABS(CE32)&lt;5)*AND(ABS(CF32)&lt;5)*AND(ABS(CO32)&lt;5),"Solo si es max","Medir")),IF(CF32=""," ",IF((ABS(CE32)&lt;1)*AND(ABS(CF32)&lt;1)*AND(ABS(CO32)&lt;1),"Solo si es max","Medir")))</f>
        <v/>
      </c>
      <c r="CO32" s="221">
        <f>IF(CK32="",IF(AND(CE32="",CF32=""),"",IF(CF32="",IF(DE32&gt;1,ROUND(DE32*CE32,3),CE32),IF(DE32&gt;1,ROUND(DE32*CF32,3),CF32))),IF(AND(CE32="",CF32=""),"",IF(CF32="",IF(DE32&gt;1,ROUND(DE32*CE32*(1/(CK32)),3),CE32*(1/(CK32))),IF(DE32&gt;1,ROUND(DE32*CF32*(1/(CK32)),3),CF32*(1/(CK32))))))</f>
        <v/>
      </c>
      <c r="CP32" s="2048">
        <f>$CP$3</f>
        <v/>
      </c>
      <c r="CQ32" s="1473">
        <f>IF(CO32="","",IF(CO32&gt;CP32,"Fail","Pass"))</f>
        <v/>
      </c>
      <c r="CR32" s="1482">
        <f>IF(CO32&lt;&gt;"",MAX($CR$3:CR31)+1,"")</f>
        <v/>
      </c>
      <c r="CS32" s="1566">
        <f>MyTimestamp(CQ32)</f>
        <v/>
      </c>
      <c r="CT32" s="1535">
        <f>IF(COUNT(CE32:CF32)=1,15,IF(COUNT(CE32:CF32)=0,0,30))</f>
        <v/>
      </c>
      <c r="CU32" s="1536">
        <f>IF(CT32=0,0,2)</f>
        <v/>
      </c>
      <c r="CV32" s="861" t="inlineStr">
        <is>
          <t>S/02</t>
        </is>
      </c>
      <c r="CW32" s="861" t="inlineStr">
        <is>
          <t>Dasy6</t>
        </is>
      </c>
      <c r="CX32" s="2038"/>
      <c r="CY32" s="2050"/>
      <c r="CZ32" s="1545">
        <f>10^(CJ32/20)*100-100</f>
        <v/>
      </c>
      <c r="DA32" s="1320">
        <f>IF('Tune-Up'!$H$12="","",'Tune-Up'!$H$12)</f>
        <v/>
      </c>
      <c r="DB32" s="696">
        <f>IF(COUNT($CO$21:$CO$28)=0,"N/A",IFERROR(INDEX($DB$21:$DB$28,MATCH(MAX($CO$21:$CO$28),$CO$21:$CO$28,0)),"N/A"))</f>
        <v/>
      </c>
      <c r="DC32" s="798">
        <f>IF(DA32="","",10^(DA32/10))</f>
        <v/>
      </c>
      <c r="DD32" s="1364">
        <f>IF(ISNUMBER(DB32)=FALSE,"N/A",10^(DB32/10))</f>
        <v/>
      </c>
      <c r="DE32" s="1545">
        <f>IF(AND(ISNUMBER(DC32),ISNUMBER(DD32)),IF(DC32/DD32&gt;1,ROUND((DC32)/DD32,3),1),1)</f>
        <v/>
      </c>
      <c r="DF32" s="1541"/>
      <c r="DG32" s="1541"/>
      <c r="DH32" s="1541"/>
      <c r="DI32" s="1541"/>
      <c r="DJ32" s="1541"/>
      <c r="DK32" s="1541"/>
      <c r="DL32" s="1541"/>
      <c r="DM32" s="1541"/>
      <c r="DN32" s="1541"/>
      <c r="DO32" s="1541"/>
      <c r="DP32" s="1541"/>
      <c r="DQ32" s="1541"/>
      <c r="DR32" s="1541"/>
    </row>
    <row r="33" ht="12.75" x14ac:dyDescent="0.2">
      <c r="A33" s="1541"/>
      <c r="B33" s="1541"/>
      <c r="C33"/>
      <c r="D33" s="130">
        <f>IF(BX$21="Close to Ear","EN 62209-1","EN 62209-2")</f>
        <v/>
      </c>
      <c r="E33" s="130">
        <f>IF(CG33="Close to Ear","2016","2010/A1:2019")</f>
        <v/>
      </c>
      <c r="F33" s="1488" t="inlineStr">
        <is>
          <t>5.1</t>
        </is>
      </c>
      <c r="G33" s="1497"/>
      <c r="H33" s="120">
        <f>BV33</f>
        <v/>
      </c>
      <c r="I33" s="120">
        <f>BW33</f>
        <v/>
      </c>
      <c r="J33" s="687">
        <f>BT33</f>
        <v/>
      </c>
      <c r="K33" s="194">
        <f>BU33</f>
        <v/>
      </c>
      <c r="L33" s="115"/>
      <c r="M33" s="120">
        <f>BZ33</f>
        <v/>
      </c>
      <c r="N33" s="119"/>
      <c r="O33" s="131"/>
      <c r="P33" s="6597"/>
      <c r="Q33" s="131"/>
      <c r="R33" s="131"/>
      <c r="S33" s="120">
        <f>CG33</f>
        <v/>
      </c>
      <c r="T33" s="120">
        <f>CC33</f>
        <v/>
      </c>
      <c r="U33" s="120">
        <f>CD33</f>
        <v/>
      </c>
      <c r="V33" s="119"/>
      <c r="W33" s="197">
        <f>CK33*100</f>
        <v/>
      </c>
      <c r="X33" s="119"/>
      <c r="Y33" s="119"/>
      <c r="Z33" s="119"/>
      <c r="AA33" s="115"/>
      <c r="AB33" s="115"/>
      <c r="AC33" s="689">
        <f>IF(OR(BX$21="Close to Ear",BX$21="Close to Head"),"Head",IF(BX$21="Extremity","Extremity","Body"))</f>
        <v/>
      </c>
      <c r="AD33" s="690">
        <f>CA33</f>
        <v/>
      </c>
      <c r="AE33" s="688">
        <f>CB33</f>
        <v/>
      </c>
      <c r="AF33" s="115"/>
      <c r="AG33" s="808">
        <f>IF(AZ33="","N/A",IF(CQ33="Pass","P","F"))</f>
        <v/>
      </c>
      <c r="AH33" s="129"/>
      <c r="AI33" s="129"/>
      <c r="AJ33" s="129"/>
      <c r="AK33" s="119"/>
      <c r="AL33" s="115"/>
      <c r="AM33" s="119"/>
      <c r="AN33" s="119"/>
      <c r="AO33" s="692"/>
      <c r="AP33" s="692"/>
      <c r="AQ33" s="692"/>
      <c r="AR33" s="692"/>
      <c r="AS33" s="692"/>
      <c r="AT33" s="691">
        <f>CE33</f>
        <v/>
      </c>
      <c r="AU33" s="691">
        <f>CF33</f>
        <v/>
      </c>
      <c r="AV33" s="813"/>
      <c r="AW33" s="813"/>
      <c r="AX33" s="197">
        <f>CZ33</f>
        <v/>
      </c>
      <c r="AY33" s="197">
        <f>DE33</f>
        <v/>
      </c>
      <c r="AZ33" s="3379">
        <f>CO33</f>
        <v/>
      </c>
      <c r="BA33" s="3380"/>
      <c r="BB33" s="197">
        <f>CP33</f>
        <v/>
      </c>
      <c r="BC33" s="813"/>
      <c r="BD33" s="197">
        <f>CR33</f>
        <v/>
      </c>
      <c r="BE33" s="121">
        <f>CS33</f>
        <v/>
      </c>
      <c r="BF33" s="122">
        <f>CT33*60</f>
        <v/>
      </c>
      <c r="BG33" s="121">
        <f>BE33</f>
        <v/>
      </c>
      <c r="BH33" s="122">
        <f>CU33*60</f>
        <v/>
      </c>
      <c r="BI33" s="122">
        <f>CV33</f>
        <v/>
      </c>
      <c r="BJ33" s="117"/>
      <c r="BK33" s="812">
        <f>Overview!$E$7</f>
        <v/>
      </c>
      <c r="BL33" s="117"/>
      <c r="BM33" s="836">
        <f>CW33</f>
        <v/>
      </c>
      <c r="BN33" s="812">
        <f>Overview!$P$153</f>
        <v/>
      </c>
      <c r="BO33" s="117"/>
      <c r="BP33" s="117"/>
      <c r="BQ33" s="115"/>
      <c r="BR33" s="1478" t="inlineStr">
        <is>
          <t>N/A</t>
        </is>
      </c>
      <c r="BS33" s="1548"/>
      <c r="BT33" s="1783" t="inlineStr">
        <is>
          <t>GSM</t>
        </is>
      </c>
      <c r="BU33" s="1783">
        <v>900</v>
      </c>
      <c r="BV33" s="400">
        <f>Overview!$H$28</f>
        <v/>
      </c>
      <c r="BW33" s="2010"/>
      <c r="BX33" s="1800"/>
      <c r="BY33" s="2040"/>
      <c r="BZ33" s="2040"/>
      <c r="CA33" s="404" t="inlineStr">
        <is>
          <t>Accesorio 2: Clip</t>
        </is>
      </c>
      <c r="CB33" s="201">
        <v>0</v>
      </c>
      <c r="CC33" s="1081">
        <f>IF(COUNT($CO$21:$CO$28)=0,"N/A",INDEX($CC$21:$CC$28,MATCH(MAX($CO$21:$CO$28),$CO$21:$CO$28,0)))</f>
        <v/>
      </c>
      <c r="CD33" s="1081">
        <f>IF(COUNT($CO$21:$CO$28)=0,"N/A",INDEX($CD$21:$CD$28,MATCH(MAX($CO$21:$CO$28),$CO$21:$CO$28,0)))</f>
        <v/>
      </c>
      <c r="CE33" s="1874"/>
      <c r="CF33" s="1874"/>
      <c r="CG33" s="388" t="inlineStr">
        <is>
          <t>N/A</t>
        </is>
      </c>
      <c r="CH33" s="388">
        <f>BZ33</f>
        <v/>
      </c>
      <c r="CI33" s="388">
        <f>CA33</f>
        <v/>
      </c>
      <c r="CJ33" s="2046"/>
      <c r="CK33" s="2047"/>
      <c r="CL33" s="212">
        <f>IF(CF33=""," ",IF(ABS(CE33-CF33)&lt;=0.125,"Valid","Not valid"))</f>
        <v/>
      </c>
      <c r="CM33" s="213">
        <f> IF(CE33="","",IF(AND(CE33&lt;&gt;"",CF33=""),IF(CE33&gt;=1,"Medir+Sig Max","No"),IF(CF33&lt;&gt;"",IF(CF33&gt;=1,"Medir+Sig Max","No"),"")))</f>
        <v/>
      </c>
      <c r="CN33" s="214">
        <f>IF(UPPER(CM1)="X",IF(CF33=""," ",IF((ABS(CE33)&lt;5)*AND(ABS(CF33)&lt;5)*AND(ABS(CO33)&lt;5),"Solo si es max","Medir")),IF(CF33=""," ",IF((ABS(CE33)&lt;1)*AND(ABS(CF33)&lt;1)*AND(ABS(CO33)&lt;1),"Solo si es max","Medir")))</f>
        <v/>
      </c>
      <c r="CO33" s="221">
        <f>IF(CK33="",IF(AND(CE33="",CF33=""),"",IF(CF33="",IF(DE33&gt;1,ROUND(DE33*CE33,3),CE33),IF(DE33&gt;1,ROUND(DE33*CF33,3),CF33))),IF(AND(CE33="",CF33=""),"",IF(CF33="",IF(DE33&gt;1,ROUND(DE33*CE33*(1/(CK33)),3),CE33*(1/(CK33))),IF(DE33&gt;1,ROUND(DE33*CF33*(1/(CK33)),3),CF33*(1/(CK33))))))</f>
        <v/>
      </c>
      <c r="CP33" s="2048">
        <f>$CP$3</f>
        <v/>
      </c>
      <c r="CQ33" s="1473">
        <f>IF(CO33="","",IF(CO33&gt;CP33,"Fail","Pass"))</f>
        <v/>
      </c>
      <c r="CR33" s="1482">
        <f>IF(CO33&lt;&gt;"",MAX($CR$3:CR32)+1,"")</f>
        <v/>
      </c>
      <c r="CS33" s="1566">
        <f>MyTimestamp(CQ33)</f>
        <v/>
      </c>
      <c r="CT33" s="1535">
        <f>IF(COUNT(CE33:CF33)=1,15,IF(COUNT(CE33:CF33)=0,0,30))</f>
        <v/>
      </c>
      <c r="CU33" s="1536">
        <f>IF(CT33=0,0,2)</f>
        <v/>
      </c>
      <c r="CV33" s="861" t="inlineStr">
        <is>
          <t>S/02</t>
        </is>
      </c>
      <c r="CW33" s="861" t="inlineStr">
        <is>
          <t>Dasy6</t>
        </is>
      </c>
      <c r="CX33" s="2038"/>
      <c r="CY33" s="2050"/>
      <c r="CZ33" s="1545">
        <f>10^(CJ33/20)*100-100</f>
        <v/>
      </c>
      <c r="DA33" s="1320">
        <f>IF('Tune-Up'!$H$12="","",'Tune-Up'!$H$12)</f>
        <v/>
      </c>
      <c r="DB33" s="696">
        <f>IF(COUNT($CO$21:$CO$28)=0,"N/A",IFERROR(INDEX($DB$21:$DB$28,MATCH(MAX($CO$21:$CO$28),$CO$21:$CO$28,0)),"N/A"))</f>
        <v/>
      </c>
      <c r="DC33" s="798">
        <f>IF(DA33="","",10^(DA33/10))</f>
        <v/>
      </c>
      <c r="DD33" s="1364">
        <f>IF(ISNUMBER(DB33)=FALSE,"N/A",10^(DB33/10))</f>
        <v/>
      </c>
      <c r="DE33" s="1545">
        <f>IF(AND(ISNUMBER(DC33),ISNUMBER(DD33)),IF(DC33/DD33&gt;1,ROUND((DC33)/DD33,3),1),1)</f>
        <v/>
      </c>
      <c r="DF33" s="1541"/>
      <c r="DG33" s="1541"/>
      <c r="DH33" s="1541"/>
      <c r="DI33" s="1541"/>
      <c r="DJ33" s="1541"/>
      <c r="DK33" s="1541"/>
      <c r="DL33" s="1541"/>
      <c r="DM33" s="1541"/>
      <c r="DN33" s="1541"/>
      <c r="DO33" s="1541"/>
      <c r="DP33" s="1541"/>
      <c r="DQ33" s="1541"/>
      <c r="DR33" s="1541"/>
    </row>
    <row r="34" ht="12.75" x14ac:dyDescent="0.2">
      <c r="A34" s="1541"/>
      <c r="B34" s="1541"/>
      <c r="C34"/>
      <c r="D34" s="130">
        <f>IF(BX$34="Close to Ear","EN 62209-1","EN 62209-2")</f>
        <v/>
      </c>
      <c r="E34" s="130">
        <f>IF(CG34="Close to Ear","2016","2010/A1:2019")</f>
        <v/>
      </c>
      <c r="F34" s="1488" t="inlineStr">
        <is>
          <t>5.1</t>
        </is>
      </c>
      <c r="G34" s="1497"/>
      <c r="H34" s="120">
        <f>BV34</f>
        <v/>
      </c>
      <c r="I34" s="120">
        <f>BW34</f>
        <v/>
      </c>
      <c r="J34" s="687" t="str">
        <f>BT34</f>
        <v>GSM</v>
      </c>
      <c r="K34" s="194">
        <f>BU34</f>
        <v>900</v>
      </c>
      <c r="L34" s="115"/>
      <c r="M34" s="120">
        <f>BZ34</f>
        <v>0</v>
      </c>
      <c r="N34" s="119"/>
      <c r="O34" s="131"/>
      <c r="P34" s="6597"/>
      <c r="Q34" s="131"/>
      <c r="R34" s="131"/>
      <c r="S34" s="120">
        <f>CG34</f>
        <v>0</v>
      </c>
      <c r="T34" s="120">
        <f>CC34</f>
        <v>37</v>
      </c>
      <c r="U34" s="120">
        <f>CD34</f>
        <v>897.4</v>
      </c>
      <c r="V34" s="119"/>
      <c r="W34" s="197">
        <f>CK34*100</f>
        <v/>
      </c>
      <c r="X34" s="119"/>
      <c r="Y34" s="119"/>
      <c r="Z34" s="119"/>
      <c r="AA34" s="115"/>
      <c r="AB34" s="115"/>
      <c r="AC34" s="689">
        <f>IF(OR(BX$34="Close to Ear",BX$34="Close to Head"),"Head",IF(BX$34="Extremity","Extremity","Body"))</f>
        <v/>
      </c>
      <c r="AD34" s="690">
        <f>CA34</f>
        <v/>
      </c>
      <c r="AE34" s="688">
        <f>CB34</f>
        <v/>
      </c>
      <c r="AF34" s="115"/>
      <c r="AG34" s="808">
        <f>IF(AZ34="","N/A",IF(CQ34="Pass","P","F"))</f>
        <v/>
      </c>
      <c r="AH34" s="129"/>
      <c r="AI34" s="129"/>
      <c r="AJ34" s="129"/>
      <c r="AK34" s="119"/>
      <c r="AL34" s="115"/>
      <c r="AM34" s="119"/>
      <c r="AN34" s="119"/>
      <c r="AO34" s="692"/>
      <c r="AP34" s="692"/>
      <c r="AQ34" s="692"/>
      <c r="AR34" s="692"/>
      <c r="AS34" s="692"/>
      <c r="AT34" s="691">
        <f>CE34</f>
        <v/>
      </c>
      <c r="AU34" s="691">
        <f>CF34</f>
        <v/>
      </c>
      <c r="AV34" s="813"/>
      <c r="AW34" s="813"/>
      <c r="AX34" s="197">
        <f>CZ34</f>
        <v/>
      </c>
      <c r="AY34" s="197">
        <f>DE34</f>
        <v/>
      </c>
      <c r="AZ34" s="3379">
        <f>CO34</f>
        <v/>
      </c>
      <c r="BA34" s="3380"/>
      <c r="BB34" s="197">
        <f>CP34</f>
        <v/>
      </c>
      <c r="BC34" s="813"/>
      <c r="BD34" s="197">
        <f>CR34</f>
        <v/>
      </c>
      <c r="BE34" s="121">
        <f>CS34</f>
        <v/>
      </c>
      <c r="BF34" s="122">
        <f>CT34*60</f>
        <v/>
      </c>
      <c r="BG34" s="121">
        <f>BE34</f>
        <v/>
      </c>
      <c r="BH34" s="122">
        <f>CU34*60</f>
        <v/>
      </c>
      <c r="BI34" s="122">
        <f>CV34</f>
        <v/>
      </c>
      <c r="BJ34" s="117"/>
      <c r="BK34" s="812">
        <f>Overview!$E$7</f>
        <v/>
      </c>
      <c r="BL34" s="117"/>
      <c r="BM34" s="836">
        <f>CW34</f>
        <v/>
      </c>
      <c r="BN34" s="812">
        <f>Overview!$P$153</f>
        <v/>
      </c>
      <c r="BO34" s="117"/>
      <c r="BP34" s="117"/>
      <c r="BQ34" s="115"/>
      <c r="BR34" s="1478" t="inlineStr">
        <is>
          <t>N/A</t>
        </is>
      </c>
      <c r="BS34" s="1548"/>
      <c r="BT34" s="1783" t="inlineStr">
        <is>
          <t>GSM</t>
        </is>
      </c>
      <c r="BU34" s="1783">
        <v>900</v>
      </c>
      <c r="BV34" s="400">
        <f>Overview!$H$28</f>
        <v/>
      </c>
      <c r="BW34" s="2010"/>
      <c r="BX34" s="7673" t="inlineStr">
        <is>
          <t>Extremity</t>
        </is>
      </c>
      <c r="BY34" s="2040"/>
      <c r="BZ34" s="2040"/>
      <c r="CA34" s="1996" t="inlineStr">
        <is>
          <t>Front Face</t>
        </is>
      </c>
      <c r="CB34" s="200">
        <v>5</v>
      </c>
      <c r="CC34" s="1062">
        <f>'2G-3G'!BX15</f>
        <v>37</v>
      </c>
      <c r="CD34" s="1062">
        <f>'2G-3G'!BY15</f>
        <v>897.4</v>
      </c>
      <c r="CE34" s="2051"/>
      <c r="CF34" s="2051"/>
      <c r="CG34" s="389" t="str">
        <f>IF(OR($BY$3="",$BY$3=""),"",$BY$3)</f>
        <v/>
      </c>
      <c r="CH34" s="389">
        <f>BZ34</f>
        <v/>
      </c>
      <c r="CI34" s="389">
        <f>CA34</f>
        <v/>
      </c>
      <c r="CJ34" s="2052"/>
      <c r="CK34" s="2036"/>
      <c r="CL34" s="203">
        <f>IF(CF34=""," ",IF(ABS(CE34-CF34)&lt;=0.25,"Valid","Not valid"))</f>
        <v/>
      </c>
      <c r="CM34" s="204">
        <f> IF(CE34="","",IF(AND(CE34&lt;&gt;"",CF34=""),IF(CE34&gt;=2,"Medir+Sig Max","No"),IF(CF34&lt;&gt;"",IF(CF34&gt;=2,"Medir+Sig Max","No"),"")))</f>
        <v/>
      </c>
      <c r="CN34" s="205">
        <f>IF(UPPER(CM11)="X",IF(CF34=""," ",IF((ABS(CE34)&lt;5)*AND(ABS(CF34)&lt;5)*AND(ABS(CO34)&lt;5),"Solo si es max","Medir")),IF(CF34=""," ",IF((ABS(CE34)&lt;1)*AND(ABS(CF34)&lt;1)*AND(ABS(CO34)&lt;1),"Solo si es max","Medir")))</f>
        <v/>
      </c>
      <c r="CO34" s="222">
        <f>IF(CK34="",IF(AND(CE34="",CF34=""),"",IF(CF34="",IF(DE34&gt;1,ROUND(DE34*CE34,3),CE34),IF(DE34&gt;1,ROUND(DE34*CF34,3),CF34))),IF(AND(CE34="",CF34=""),"",IF(CF34="",IF(DE34&gt;1,ROUND(DE34*CE34*(1/(CK34)),3),CE34*(1/(CK34))),IF(DE34&gt;1,ROUND(DE34*CF34*(1/(CK34)),3),CF34*(1/(CK34))))))</f>
        <v/>
      </c>
      <c r="CP34" s="2053">
        <f>IF(COUNTIF(Overview!K10:K11,TRUE)&gt;0,4,IF(COUNTIF(Overview!L10:L11,TRUE)&gt;0,20,0))</f>
        <v/>
      </c>
      <c r="CQ34" s="1474">
        <f>IF(CO34="","",IF(CO34&gt;CP34,"Fail","Pass"))</f>
        <v/>
      </c>
      <c r="CR34" s="1480">
        <f>IF(AND(MAX(CO34:CO41)=CO34,CO34&lt;&gt;0),COUNT($CR$3:CR28)+1,"")</f>
        <v/>
      </c>
      <c r="CS34" s="2054">
        <f>MyTimestamp(CO34)</f>
        <v/>
      </c>
      <c r="CT34" s="1537">
        <f>IF(CE34="",0,15)+IF(CF34="",0,15)</f>
        <v/>
      </c>
      <c r="CU34" s="1538">
        <f>IF(CT34=0,0,2)</f>
        <v/>
      </c>
      <c r="CV34" s="2055" t="inlineStr">
        <is>
          <t>S/02</t>
        </is>
      </c>
      <c r="CW34" s="2055" t="inlineStr">
        <is>
          <t>Dasy6</t>
        </is>
      </c>
      <c r="CX34" s="2038"/>
      <c r="CY34" s="2056"/>
      <c r="CZ34" s="1546">
        <f>10^(CJ34/20)*100-100</f>
        <v/>
      </c>
      <c r="DA34" s="1318">
        <f>IF('Tune-Up'!$H$12="","",'Tune-Up'!$H$12)</f>
        <v/>
      </c>
      <c r="DB34" s="694">
        <f>'2G-3G'!BZ15</f>
        <v/>
      </c>
      <c r="DC34" s="796">
        <f>IF(DA34="","",10^(DA34/10))</f>
        <v/>
      </c>
      <c r="DD34" s="1362">
        <f>IF(ISNUMBER(DB34)=FALSE,"",10^(DB34/10))</f>
        <v/>
      </c>
      <c r="DE34" s="1546">
        <f>IF(AND(ISNUMBER(DC34),ISNUMBER(DD34)),IF(DC34/DD34&gt;1,ROUND((DC34)/DD34,3),1),1)</f>
        <v/>
      </c>
      <c r="DF34" s="1541"/>
      <c r="DG34" s="1541"/>
      <c r="DH34" s="1541"/>
      <c r="DI34" s="1541"/>
      <c r="DJ34" s="1541"/>
      <c r="DK34" s="1541"/>
      <c r="DL34" s="1541"/>
      <c r="DM34" s="1541"/>
      <c r="DN34" s="1541"/>
      <c r="DO34" s="1541"/>
      <c r="DP34" s="1541"/>
      <c r="DQ34" s="1541"/>
      <c r="DR34" s="1541"/>
    </row>
    <row r="35" ht="12.75" x14ac:dyDescent="0.2">
      <c r="A35" s="1541"/>
      <c r="B35" s="1541"/>
      <c r="C35"/>
      <c r="D35" s="130">
        <f>IF(BX$34="Close to Ear","EN 62209-1","EN 62209-2")</f>
        <v/>
      </c>
      <c r="E35" s="130">
        <f>IF(CG35="Close to Ear","2016","2010/A1:2019")</f>
        <v/>
      </c>
      <c r="F35" s="1488" t="inlineStr">
        <is>
          <t>5.1</t>
        </is>
      </c>
      <c r="G35" s="1497"/>
      <c r="H35" s="120">
        <f>BV35</f>
        <v/>
      </c>
      <c r="I35" s="120">
        <f>BW35</f>
        <v/>
      </c>
      <c r="J35" s="687" t="str">
        <f>BT35</f>
        <v>GSM</v>
      </c>
      <c r="K35" s="194">
        <f>BU35</f>
        <v>900</v>
      </c>
      <c r="L35" s="115"/>
      <c r="M35" s="120">
        <f>BZ35</f>
        <v>0</v>
      </c>
      <c r="N35" s="119"/>
      <c r="O35" s="131"/>
      <c r="P35" s="6597"/>
      <c r="Q35" s="131"/>
      <c r="R35" s="131"/>
      <c r="S35" s="120">
        <f>CG35</f>
        <v>0</v>
      </c>
      <c r="T35" s="120">
        <f>CC35</f>
        <v>37</v>
      </c>
      <c r="U35" s="120">
        <f>CD35</f>
        <v>897.4</v>
      </c>
      <c r="V35" s="119"/>
      <c r="W35" s="197">
        <f>CK35*100</f>
        <v/>
      </c>
      <c r="X35" s="119"/>
      <c r="Y35" s="119"/>
      <c r="Z35" s="119"/>
      <c r="AA35" s="115"/>
      <c r="AB35" s="115"/>
      <c r="AC35" s="689">
        <f>IF(OR(BX$34="Close to Ear",BX$34="Close to Head"),"Head",IF(BX$34="Extremity","Extremity","Body"))</f>
        <v/>
      </c>
      <c r="AD35" s="690">
        <f>CA35</f>
        <v/>
      </c>
      <c r="AE35" s="688">
        <f>CB35</f>
        <v/>
      </c>
      <c r="AF35" s="115"/>
      <c r="AG35" s="808">
        <f>IF(AZ35="","N/A",IF(CQ35="Pass","P","F"))</f>
        <v/>
      </c>
      <c r="AH35" s="129"/>
      <c r="AI35" s="129"/>
      <c r="AJ35" s="129"/>
      <c r="AK35" s="119"/>
      <c r="AL35" s="115"/>
      <c r="AM35" s="119"/>
      <c r="AN35" s="119"/>
      <c r="AO35" s="692"/>
      <c r="AP35" s="692"/>
      <c r="AQ35" s="692"/>
      <c r="AR35" s="692"/>
      <c r="AS35" s="692"/>
      <c r="AT35" s="691">
        <f>CE35</f>
        <v/>
      </c>
      <c r="AU35" s="691">
        <f>CF35</f>
        <v/>
      </c>
      <c r="AV35" s="813"/>
      <c r="AW35" s="813"/>
      <c r="AX35" s="197">
        <f>CZ35</f>
        <v/>
      </c>
      <c r="AY35" s="197">
        <f>DE35</f>
        <v/>
      </c>
      <c r="AZ35" s="3379">
        <f>CO35</f>
        <v/>
      </c>
      <c r="BA35" s="3380"/>
      <c r="BB35" s="197">
        <f>CP35</f>
        <v/>
      </c>
      <c r="BC35" s="813"/>
      <c r="BD35" s="197">
        <f>CR35</f>
        <v/>
      </c>
      <c r="BE35" s="121">
        <f>CS35</f>
        <v/>
      </c>
      <c r="BF35" s="122">
        <f>CT35*60</f>
        <v/>
      </c>
      <c r="BG35" s="121">
        <f>BE35</f>
        <v/>
      </c>
      <c r="BH35" s="122">
        <f>CU35*60</f>
        <v/>
      </c>
      <c r="BI35" s="122">
        <f>CV35</f>
        <v/>
      </c>
      <c r="BJ35" s="117"/>
      <c r="BK35" s="812">
        <f>Overview!$E$7</f>
        <v/>
      </c>
      <c r="BL35" s="117"/>
      <c r="BM35" s="836">
        <f>CW35</f>
        <v/>
      </c>
      <c r="BN35" s="812">
        <f>Overview!$P$153</f>
        <v/>
      </c>
      <c r="BO35" s="117"/>
      <c r="BP35" s="117"/>
      <c r="BQ35" s="115"/>
      <c r="BR35" s="1478" t="inlineStr">
        <is>
          <t>N/A</t>
        </is>
      </c>
      <c r="BS35" s="1548"/>
      <c r="BT35" s="1783" t="inlineStr">
        <is>
          <t>GSM</t>
        </is>
      </c>
      <c r="BU35" s="1783">
        <v>900</v>
      </c>
      <c r="BV35" s="400">
        <f>Overview!$H$28</f>
        <v/>
      </c>
      <c r="BW35" s="2010"/>
      <c r="BX35" s="1783"/>
      <c r="BY35" s="2040"/>
      <c r="BZ35" s="2040"/>
      <c r="CA35" s="1997" t="inlineStr">
        <is>
          <t>Back Face</t>
        </is>
      </c>
      <c r="CB35" s="200">
        <v>5</v>
      </c>
      <c r="CC35" s="1063">
        <f>'2G-3G'!BX15</f>
        <v>37</v>
      </c>
      <c r="CD35" s="1063">
        <f>'2G-3G'!BY15</f>
        <v>897.4</v>
      </c>
      <c r="CE35" s="1523"/>
      <c r="CF35" s="1523"/>
      <c r="CG35" s="387" t="str">
        <f>IF(OR($BY$3="",$BY$3=""),"",$BY$3)</f>
        <v/>
      </c>
      <c r="CH35" s="387">
        <f>BZ35</f>
        <v/>
      </c>
      <c r="CI35" s="387">
        <f>CA35</f>
        <v/>
      </c>
      <c r="CJ35" s="1527"/>
      <c r="CK35" s="2042"/>
      <c r="CL35" s="206">
        <f>IF(CF35=""," ",IF(ABS(CE35-CF35)&lt;=0.25,"Valid","Not valid"))</f>
        <v/>
      </c>
      <c r="CM35" s="207">
        <f> IF(CE35="","",IF(AND(CE35&lt;&gt;"",CF35=""),IF(CE35&gt;=2,"Medir+Sig Max","No"),IF(CF35&lt;&gt;"",IF(CF35&gt;=2,"Medir+Sig Max","No"),"")))</f>
        <v/>
      </c>
      <c r="CN35" s="208">
        <f>IF(UPPER(CM11)="X",IF(CF35=""," ",IF((ABS(CE35)&lt;5)*AND(ABS(CF35)&lt;5)*AND(ABS(CO35)&lt;5),"Solo si es max","Medir")),IF(CF35=""," ",IF((ABS(CE35)&lt;1)*AND(ABS(CF35)&lt;1)*AND(ABS(CO35)&lt;1),"Solo si es max","Medir")))</f>
        <v/>
      </c>
      <c r="CO35" s="220">
        <f>IF(CK35="",IF(AND(CE35="",CF35=""),"",IF(CF35="",IF(DE35&gt;1,ROUND(DE35*CE35,3),CE35),IF(DE35&gt;1,ROUND(DE35*CF35,3),CF35))),IF(AND(CE35="",CF35=""),"",IF(CF35="",IF(DE35&gt;1,ROUND(DE35*CE35*(1/(CK35)),3),CE35*(1/(CK35))),IF(DE35&gt;1,ROUND(DE35*CF35*(1/(CK35)),3),CF35*(1/(CK35))))))</f>
        <v/>
      </c>
      <c r="CP35" s="2043">
        <f>$CP$34</f>
        <v/>
      </c>
      <c r="CQ35" s="1472">
        <f>IF(CO35="","",IF(CO35&gt;CP35,"Fail","Pass"))</f>
        <v/>
      </c>
      <c r="CR35" s="1481">
        <f>IF(AND(MAX(CO34:CO41)=CO35,CO35&lt;&gt;0),COUNT($CR$3:CR34)+1,"")</f>
        <v/>
      </c>
      <c r="CS35" s="1565">
        <f>MyTimestamp(CO35)</f>
        <v/>
      </c>
      <c r="CT35" s="1531">
        <f>IF(CE35="",0,15)+IF(CF35="",0,15)</f>
        <v/>
      </c>
      <c r="CU35" s="1532">
        <f>IF(CT35=0,0,2)</f>
        <v/>
      </c>
      <c r="CV35" s="859" t="inlineStr">
        <is>
          <t>S/02</t>
        </is>
      </c>
      <c r="CW35" s="859" t="inlineStr">
        <is>
          <t>Dasy6</t>
        </is>
      </c>
      <c r="CX35" s="2038"/>
      <c r="CY35" s="2044"/>
      <c r="CZ35" s="1543">
        <f>10^(CJ35/20)*100-100</f>
        <v/>
      </c>
      <c r="DA35" s="1319">
        <f>IF('Tune-Up'!$H$12="","",'Tune-Up'!$H$12)</f>
        <v/>
      </c>
      <c r="DB35" s="695">
        <f>'2G-3G'!BZ15</f>
        <v/>
      </c>
      <c r="DC35" s="797">
        <f>IF(DA35="","",10^(DA35/10))</f>
        <v/>
      </c>
      <c r="DD35" s="1363">
        <f>IF(ISNUMBER(DB35)=FALSE,"",10^(DB35/10))</f>
        <v/>
      </c>
      <c r="DE35" s="1543">
        <f>IF(AND(ISNUMBER(DC35),ISNUMBER(DD35)),IF(DC35/DD35&gt;1,ROUND((DC35)/DD35,3),1),1)</f>
        <v/>
      </c>
      <c r="DF35" s="1541"/>
      <c r="DG35" s="1541"/>
      <c r="DH35" s="1541"/>
      <c r="DI35" s="1541"/>
      <c r="DJ35" s="1541"/>
      <c r="DK35" s="1541"/>
      <c r="DL35" s="1541"/>
      <c r="DM35" s="1541"/>
      <c r="DN35" s="1541"/>
      <c r="DO35" s="1541"/>
      <c r="DP35" s="1541"/>
      <c r="DQ35" s="1541"/>
      <c r="DR35" s="1541"/>
    </row>
    <row r="36" ht="12.75" x14ac:dyDescent="0.2">
      <c r="A36" s="1541"/>
      <c r="B36" s="1541"/>
      <c r="C36"/>
      <c r="D36" s="130">
        <f>IF(BX$34="Close to Ear","EN 62209-1","EN 62209-2")</f>
        <v/>
      </c>
      <c r="E36" s="130">
        <f>IF(CG36="Close to Ear","2016","2010/A1:2019")</f>
        <v/>
      </c>
      <c r="F36" s="1488" t="inlineStr">
        <is>
          <t>5.1</t>
        </is>
      </c>
      <c r="G36" s="1497"/>
      <c r="H36" s="120">
        <f>BV36</f>
        <v/>
      </c>
      <c r="I36" s="120">
        <f>BW36</f>
        <v/>
      </c>
      <c r="J36" s="687" t="str">
        <f>BT36</f>
        <v>GSM</v>
      </c>
      <c r="K36" s="194">
        <f>BU36</f>
        <v>900</v>
      </c>
      <c r="L36" s="115"/>
      <c r="M36" s="120">
        <f>BZ36</f>
        <v>0</v>
      </c>
      <c r="N36" s="119"/>
      <c r="O36" s="131"/>
      <c r="P36" s="6597"/>
      <c r="Q36" s="131"/>
      <c r="R36" s="131"/>
      <c r="S36" s="120">
        <f>CG36</f>
        <v>0</v>
      </c>
      <c r="T36" s="120">
        <f>CC36</f>
        <v>37</v>
      </c>
      <c r="U36" s="120">
        <f>CD36</f>
        <v>897.4</v>
      </c>
      <c r="V36" s="119"/>
      <c r="W36" s="197">
        <f>CK36*100</f>
        <v/>
      </c>
      <c r="X36" s="119"/>
      <c r="Y36" s="119"/>
      <c r="Z36" s="119"/>
      <c r="AA36" s="115"/>
      <c r="AB36" s="115"/>
      <c r="AC36" s="689">
        <f>IF(OR(BX$34="Close to Ear",BX$34="Close to Head"),"Head",IF(BX$34="Extremity","Extremity","Body"))</f>
        <v/>
      </c>
      <c r="AD36" s="690">
        <f>CA36</f>
        <v/>
      </c>
      <c r="AE36" s="688">
        <f>CB36</f>
        <v/>
      </c>
      <c r="AF36" s="115"/>
      <c r="AG36" s="808">
        <f>IF(AZ36="","N/A",IF(CQ36="Pass","P","F"))</f>
        <v/>
      </c>
      <c r="AH36" s="129"/>
      <c r="AI36" s="129"/>
      <c r="AJ36" s="129"/>
      <c r="AK36" s="119"/>
      <c r="AL36" s="115"/>
      <c r="AM36" s="119"/>
      <c r="AN36" s="119"/>
      <c r="AO36" s="692"/>
      <c r="AP36" s="692"/>
      <c r="AQ36" s="692"/>
      <c r="AR36" s="692"/>
      <c r="AS36" s="692"/>
      <c r="AT36" s="691">
        <f>CE36</f>
        <v/>
      </c>
      <c r="AU36" s="691">
        <f>CF36</f>
        <v/>
      </c>
      <c r="AV36" s="813"/>
      <c r="AW36" s="813"/>
      <c r="AX36" s="197">
        <f>CZ36</f>
        <v/>
      </c>
      <c r="AY36" s="197">
        <f>DE36</f>
        <v/>
      </c>
      <c r="AZ36" s="3379">
        <f>CO36</f>
        <v/>
      </c>
      <c r="BA36" s="3380"/>
      <c r="BB36" s="197">
        <f>CP36</f>
        <v/>
      </c>
      <c r="BC36" s="813"/>
      <c r="BD36" s="197">
        <f>CR36</f>
        <v/>
      </c>
      <c r="BE36" s="121">
        <f>CS36</f>
        <v/>
      </c>
      <c r="BF36" s="122">
        <f>CT36*60</f>
        <v/>
      </c>
      <c r="BG36" s="121">
        <f>BE36</f>
        <v/>
      </c>
      <c r="BH36" s="122">
        <f>CU36*60</f>
        <v/>
      </c>
      <c r="BI36" s="122">
        <f>CV36</f>
        <v/>
      </c>
      <c r="BJ36" s="117"/>
      <c r="BK36" s="812">
        <f>Overview!$E$7</f>
        <v/>
      </c>
      <c r="BL36" s="117"/>
      <c r="BM36" s="836">
        <f>CW36</f>
        <v/>
      </c>
      <c r="BN36" s="812">
        <f>Overview!$P$153</f>
        <v/>
      </c>
      <c r="BO36" s="117"/>
      <c r="BP36" s="117"/>
      <c r="BQ36" s="115"/>
      <c r="BR36" s="1478" t="inlineStr">
        <is>
          <t>N/A</t>
        </is>
      </c>
      <c r="BS36" s="1548"/>
      <c r="BT36" s="1783" t="inlineStr">
        <is>
          <t>GSM</t>
        </is>
      </c>
      <c r="BU36" s="1783">
        <v>900</v>
      </c>
      <c r="BV36" s="400">
        <f>Overview!$H$28</f>
        <v/>
      </c>
      <c r="BW36" s="2010"/>
      <c r="BX36" s="1783"/>
      <c r="BY36" s="2040"/>
      <c r="BZ36" s="2040"/>
      <c r="CA36" s="1997" t="inlineStr">
        <is>
          <t>Left Edge</t>
        </is>
      </c>
      <c r="CB36" s="200">
        <v>5</v>
      </c>
      <c r="CC36" s="1063">
        <f>'2G-3G'!BX15</f>
        <v>37</v>
      </c>
      <c r="CD36" s="1063">
        <f>'2G-3G'!BY15</f>
        <v>897.4</v>
      </c>
      <c r="CE36" s="1523"/>
      <c r="CF36" s="1523"/>
      <c r="CG36" s="387" t="str">
        <f>IF(OR($BY$3="",$BY$3=""),"",$BY$3)</f>
        <v/>
      </c>
      <c r="CH36" s="387">
        <f>BZ36</f>
        <v/>
      </c>
      <c r="CI36" s="387">
        <f>CA36</f>
        <v/>
      </c>
      <c r="CJ36" s="1527"/>
      <c r="CK36" s="2042"/>
      <c r="CL36" s="206">
        <f>IF(CF36=""," ",IF(ABS(CE36-CF36)&lt;=0.25,"Valid","Not valid"))</f>
        <v/>
      </c>
      <c r="CM36" s="207">
        <f> IF(CE36="","",IF(AND(CE36&lt;&gt;"",CF36=""),IF(CE36&gt;=2,"Medir+Sig Max","No"),IF(CF36&lt;&gt;"",IF(CF36&gt;=2,"Medir+Sig Max","No"),"")))</f>
        <v/>
      </c>
      <c r="CN36" s="208">
        <f>IF(UPPER(CM11)="X",IF(CF36=""," ",IF((ABS(CE36)&lt;5)*AND(ABS(CF36)&lt;5)*AND(ABS(CO36)&lt;5),"Solo si es max","Medir")),IF(CF36=""," ",IF((ABS(CE36)&lt;1)*AND(ABS(CF36)&lt;1)*AND(ABS(CO36)&lt;1),"Solo si es max","Medir")))</f>
        <v/>
      </c>
      <c r="CO36" s="220">
        <f>IF(CK36="",IF(AND(CE36="",CF36=""),"",IF(CF36="",IF(DE36&gt;1,ROUND(DE36*CE36,3),CE36),IF(DE36&gt;1,ROUND(DE36*CF36,3),CF36))),IF(AND(CE36="",CF36=""),"",IF(CF36="",IF(DE36&gt;1,ROUND(DE36*CE36*(1/(CK36)),3),CE36*(1/(CK36))),IF(DE36&gt;1,ROUND(DE36*CF36*(1/(CK36)),3),CF36*(1/(CK36))))))</f>
        <v/>
      </c>
      <c r="CP36" s="2043">
        <f>$CP$34</f>
        <v/>
      </c>
      <c r="CQ36" s="1472">
        <f>IF(CO36="","",IF(CO36&gt;CP36,"Fail","Pass"))</f>
        <v/>
      </c>
      <c r="CR36" s="1481">
        <f>IF(AND(MAX(CO34:CO41)=CO36,CO36&lt;&gt;0),COUNT($CR$3:CR35)+1,"")</f>
        <v/>
      </c>
      <c r="CS36" s="1565">
        <f>MyTimestamp(CO36)</f>
        <v/>
      </c>
      <c r="CT36" s="1531">
        <f>IF(CE36="",0,15)+IF(CF36="",0,15)</f>
        <v/>
      </c>
      <c r="CU36" s="1532">
        <f>IF(CT36=0,0,2)</f>
        <v/>
      </c>
      <c r="CV36" s="859" t="inlineStr">
        <is>
          <t>S/02</t>
        </is>
      </c>
      <c r="CW36" s="859" t="inlineStr">
        <is>
          <t>Dasy6</t>
        </is>
      </c>
      <c r="CX36" s="2038"/>
      <c r="CY36" s="2044"/>
      <c r="CZ36" s="1543">
        <f>10^(CJ36/20)*100-100</f>
        <v/>
      </c>
      <c r="DA36" s="1319">
        <f>IF('Tune-Up'!$H$12="","",'Tune-Up'!$H$12)</f>
        <v/>
      </c>
      <c r="DB36" s="695">
        <f>'2G-3G'!BZ15</f>
        <v/>
      </c>
      <c r="DC36" s="797">
        <f>IF(DA36="","",10^(DA36/10))</f>
        <v/>
      </c>
      <c r="DD36" s="1363">
        <f>IF(ISNUMBER(DB36)=FALSE,"",10^(DB36/10))</f>
        <v/>
      </c>
      <c r="DE36" s="1543">
        <f>IF(AND(ISNUMBER(DC36),ISNUMBER(DD36)),IF(DC36/DD36&gt;1,ROUND((DC36)/DD36,3),1),1)</f>
        <v/>
      </c>
      <c r="DF36" s="1541"/>
      <c r="DG36" s="1541"/>
      <c r="DH36" s="1541"/>
      <c r="DI36" s="1541"/>
      <c r="DJ36" s="1541"/>
      <c r="DK36" s="1541"/>
      <c r="DL36" s="1541"/>
      <c r="DM36" s="1541"/>
      <c r="DN36" s="1541"/>
      <c r="DO36" s="1541"/>
      <c r="DP36" s="1541"/>
      <c r="DQ36" s="1541"/>
      <c r="DR36" s="1541"/>
    </row>
    <row r="37" ht="12.75" x14ac:dyDescent="0.2">
      <c r="A37" s="1541"/>
      <c r="B37" s="1541"/>
      <c r="C37"/>
      <c r="D37" s="130">
        <f>IF(BX$34="Close to Ear","EN 62209-1","EN 62209-2")</f>
        <v/>
      </c>
      <c r="E37" s="130">
        <f>IF(CG37="Close to Ear","2016","2010/A1:2019")</f>
        <v/>
      </c>
      <c r="F37" s="1488" t="inlineStr">
        <is>
          <t>5.1</t>
        </is>
      </c>
      <c r="G37" s="1497"/>
      <c r="H37" s="120">
        <f>BV37</f>
        <v/>
      </c>
      <c r="I37" s="120">
        <f>BW37</f>
        <v/>
      </c>
      <c r="J37" s="687" t="str">
        <f>BT37</f>
        <v>GSM</v>
      </c>
      <c r="K37" s="194">
        <f>BU37</f>
        <v>900</v>
      </c>
      <c r="L37" s="115"/>
      <c r="M37" s="120">
        <f>BZ37</f>
        <v>0</v>
      </c>
      <c r="N37" s="119"/>
      <c r="O37" s="131"/>
      <c r="P37" s="6597"/>
      <c r="Q37" s="131"/>
      <c r="R37" s="131"/>
      <c r="S37" s="120">
        <f>CG37</f>
        <v>0</v>
      </c>
      <c r="T37" s="120">
        <f>CC37</f>
        <v>37</v>
      </c>
      <c r="U37" s="120">
        <f>CD37</f>
        <v>897.4</v>
      </c>
      <c r="V37" s="119"/>
      <c r="W37" s="197">
        <f>CK37*100</f>
        <v/>
      </c>
      <c r="X37" s="119"/>
      <c r="Y37" s="119"/>
      <c r="Z37" s="119"/>
      <c r="AA37" s="115"/>
      <c r="AB37" s="115"/>
      <c r="AC37" s="689">
        <f>IF(OR(BX$34="Close to Ear",BX$34="Close to Head"),"Head",IF(BX$34="Extremity","Extremity","Body"))</f>
        <v/>
      </c>
      <c r="AD37" s="690">
        <f>CA37</f>
        <v/>
      </c>
      <c r="AE37" s="688">
        <f>CB37</f>
        <v/>
      </c>
      <c r="AF37" s="115"/>
      <c r="AG37" s="808">
        <f>IF(AZ37="","N/A",IF(CQ37="Pass","P","F"))</f>
        <v/>
      </c>
      <c r="AH37" s="129"/>
      <c r="AI37" s="129"/>
      <c r="AJ37" s="129"/>
      <c r="AK37" s="119"/>
      <c r="AL37" s="115"/>
      <c r="AM37" s="119"/>
      <c r="AN37" s="119"/>
      <c r="AO37" s="692"/>
      <c r="AP37" s="692"/>
      <c r="AQ37" s="692"/>
      <c r="AR37" s="692"/>
      <c r="AS37" s="692"/>
      <c r="AT37" s="691">
        <f>CE37</f>
        <v/>
      </c>
      <c r="AU37" s="691">
        <f>CF37</f>
        <v/>
      </c>
      <c r="AV37" s="813"/>
      <c r="AW37" s="813"/>
      <c r="AX37" s="197">
        <f>CZ37</f>
        <v/>
      </c>
      <c r="AY37" s="197">
        <f>DE37</f>
        <v/>
      </c>
      <c r="AZ37" s="3379">
        <f>CO37</f>
        <v/>
      </c>
      <c r="BA37" s="3380"/>
      <c r="BB37" s="197">
        <f>CP37</f>
        <v/>
      </c>
      <c r="BC37" s="813"/>
      <c r="BD37" s="197">
        <f>CR37</f>
        <v/>
      </c>
      <c r="BE37" s="121">
        <f>CS37</f>
        <v/>
      </c>
      <c r="BF37" s="122">
        <f>CT37*60</f>
        <v/>
      </c>
      <c r="BG37" s="121">
        <f>BE37</f>
        <v/>
      </c>
      <c r="BH37" s="122">
        <f>CU37*60</f>
        <v/>
      </c>
      <c r="BI37" s="122">
        <f>CV37</f>
        <v/>
      </c>
      <c r="BJ37" s="117"/>
      <c r="BK37" s="812">
        <f>Overview!$E$7</f>
        <v/>
      </c>
      <c r="BL37" s="117"/>
      <c r="BM37" s="836">
        <f>CW37</f>
        <v/>
      </c>
      <c r="BN37" s="812">
        <f>Overview!$P$153</f>
        <v/>
      </c>
      <c r="BO37" s="117"/>
      <c r="BP37" s="117"/>
      <c r="BQ37" s="115"/>
      <c r="BR37" s="1478" t="inlineStr">
        <is>
          <t>N/A</t>
        </is>
      </c>
      <c r="BS37" s="1548"/>
      <c r="BT37" s="1791" t="inlineStr">
        <is>
          <t>GSM</t>
        </is>
      </c>
      <c r="BU37" s="1791">
        <v>900</v>
      </c>
      <c r="BV37" s="403">
        <f>Overview!$H$28</f>
        <v/>
      </c>
      <c r="BW37" s="2010"/>
      <c r="BX37" s="1791"/>
      <c r="BY37" s="2040"/>
      <c r="BZ37" s="2040"/>
      <c r="CA37" s="1997" t="inlineStr">
        <is>
          <t>Right Edge</t>
        </is>
      </c>
      <c r="CB37" s="200">
        <v>5</v>
      </c>
      <c r="CC37" s="1063">
        <f>'2G-3G'!BX15</f>
        <v>37</v>
      </c>
      <c r="CD37" s="1063">
        <f>'2G-3G'!BY15</f>
        <v>897.4</v>
      </c>
      <c r="CE37" s="1523"/>
      <c r="CF37" s="1523"/>
      <c r="CG37" s="387" t="str">
        <f>IF(OR($BY$3="",$BY$3=""),"",$BY$3)</f>
        <v/>
      </c>
      <c r="CH37" s="387">
        <f>BZ37</f>
        <v/>
      </c>
      <c r="CI37" s="387">
        <f>CA37</f>
        <v/>
      </c>
      <c r="CJ37" s="1527"/>
      <c r="CK37" s="2042"/>
      <c r="CL37" s="206">
        <f>IF(CF37=""," ",IF(ABS(CE37-CF37)&lt;=0.25,"Valid","Not valid"))</f>
        <v/>
      </c>
      <c r="CM37" s="207">
        <f> IF(CE37="","",IF(AND(CE37&lt;&gt;"",CF37=""),IF(CE37&gt;=2,"Medir+Sig Max","No"),IF(CF37&lt;&gt;"",IF(CF37&gt;=2,"Medir+Sig Max","No"),"")))</f>
        <v/>
      </c>
      <c r="CN37" s="208">
        <f>IF(UPPER(CM11)="X",IF(CF37=""," ",IF((ABS(CE37)&lt;5)*AND(ABS(CF37)&lt;5)*AND(ABS(CO37)&lt;5),"Solo si es max","Medir")),IF(CF37=""," ",IF((ABS(CE37)&lt;1)*AND(ABS(CF37)&lt;1)*AND(ABS(CO37)&lt;1),"Solo si es max","Medir")))</f>
        <v/>
      </c>
      <c r="CO37" s="220">
        <f>IF(CK37="",IF(AND(CE37="",CF37=""),"",IF(CF37="",IF(DE37&gt;1,ROUND(DE37*CE37,3),CE37),IF(DE37&gt;1,ROUND(DE37*CF37,3),CF37))),IF(AND(CE37="",CF37=""),"",IF(CF37="",IF(DE37&gt;1,ROUND(DE37*CE37*(1/(CK37)),3),CE37*(1/(CK37))),IF(DE37&gt;1,ROUND(DE37*CF37*(1/(CK37)),3),CF37*(1/(CK37))))))</f>
        <v/>
      </c>
      <c r="CP37" s="2043">
        <f>$CP$34</f>
        <v/>
      </c>
      <c r="CQ37" s="1472">
        <f>IF(CO37="","",IF(CO37&gt;CP37,"Fail","Pass"))</f>
        <v/>
      </c>
      <c r="CR37" s="1481">
        <f>IF(AND(MAX(CO34:CO41)=CO37,CO37&lt;&gt;0),COUNT($CR$3:CR36)+1,"")</f>
        <v/>
      </c>
      <c r="CS37" s="1565">
        <f>MyTimestamp(CO37)</f>
        <v/>
      </c>
      <c r="CT37" s="1531">
        <f>IF(CE37="",0,15)+IF(CF37="",0,15)</f>
        <v/>
      </c>
      <c r="CU37" s="1532">
        <f>IF(CT37=0,0,2)</f>
        <v/>
      </c>
      <c r="CV37" s="859" t="inlineStr">
        <is>
          <t>S/02</t>
        </is>
      </c>
      <c r="CW37" s="859" t="inlineStr">
        <is>
          <t>Dasy6</t>
        </is>
      </c>
      <c r="CX37" s="2038"/>
      <c r="CY37" s="2044"/>
      <c r="CZ37" s="1543">
        <f>10^(CJ37/20)*100-100</f>
        <v/>
      </c>
      <c r="DA37" s="1319">
        <f>IF('Tune-Up'!$H$12="","",'Tune-Up'!$H$12)</f>
        <v/>
      </c>
      <c r="DB37" s="695">
        <f>'2G-3G'!BZ15</f>
        <v/>
      </c>
      <c r="DC37" s="797">
        <f>IF(DA37="","",10^(DA37/10))</f>
        <v/>
      </c>
      <c r="DD37" s="1363">
        <f>IF(ISNUMBER(DB37)=FALSE,"",10^(DB37/10))</f>
        <v/>
      </c>
      <c r="DE37" s="1543">
        <f>IF(AND(ISNUMBER(DC37),ISNUMBER(DD37)),IF(DC37/DD37&gt;1,ROUND((DC37)/DD37,3),1),1)</f>
        <v/>
      </c>
      <c r="DF37" s="1541"/>
      <c r="DG37" s="1541"/>
      <c r="DH37" s="1541"/>
      <c r="DI37" s="1541"/>
      <c r="DJ37" s="1541"/>
      <c r="DK37" s="1541"/>
      <c r="DL37" s="1541"/>
      <c r="DM37" s="1541"/>
      <c r="DN37" s="1541"/>
      <c r="DO37" s="1541"/>
      <c r="DP37" s="1541"/>
      <c r="DQ37" s="1541"/>
      <c r="DR37" s="1541"/>
    </row>
    <row r="38" ht="12.75" x14ac:dyDescent="0.2">
      <c r="A38" s="1541"/>
      <c r="B38" s="1541"/>
      <c r="C38"/>
      <c r="D38" s="130">
        <f>IF(BX$34="Close to Ear","EN 62209-1","EN 62209-2")</f>
        <v/>
      </c>
      <c r="E38" s="130">
        <f>IF(CG38="Close to Ear","2016","2010/A1:2019")</f>
        <v/>
      </c>
      <c r="F38" s="1488" t="inlineStr">
        <is>
          <t>5.1</t>
        </is>
      </c>
      <c r="G38" s="1497"/>
      <c r="H38" s="120">
        <f>BV38</f>
        <v/>
      </c>
      <c r="I38" s="120">
        <f>BW38</f>
        <v/>
      </c>
      <c r="J38" s="687" t="str">
        <f>BT38</f>
        <v>GSM</v>
      </c>
      <c r="K38" s="194">
        <f>BU38</f>
        <v>900</v>
      </c>
      <c r="L38" s="115"/>
      <c r="M38" s="120">
        <f>BZ38</f>
        <v>0</v>
      </c>
      <c r="N38" s="119"/>
      <c r="O38" s="131"/>
      <c r="P38" s="6597"/>
      <c r="Q38" s="131"/>
      <c r="R38" s="131"/>
      <c r="S38" s="120">
        <f>CG38</f>
        <v>0</v>
      </c>
      <c r="T38" s="120">
        <f>CC38</f>
        <v>37</v>
      </c>
      <c r="U38" s="120">
        <f>CD38</f>
        <v>897.4</v>
      </c>
      <c r="V38" s="119"/>
      <c r="W38" s="197">
        <f>CK38*100</f>
        <v/>
      </c>
      <c r="X38" s="119"/>
      <c r="Y38" s="119"/>
      <c r="Z38" s="119"/>
      <c r="AA38" s="115"/>
      <c r="AB38" s="115"/>
      <c r="AC38" s="689">
        <f>IF(OR(BX$34="Close to Ear",BX$34="Close to Head"),"Head",IF(BX$34="Extremity","Extremity","Body"))</f>
        <v/>
      </c>
      <c r="AD38" s="690">
        <f>CA38</f>
        <v/>
      </c>
      <c r="AE38" s="688">
        <f>CB38</f>
        <v/>
      </c>
      <c r="AF38" s="115"/>
      <c r="AG38" s="808">
        <f>IF(AZ38="","N/A",IF(CQ38="Pass","P","F"))</f>
        <v/>
      </c>
      <c r="AH38" s="129"/>
      <c r="AI38" s="129"/>
      <c r="AJ38" s="129"/>
      <c r="AK38" s="119"/>
      <c r="AL38" s="115"/>
      <c r="AM38" s="119"/>
      <c r="AN38" s="119"/>
      <c r="AO38" s="692"/>
      <c r="AP38" s="692"/>
      <c r="AQ38" s="692"/>
      <c r="AR38" s="692"/>
      <c r="AS38" s="692"/>
      <c r="AT38" s="691">
        <f>CE38</f>
        <v/>
      </c>
      <c r="AU38" s="691">
        <f>CF38</f>
        <v/>
      </c>
      <c r="AV38" s="813"/>
      <c r="AW38" s="813"/>
      <c r="AX38" s="197">
        <f>CZ38</f>
        <v/>
      </c>
      <c r="AY38" s="197">
        <f>DE38</f>
        <v/>
      </c>
      <c r="AZ38" s="3379">
        <f>CO38</f>
        <v/>
      </c>
      <c r="BA38" s="3380"/>
      <c r="BB38" s="197">
        <f>CP38</f>
        <v/>
      </c>
      <c r="BC38" s="813"/>
      <c r="BD38" s="197">
        <f>CR38</f>
        <v/>
      </c>
      <c r="BE38" s="121">
        <f>CS38</f>
        <v/>
      </c>
      <c r="BF38" s="122">
        <f>CT38*60</f>
        <v/>
      </c>
      <c r="BG38" s="121">
        <f>BE38</f>
        <v/>
      </c>
      <c r="BH38" s="122">
        <f>CU38*60</f>
        <v/>
      </c>
      <c r="BI38" s="122">
        <f>CV38</f>
        <v/>
      </c>
      <c r="BJ38" s="117"/>
      <c r="BK38" s="812">
        <f>Overview!$E$7</f>
        <v/>
      </c>
      <c r="BL38" s="117"/>
      <c r="BM38" s="836">
        <f>CW38</f>
        <v/>
      </c>
      <c r="BN38" s="812">
        <f>Overview!$P$153</f>
        <v/>
      </c>
      <c r="BO38" s="117"/>
      <c r="BP38" s="117"/>
      <c r="BQ38" s="115"/>
      <c r="BR38" s="1478" t="inlineStr">
        <is>
          <t>N/A</t>
        </is>
      </c>
      <c r="BS38" s="1548"/>
      <c r="BT38" s="1783" t="inlineStr">
        <is>
          <t>GSM</t>
        </is>
      </c>
      <c r="BU38" s="1783">
        <v>900</v>
      </c>
      <c r="BV38" s="400">
        <f>Overview!$H$28</f>
        <v/>
      </c>
      <c r="BW38" s="2010"/>
      <c r="BX38" s="1783"/>
      <c r="BY38" s="2040"/>
      <c r="BZ38" s="2040"/>
      <c r="CA38" s="1997" t="inlineStr">
        <is>
          <t>Top Edge</t>
        </is>
      </c>
      <c r="CB38" s="200">
        <v>5</v>
      </c>
      <c r="CC38" s="1063">
        <f>'2G-3G'!BX15</f>
        <v>37</v>
      </c>
      <c r="CD38" s="1063">
        <f>'2G-3G'!BY15</f>
        <v>897.4</v>
      </c>
      <c r="CE38" s="1523"/>
      <c r="CF38" s="1523"/>
      <c r="CG38" s="387" t="str">
        <f>IF(OR($BY$3="",$BY$3=""),"",$BY$3)</f>
        <v/>
      </c>
      <c r="CH38" s="387">
        <f>BZ38</f>
        <v/>
      </c>
      <c r="CI38" s="387">
        <f>CA38</f>
        <v/>
      </c>
      <c r="CJ38" s="1527"/>
      <c r="CK38" s="2042"/>
      <c r="CL38" s="206">
        <f>IF(CF38=""," ",IF(ABS(CE38-CF38)&lt;=0.25,"Valid","Not valid"))</f>
        <v/>
      </c>
      <c r="CM38" s="207">
        <f> IF(CE38="","",IF(AND(CE38&lt;&gt;"",CF38=""),IF(CE38&gt;=2,"Medir+Sig Max","No"),IF(CF38&lt;&gt;"",IF(CF38&gt;=2,"Medir+Sig Max","No"),"")))</f>
        <v/>
      </c>
      <c r="CN38" s="208">
        <f>IF(UPPER(CM11)="X",IF(CF38=""," ",IF((ABS(CE38)&lt;5)*AND(ABS(CF38)&lt;5)*AND(ABS(CO38)&lt;5),"Solo si es max","Medir")),IF(CF38=""," ",IF((ABS(CE38)&lt;1)*AND(ABS(CF38)&lt;1)*AND(ABS(CO38)&lt;1),"Solo si es max","Medir")))</f>
        <v/>
      </c>
      <c r="CO38" s="220">
        <f>IF(CK38="",IF(AND(CE38="",CF38=""),"",IF(CF38="",IF(DE38&gt;1,ROUND(DE38*CE38,3),CE38),IF(DE38&gt;1,ROUND(DE38*CF38,3),CF38))),IF(AND(CE38="",CF38=""),"",IF(CF38="",IF(DE38&gt;1,ROUND(DE38*CE38*(1/(CK38)),3),CE38*(1/(CK38))),IF(DE38&gt;1,ROUND(DE38*CF38*(1/(CK38)),3),CF38*(1/(CK38))))))</f>
        <v/>
      </c>
      <c r="CP38" s="2043">
        <f>$CP$34</f>
        <v/>
      </c>
      <c r="CQ38" s="1472">
        <f>IF(CO38="","",IF(CO38&gt;CP38,"Fail","Pass"))</f>
        <v/>
      </c>
      <c r="CR38" s="1481">
        <f>IF(AND(MAX(CO34:CO41)=CO38,CO38&lt;&gt;0),COUNT($CR$3:CR37)+1,"")</f>
        <v/>
      </c>
      <c r="CS38" s="1565">
        <f>MyTimestamp(CO38)</f>
        <v/>
      </c>
      <c r="CT38" s="1531">
        <f>IF(CE38="",0,15)+IF(CF38="",0,15)</f>
        <v/>
      </c>
      <c r="CU38" s="1532">
        <f>IF(CT38=0,0,2)</f>
        <v/>
      </c>
      <c r="CV38" s="859" t="inlineStr">
        <is>
          <t>S/02</t>
        </is>
      </c>
      <c r="CW38" s="859" t="inlineStr">
        <is>
          <t>Dasy6</t>
        </is>
      </c>
      <c r="CX38" s="2038"/>
      <c r="CY38" s="2044"/>
      <c r="CZ38" s="1543">
        <f>10^(CJ38/20)*100-100</f>
        <v/>
      </c>
      <c r="DA38" s="1319">
        <f>IF('Tune-Up'!$H$12="","",'Tune-Up'!$H$12)</f>
        <v/>
      </c>
      <c r="DB38" s="695">
        <f>'2G-3G'!BZ15</f>
        <v/>
      </c>
      <c r="DC38" s="797">
        <f>IF(DA38="","",10^(DA38/10))</f>
        <v/>
      </c>
      <c r="DD38" s="1363">
        <f>IF(ISNUMBER(DB38)=FALSE,"",10^(DB38/10))</f>
        <v/>
      </c>
      <c r="DE38" s="1543">
        <f>IF(AND(ISNUMBER(DC38),ISNUMBER(DD38)),IF(DC38/DD38&gt;1,ROUND((DC38)/DD38,3),1),1)</f>
        <v/>
      </c>
      <c r="DF38" s="1541"/>
      <c r="DG38" s="1541"/>
      <c r="DH38" s="1541"/>
      <c r="DI38" s="1541"/>
      <c r="DJ38" s="1541"/>
      <c r="DK38" s="1541"/>
      <c r="DL38" s="1541"/>
      <c r="DM38" s="1541"/>
      <c r="DN38" s="1541"/>
      <c r="DO38" s="1541"/>
      <c r="DP38" s="1541"/>
      <c r="DQ38" s="1541"/>
      <c r="DR38" s="1541"/>
    </row>
    <row r="39" ht="12.75" x14ac:dyDescent="0.2">
      <c r="A39" s="1541"/>
      <c r="B39" s="1541"/>
      <c r="C39"/>
      <c r="D39" s="130">
        <f>IF(BX$34="Close to Ear","EN 62209-1","EN 62209-2")</f>
        <v/>
      </c>
      <c r="E39" s="130">
        <f>IF(CG39="Close to Ear","2016","2010/A1:2019")</f>
        <v/>
      </c>
      <c r="F39" s="1488" t="inlineStr">
        <is>
          <t>5.1</t>
        </is>
      </c>
      <c r="G39" s="1497"/>
      <c r="H39" s="120">
        <f>BV39</f>
        <v/>
      </c>
      <c r="I39" s="120">
        <f>BW39</f>
        <v/>
      </c>
      <c r="J39" s="687" t="str">
        <f>BT39</f>
        <v>GSM</v>
      </c>
      <c r="K39" s="194">
        <f>BU39</f>
        <v>900</v>
      </c>
      <c r="L39" s="115"/>
      <c r="M39" s="120">
        <f>BZ39</f>
        <v>0</v>
      </c>
      <c r="N39" s="119"/>
      <c r="O39" s="131"/>
      <c r="P39" s="6597"/>
      <c r="Q39" s="131"/>
      <c r="R39" s="131"/>
      <c r="S39" s="120">
        <f>CG39</f>
        <v>0</v>
      </c>
      <c r="T39" s="120">
        <f>CC39</f>
        <v>37</v>
      </c>
      <c r="U39" s="120">
        <f>CD39</f>
        <v>897.4</v>
      </c>
      <c r="V39" s="119"/>
      <c r="W39" s="197">
        <f>CK39*100</f>
        <v/>
      </c>
      <c r="X39" s="119"/>
      <c r="Y39" s="119"/>
      <c r="Z39" s="119"/>
      <c r="AA39" s="115"/>
      <c r="AB39" s="115"/>
      <c r="AC39" s="689">
        <f>IF(OR(BX$34="Close to Ear",BX$34="Close to Head"),"Head",IF(BX$34="Extremity","Extremity","Body"))</f>
        <v/>
      </c>
      <c r="AD39" s="690">
        <f>CA39</f>
        <v/>
      </c>
      <c r="AE39" s="688">
        <f>CB39</f>
        <v/>
      </c>
      <c r="AF39" s="115"/>
      <c r="AG39" s="808">
        <f>IF(AZ39="","N/A",IF(CQ39="Pass","P","F"))</f>
        <v/>
      </c>
      <c r="AH39" s="129"/>
      <c r="AI39" s="129"/>
      <c r="AJ39" s="129"/>
      <c r="AK39" s="119"/>
      <c r="AL39" s="115"/>
      <c r="AM39" s="119"/>
      <c r="AN39" s="119"/>
      <c r="AO39" s="692"/>
      <c r="AP39" s="692"/>
      <c r="AQ39" s="692"/>
      <c r="AR39" s="692"/>
      <c r="AS39" s="692"/>
      <c r="AT39" s="691">
        <f>CE39</f>
        <v/>
      </c>
      <c r="AU39" s="691">
        <f>CF39</f>
        <v/>
      </c>
      <c r="AV39" s="813"/>
      <c r="AW39" s="813"/>
      <c r="AX39" s="197">
        <f>CZ39</f>
        <v/>
      </c>
      <c r="AY39" s="197">
        <f>DE39</f>
        <v/>
      </c>
      <c r="AZ39" s="3379">
        <f>CO39</f>
        <v/>
      </c>
      <c r="BA39" s="3380"/>
      <c r="BB39" s="197">
        <f>CP39</f>
        <v/>
      </c>
      <c r="BC39" s="813"/>
      <c r="BD39" s="197">
        <f>CR39</f>
        <v/>
      </c>
      <c r="BE39" s="121">
        <f>CS39</f>
        <v/>
      </c>
      <c r="BF39" s="122">
        <f>CT39*60</f>
        <v/>
      </c>
      <c r="BG39" s="121">
        <f>BE39</f>
        <v/>
      </c>
      <c r="BH39" s="122">
        <f>CU39*60</f>
        <v/>
      </c>
      <c r="BI39" s="122">
        <f>CV39</f>
        <v/>
      </c>
      <c r="BJ39" s="117"/>
      <c r="BK39" s="812">
        <f>Overview!$E$7</f>
        <v/>
      </c>
      <c r="BL39" s="117"/>
      <c r="BM39" s="836">
        <f>CW39</f>
        <v/>
      </c>
      <c r="BN39" s="812">
        <f>Overview!$P$153</f>
        <v/>
      </c>
      <c r="BO39" s="117"/>
      <c r="BP39" s="117"/>
      <c r="BQ39" s="115"/>
      <c r="BR39" s="1478" t="inlineStr">
        <is>
          <t>N/A</t>
        </is>
      </c>
      <c r="BS39" s="1548"/>
      <c r="BT39" s="1783" t="inlineStr">
        <is>
          <t>GSM</t>
        </is>
      </c>
      <c r="BU39" s="1783">
        <v>900</v>
      </c>
      <c r="BV39" s="400">
        <f>Overview!$H$28</f>
        <v/>
      </c>
      <c r="BW39" s="2010"/>
      <c r="BX39" s="1783"/>
      <c r="BY39" s="2040"/>
      <c r="BZ39" s="2040"/>
      <c r="CA39" s="1997" t="inlineStr">
        <is>
          <t>Bottom Edge</t>
        </is>
      </c>
      <c r="CB39" s="200">
        <v>5</v>
      </c>
      <c r="CC39" s="1063">
        <f>'2G-3G'!BX15</f>
        <v>37</v>
      </c>
      <c r="CD39" s="1063">
        <f>'2G-3G'!BY15</f>
        <v>897.4</v>
      </c>
      <c r="CE39" s="1523"/>
      <c r="CF39" s="1523"/>
      <c r="CG39" s="387" t="str">
        <f>IF(OR($BY$3="",$BY$3=""),"",$BY$3)</f>
        <v/>
      </c>
      <c r="CH39" s="387">
        <f>BZ39</f>
        <v/>
      </c>
      <c r="CI39" s="387">
        <f>CA39</f>
        <v/>
      </c>
      <c r="CJ39" s="1527"/>
      <c r="CK39" s="2042"/>
      <c r="CL39" s="206">
        <f>IF(CF39=""," ",IF(ABS(CE39-CF39)&lt;=0.25,"Valid","Not valid"))</f>
        <v/>
      </c>
      <c r="CM39" s="207">
        <f> IF(CE39="","",IF(AND(CE39&lt;&gt;"",CF39=""),IF(CE39&gt;=2,"Medir+Sig Max","No"),IF(CF39&lt;&gt;"",IF(CF39&gt;=2,"Medir+Sig Max","No"),"")))</f>
        <v/>
      </c>
      <c r="CN39" s="208">
        <f>IF(UPPER(CM11)="X",IF(CF39=""," ",IF((ABS(CE39)&lt;5)*AND(ABS(CF39)&lt;5)*AND(ABS(CO39)&lt;5),"Solo si es max","Medir")),IF(CF39=""," ",IF((ABS(CE39)&lt;1)*AND(ABS(CF39)&lt;1)*AND(ABS(CO39)&lt;1),"Solo si es max","Medir")))</f>
        <v/>
      </c>
      <c r="CO39" s="220">
        <f>IF(CK39="",IF(AND(CE39="",CF39=""),"",IF(CF39="",IF(DE39&gt;1,ROUND(DE39*CE39,3),CE39),IF(DE39&gt;1,ROUND(DE39*CF39,3),CF39))),IF(AND(CE39="",CF39=""),"",IF(CF39="",IF(DE39&gt;1,ROUND(DE39*CE39*(1/(CK39)),3),CE39*(1/(CK39))),IF(DE39&gt;1,ROUND(DE39*CF39*(1/(CK39)),3),CF39*(1/(CK39))))))</f>
        <v/>
      </c>
      <c r="CP39" s="2043">
        <f>$CP$34</f>
        <v/>
      </c>
      <c r="CQ39" s="1472">
        <f>IF(CO39="","",IF(CO39&gt;CP39,"Fail","Pass"))</f>
        <v/>
      </c>
      <c r="CR39" s="1481">
        <f>IF(AND(MAX(CO34:CO41)=CO39,CO39&lt;&gt;0),COUNT($CR$3:CR38)+1,"")</f>
        <v/>
      </c>
      <c r="CS39" s="1565">
        <f>MyTimestamp(CO39)</f>
        <v/>
      </c>
      <c r="CT39" s="1531">
        <f>IF(CE39="",0,15)+IF(CF39="",0,15)</f>
        <v/>
      </c>
      <c r="CU39" s="1532">
        <f>IF(CT39=0,0,2)</f>
        <v/>
      </c>
      <c r="CV39" s="859" t="inlineStr">
        <is>
          <t>S/02</t>
        </is>
      </c>
      <c r="CW39" s="859" t="inlineStr">
        <is>
          <t>Dasy6</t>
        </is>
      </c>
      <c r="CX39" s="2038"/>
      <c r="CY39" s="2044"/>
      <c r="CZ39" s="1543">
        <f>10^(CJ39/20)*100-100</f>
        <v/>
      </c>
      <c r="DA39" s="1319">
        <f>IF('Tune-Up'!$H$12="","",'Tune-Up'!$H$12)</f>
        <v/>
      </c>
      <c r="DB39" s="695">
        <f>'2G-3G'!BZ15</f>
        <v/>
      </c>
      <c r="DC39" s="797">
        <f>IF(DA39="","",10^(DA39/10))</f>
        <v/>
      </c>
      <c r="DD39" s="1363">
        <f>IF(ISNUMBER(DB39)=FALSE,"",10^(DB39/10))</f>
        <v/>
      </c>
      <c r="DE39" s="1543">
        <f>IF(AND(ISNUMBER(DC39),ISNUMBER(DD39)),IF(DC39/DD39&gt;1,ROUND((DC39)/DD39,3),1),1)</f>
        <v/>
      </c>
      <c r="DF39" s="1541"/>
      <c r="DG39" s="1541"/>
      <c r="DH39" s="1541"/>
      <c r="DI39" s="1541"/>
      <c r="DJ39" s="1541"/>
      <c r="DK39" s="1541"/>
      <c r="DL39" s="1541"/>
      <c r="DM39" s="1541"/>
      <c r="DN39" s="1541"/>
      <c r="DO39" s="1541"/>
      <c r="DP39" s="1541"/>
      <c r="DQ39" s="1541"/>
      <c r="DR39" s="1541"/>
    </row>
    <row r="40" ht="12.75" x14ac:dyDescent="0.2">
      <c r="A40" s="1541"/>
      <c r="B40" s="1541"/>
      <c r="C40"/>
      <c r="D40" s="130">
        <f>IF(BX$34="Close to Ear","EN 62209-1","EN 62209-2")</f>
        <v/>
      </c>
      <c r="E40" s="130">
        <f>IF(CG40="Close to Ear","2016","2010/A1:2019")</f>
        <v/>
      </c>
      <c r="F40" s="1488" t="inlineStr">
        <is>
          <t>5.1</t>
        </is>
      </c>
      <c r="G40" s="1497"/>
      <c r="H40" s="120">
        <f>BV40</f>
        <v/>
      </c>
      <c r="I40" s="120">
        <f>BW40</f>
        <v/>
      </c>
      <c r="J40" s="687" t="str">
        <f>BT40</f>
        <v>GSM</v>
      </c>
      <c r="K40" s="194">
        <f>BU40</f>
        <v>900</v>
      </c>
      <c r="L40" s="115"/>
      <c r="M40" s="120">
        <f>BZ40</f>
        <v>0</v>
      </c>
      <c r="N40" s="119"/>
      <c r="O40" s="131"/>
      <c r="P40" s="6597"/>
      <c r="Q40" s="131"/>
      <c r="R40" s="131"/>
      <c r="S40" s="120">
        <f>CG40</f>
        <v>0</v>
      </c>
      <c r="T40" s="120">
        <f>CC40</f>
        <v>975</v>
      </c>
      <c r="U40" s="120">
        <f>CD40</f>
        <v>880.2</v>
      </c>
      <c r="V40" s="119"/>
      <c r="W40" s="197">
        <f>CK40*100</f>
        <v/>
      </c>
      <c r="X40" s="119"/>
      <c r="Y40" s="119"/>
      <c r="Z40" s="119"/>
      <c r="AA40" s="115"/>
      <c r="AB40" s="115"/>
      <c r="AC40" s="689">
        <f>IF(OR(BX$34="Close to Ear",BX$34="Close to Head"),"Head",IF(BX$34="Extremity","Extremity","Body"))</f>
        <v/>
      </c>
      <c r="AD40" s="690">
        <f>CA40</f>
        <v/>
      </c>
      <c r="AE40" s="688">
        <f>CB40</f>
        <v/>
      </c>
      <c r="AF40" s="115"/>
      <c r="AG40" s="808">
        <f>IF(AZ40="","N/A",IF(CQ40="Pass","P","F"))</f>
        <v/>
      </c>
      <c r="AH40" s="129"/>
      <c r="AI40" s="129"/>
      <c r="AJ40" s="129"/>
      <c r="AK40" s="119"/>
      <c r="AL40" s="115"/>
      <c r="AM40" s="119"/>
      <c r="AN40" s="119"/>
      <c r="AO40" s="692"/>
      <c r="AP40" s="692"/>
      <c r="AQ40" s="692"/>
      <c r="AR40" s="692"/>
      <c r="AS40" s="692"/>
      <c r="AT40" s="691">
        <f>CE40</f>
        <v/>
      </c>
      <c r="AU40" s="691">
        <f>CF40</f>
        <v/>
      </c>
      <c r="AV40" s="813"/>
      <c r="AW40" s="813"/>
      <c r="AX40" s="197">
        <f>CZ40</f>
        <v/>
      </c>
      <c r="AY40" s="197">
        <f>DE40</f>
        <v/>
      </c>
      <c r="AZ40" s="3379">
        <f>CO40</f>
        <v/>
      </c>
      <c r="BA40" s="3380"/>
      <c r="BB40" s="197">
        <f>CP40</f>
        <v/>
      </c>
      <c r="BC40" s="813"/>
      <c r="BD40" s="197">
        <f>CR40</f>
        <v/>
      </c>
      <c r="BE40" s="121">
        <f>CS40</f>
        <v/>
      </c>
      <c r="BF40" s="122">
        <f>CT40*60</f>
        <v/>
      </c>
      <c r="BG40" s="121">
        <f>BE40</f>
        <v/>
      </c>
      <c r="BH40" s="122">
        <f>CU40*60</f>
        <v/>
      </c>
      <c r="BI40" s="122">
        <f>CV40</f>
        <v/>
      </c>
      <c r="BJ40" s="117"/>
      <c r="BK40" s="812">
        <f>Overview!$E$7</f>
        <v/>
      </c>
      <c r="BL40" s="117"/>
      <c r="BM40" s="836">
        <f>CW40</f>
        <v/>
      </c>
      <c r="BN40" s="812">
        <f>Overview!$P$153</f>
        <v/>
      </c>
      <c r="BO40" s="117"/>
      <c r="BP40" s="117"/>
      <c r="BQ40" s="115"/>
      <c r="BR40" s="1478" t="inlineStr">
        <is>
          <t>N/A</t>
        </is>
      </c>
      <c r="BS40" s="1548"/>
      <c r="BT40" s="1783" t="inlineStr">
        <is>
          <t>GSM</t>
        </is>
      </c>
      <c r="BU40" s="1783">
        <v>900</v>
      </c>
      <c r="BV40" s="400">
        <f>Overview!$H$28</f>
        <v/>
      </c>
      <c r="BW40" s="2010"/>
      <c r="BX40" s="1783"/>
      <c r="BY40" s="2040"/>
      <c r="BZ40" s="2040"/>
      <c r="CA40" s="401" t="str">
        <f>IF(COUNT(CF34:CF39)=0,IF(COUNT(CE34:CE39)=0,"TBD",VLOOKUP(MAX(CE34:CE39),CE34:CI39,5,FALSE)),VLOOKUP(MAX(CF34:CF39),CF34:CI39,4,FALSE))</f>
        <v>TBD</v>
      </c>
      <c r="CB40" s="200">
        <v>5</v>
      </c>
      <c r="CC40" s="1063">
        <f>'2G-3G'!BX16</f>
        <v>975</v>
      </c>
      <c r="CD40" s="1063">
        <f>'2G-3G'!BY16</f>
        <v>880.2</v>
      </c>
      <c r="CE40" s="1523"/>
      <c r="CF40" s="1523"/>
      <c r="CG40" s="387" t="str">
        <f>IF(OR($BY$3="",$BY$3=""),"",$BY$3)</f>
        <v/>
      </c>
      <c r="CH40" s="387">
        <f>BZ40</f>
        <v/>
      </c>
      <c r="CI40" s="387">
        <f>CA40</f>
        <v/>
      </c>
      <c r="CJ40" s="1527"/>
      <c r="CK40" s="2042"/>
      <c r="CL40" s="206">
        <f>IF(CF40=""," ",IF(ABS(CE40-CF40)&lt;=0.25,"Valid","Not valid"))</f>
        <v/>
      </c>
      <c r="CM40" s="207">
        <f> IF(CE40="","",IF(AND(CE40&lt;&gt;"",CF40=""),IF(CE40&gt;=2,"Medir+Sig Max","No"),IF(CF40&lt;&gt;"",IF(CF40&gt;=2,"Medir+Sig Max","No"),"")))</f>
        <v/>
      </c>
      <c r="CN40" s="208">
        <f>IF(UPPER(CM11)="X",IF(CF40=""," ",IF((ABS(CE40)&lt;5)*AND(ABS(CF40)&lt;5)*AND(ABS(CO40)&lt;5),"Solo si es max","Medir")),IF(CF40=""," ",IF((ABS(CE40)&lt;1)*AND(ABS(CF40)&lt;1)*AND(ABS(CO40)&lt;1),"Solo si es max","Medir")))</f>
        <v/>
      </c>
      <c r="CO40" s="220">
        <f>IF(CK40="",IF(AND(CE40="",CF40=""),"",IF(CF40="",IF(DE40&gt;1,ROUND(DE40*CE40,3),CE40),IF(DE40&gt;1,ROUND(DE40*CF40,3),CF40))),IF(AND(CE40="",CF40=""),"",IF(CF40="",IF(DE40&gt;1,ROUND(DE40*CE40*(1/(CK40)),3),CE40*(1/(CK40))),IF(DE40&gt;1,ROUND(DE40*CF40*(1/(CK40)),3),CF40*(1/(CK40))))))</f>
        <v/>
      </c>
      <c r="CP40" s="2043">
        <f>$CP$34</f>
        <v/>
      </c>
      <c r="CQ40" s="1472">
        <f>IF(CO40="","",IF(CO40&gt;CP40,"Fail","Pass"))</f>
        <v/>
      </c>
      <c r="CR40" s="1481">
        <f>IF(AND(MAX(CO34:CO41)=CO40,CO40&lt;&gt;0),COUNT($CR$3:CR39)+1,"")</f>
        <v/>
      </c>
      <c r="CS40" s="1565">
        <f>MyTimestamp(CO40)</f>
        <v/>
      </c>
      <c r="CT40" s="1531">
        <f>IF(CE40="",0,15)+IF(CF40="",0,15)</f>
        <v/>
      </c>
      <c r="CU40" s="1532">
        <f>IF(CT40=0,0,2)</f>
        <v/>
      </c>
      <c r="CV40" s="859" t="inlineStr">
        <is>
          <t>S/02</t>
        </is>
      </c>
      <c r="CW40" s="859" t="inlineStr">
        <is>
          <t>Dasy6</t>
        </is>
      </c>
      <c r="CX40" s="2038"/>
      <c r="CY40" s="2044"/>
      <c r="CZ40" s="1543">
        <f>10^(CJ40/20)*100-100</f>
        <v/>
      </c>
      <c r="DA40" s="1319">
        <f>IF('Tune-Up'!$H$12="","",'Tune-Up'!$H$12)</f>
        <v/>
      </c>
      <c r="DB40" s="695">
        <f>'2G-3G'!BZ16</f>
        <v/>
      </c>
      <c r="DC40" s="797">
        <f>IF(DA40="","",10^(DA40/10))</f>
        <v/>
      </c>
      <c r="DD40" s="1363">
        <f>IF(ISNUMBER(DB40)=FALSE,"",10^(DB40/10))</f>
        <v/>
      </c>
      <c r="DE40" s="1543">
        <f>IF(AND(ISNUMBER(DC40),ISNUMBER(DD40)),IF(DC40/DD40&gt;1,ROUND((DC40)/DD40,3),1),1)</f>
        <v/>
      </c>
      <c r="DF40" s="1541"/>
      <c r="DG40" s="1541"/>
      <c r="DH40" s="1541"/>
      <c r="DI40" s="1541"/>
      <c r="DJ40" s="1541"/>
      <c r="DK40" s="1541"/>
      <c r="DL40" s="1541"/>
      <c r="DM40" s="1541"/>
      <c r="DN40" s="1541"/>
      <c r="DO40" s="1541"/>
      <c r="DP40" s="1541"/>
      <c r="DQ40" s="1541"/>
      <c r="DR40" s="1541"/>
    </row>
    <row r="41" ht="12.75" x14ac:dyDescent="0.2">
      <c r="A41" s="1541"/>
      <c r="B41" s="1541"/>
      <c r="C41"/>
      <c r="D41" s="130">
        <f>IF(BX$34="Close to Ear","EN 62209-1","EN 62209-2")</f>
        <v/>
      </c>
      <c r="E41" s="130">
        <f>IF(CG41="Close to Ear","2016","2010/A1:2019")</f>
        <v/>
      </c>
      <c r="F41" s="1488" t="inlineStr">
        <is>
          <t>5.1</t>
        </is>
      </c>
      <c r="G41" s="1497"/>
      <c r="H41" s="120">
        <f>BV41</f>
        <v/>
      </c>
      <c r="I41" s="120">
        <f>BW41</f>
        <v/>
      </c>
      <c r="J41" s="687" t="str">
        <f>BT41</f>
        <v>GSM</v>
      </c>
      <c r="K41" s="194">
        <f>BU41</f>
        <v>900</v>
      </c>
      <c r="L41" s="115"/>
      <c r="M41" s="120">
        <f>BZ41</f>
        <v>0</v>
      </c>
      <c r="N41" s="119"/>
      <c r="O41" s="131"/>
      <c r="P41" s="6597"/>
      <c r="Q41" s="131"/>
      <c r="R41" s="131"/>
      <c r="S41" s="120">
        <f>CG41</f>
        <v>0</v>
      </c>
      <c r="T41" s="120">
        <f>CC41</f>
        <v>124</v>
      </c>
      <c r="U41" s="120">
        <f>CD41</f>
        <v>914.8</v>
      </c>
      <c r="V41" s="119"/>
      <c r="W41" s="197">
        <f>CK41*100</f>
        <v/>
      </c>
      <c r="X41" s="119"/>
      <c r="Y41" s="119"/>
      <c r="Z41" s="119"/>
      <c r="AA41" s="115"/>
      <c r="AB41" s="115"/>
      <c r="AC41" s="689">
        <f>IF(OR(BX$34="Close to Ear",BX$34="Close to Head"),"Head",IF(BX$34="Extremity","Extremity","Body"))</f>
        <v/>
      </c>
      <c r="AD41" s="690">
        <f>CA41</f>
        <v/>
      </c>
      <c r="AE41" s="688">
        <f>CB41</f>
        <v/>
      </c>
      <c r="AF41" s="115"/>
      <c r="AG41" s="808">
        <f>IF(AZ41="","N/A",IF(CQ41="Pass","P","F"))</f>
        <v/>
      </c>
      <c r="AH41" s="129"/>
      <c r="AI41" s="129"/>
      <c r="AJ41" s="129"/>
      <c r="AK41" s="119"/>
      <c r="AL41" s="115"/>
      <c r="AM41" s="119"/>
      <c r="AN41" s="119"/>
      <c r="AO41" s="692"/>
      <c r="AP41" s="692"/>
      <c r="AQ41" s="692"/>
      <c r="AR41" s="692"/>
      <c r="AS41" s="692"/>
      <c r="AT41" s="691">
        <f>CE41</f>
        <v/>
      </c>
      <c r="AU41" s="691">
        <f>CF41</f>
        <v/>
      </c>
      <c r="AV41" s="813"/>
      <c r="AW41" s="813"/>
      <c r="AX41" s="197">
        <f>CZ41</f>
        <v/>
      </c>
      <c r="AY41" s="197">
        <f>DE41</f>
        <v/>
      </c>
      <c r="AZ41" s="3379">
        <f>CO41</f>
        <v/>
      </c>
      <c r="BA41" s="3380"/>
      <c r="BB41" s="197">
        <f>CP41</f>
        <v/>
      </c>
      <c r="BC41" s="813"/>
      <c r="BD41" s="197">
        <f>CR41</f>
        <v/>
      </c>
      <c r="BE41" s="121">
        <f>CS41</f>
        <v/>
      </c>
      <c r="BF41" s="122">
        <f>CT41*60</f>
        <v/>
      </c>
      <c r="BG41" s="121">
        <f>BE41</f>
        <v/>
      </c>
      <c r="BH41" s="122">
        <f>CU41*60</f>
        <v/>
      </c>
      <c r="BI41" s="122">
        <f>CV41</f>
        <v/>
      </c>
      <c r="BJ41" s="117"/>
      <c r="BK41" s="812">
        <f>Overview!$E$7</f>
        <v/>
      </c>
      <c r="BL41" s="117"/>
      <c r="BM41" s="836">
        <f>CW41</f>
        <v/>
      </c>
      <c r="BN41" s="812">
        <f>Overview!$P$153</f>
        <v/>
      </c>
      <c r="BO41" s="117"/>
      <c r="BP41" s="117"/>
      <c r="BQ41" s="115"/>
      <c r="BR41" s="1478" t="inlineStr">
        <is>
          <t>N/A</t>
        </is>
      </c>
      <c r="BS41" s="1548"/>
      <c r="BT41" s="1800" t="inlineStr">
        <is>
          <t>GSM</t>
        </is>
      </c>
      <c r="BU41" s="1800">
        <v>900</v>
      </c>
      <c r="BV41" s="406">
        <f>Overview!$H$28</f>
        <v/>
      </c>
      <c r="BW41" s="2016"/>
      <c r="BX41" s="1800"/>
      <c r="BY41" s="2057"/>
      <c r="BZ41" s="2040"/>
      <c r="CA41" s="404" t="str">
        <f>IF(COUNT(CF34:CF39)=0,IF(COUNT(CE34:CE39)=0,"TBD",VLOOKUP(MAX(CE34:CE39),CE34:CI39,5,FALSE)),VLOOKUP(MAX(CF34:CF39),CF34:CI39,4,FALSE))</f>
        <v>TBD</v>
      </c>
      <c r="CB41" s="201">
        <v>5</v>
      </c>
      <c r="CC41" s="1081">
        <f>'2G-3G'!BX17</f>
        <v>124</v>
      </c>
      <c r="CD41" s="1081">
        <f>'2G-3G'!BY17</f>
        <v>914.8</v>
      </c>
      <c r="CE41" s="1874"/>
      <c r="CF41" s="1874"/>
      <c r="CG41" s="388" t="str">
        <f>IF(OR($BY$3="",$BY$3=""),"",$BY$3)</f>
        <v/>
      </c>
      <c r="CH41" s="388">
        <f>BZ41</f>
        <v/>
      </c>
      <c r="CI41" s="388">
        <f>CA41</f>
        <v/>
      </c>
      <c r="CJ41" s="2046"/>
      <c r="CK41" s="2047"/>
      <c r="CL41" s="212">
        <f>IF(CF41=""," ",IF(ABS(CE41-CF41)&lt;=0.25,"Valid","Not valid"))</f>
        <v/>
      </c>
      <c r="CM41" s="213">
        <f> IF(CE41="","",IF(AND(CE41&lt;&gt;"",CF41=""),IF(CE41&gt;=2,"Medir+Sig Max","No"),IF(CF41&lt;&gt;"",IF(CF41&gt;=2,"Medir+Sig Max","No"),"")))</f>
        <v/>
      </c>
      <c r="CN41" s="214">
        <f>IF(UPPER(CM11)="X",IF(CF41=""," ",IF((ABS(CE41)&lt;5)*AND(ABS(CF41)&lt;5)*AND(ABS(CO41)&lt;5),"Solo si es max","Medir")),IF(CF41=""," ",IF((ABS(CE41)&lt;1)*AND(ABS(CF41)&lt;1)*AND(ABS(CO41)&lt;1),"Solo si es max","Medir")))</f>
        <v/>
      </c>
      <c r="CO41" s="221">
        <f>IF(CK41="",IF(AND(CE41="",CF41=""),"",IF(CF41="",IF(DE41&gt;1,ROUND(DE41*CE41,3),CE41),IF(DE41&gt;1,ROUND(DE41*CF41,3),CF41))),IF(AND(CE41="",CF41=""),"",IF(CF41="",IF(DE41&gt;1,ROUND(DE41*CE41*(1/(CK41)),3),CE41*(1/(CK41))),IF(DE41&gt;1,ROUND(DE41*CF41*(1/(CK41)),3),CF41*(1/(CK41))))))</f>
        <v/>
      </c>
      <c r="CP41" s="2048">
        <f>$CP$34</f>
        <v/>
      </c>
      <c r="CQ41" s="1473">
        <f>IF(CO41="","",IF(CO41&gt;CP41,"Fail","Pass"))</f>
        <v/>
      </c>
      <c r="CR41" s="1482">
        <f>IF(AND(MAX(CO34:CO41)=CO41,CO41&lt;&gt;0),COUNT($CR$3:CR40)+1,"")</f>
        <v/>
      </c>
      <c r="CS41" s="1566">
        <f>MyTimestamp(CO41)</f>
        <v/>
      </c>
      <c r="CT41" s="1535">
        <f>IF(CE41="",0,15)+IF(CF41="",0,15)</f>
        <v/>
      </c>
      <c r="CU41" s="1536">
        <f>IF(CT41=0,0,2)</f>
        <v/>
      </c>
      <c r="CV41" s="861" t="inlineStr">
        <is>
          <t>S/02</t>
        </is>
      </c>
      <c r="CW41" s="861" t="inlineStr">
        <is>
          <t>Dasy6</t>
        </is>
      </c>
      <c r="CX41" s="2038"/>
      <c r="CY41" s="2050"/>
      <c r="CZ41" s="1545">
        <f>10^(CJ41/20)*100-100</f>
        <v/>
      </c>
      <c r="DA41" s="1320">
        <f>IF('Tune-Up'!$H$12="","",'Tune-Up'!$H$12)</f>
        <v/>
      </c>
      <c r="DB41" s="696">
        <f>'2G-3G'!BZ17</f>
        <v/>
      </c>
      <c r="DC41" s="798">
        <f>IF(DA41="","",10^(DA41/10))</f>
        <v/>
      </c>
      <c r="DD41" s="1364">
        <f>IF(ISNUMBER(DB41)=FALSE,"",10^(DB41/10))</f>
        <v/>
      </c>
      <c r="DE41" s="1545">
        <f>IF(AND(ISNUMBER(DC41),ISNUMBER(DD41)),IF(DC41/DD41&gt;1,ROUND((DC41)/DD41,3),1),1)</f>
        <v/>
      </c>
      <c r="DF41" s="1541"/>
      <c r="DG41" s="1541"/>
      <c r="DH41" s="1541"/>
      <c r="DI41" s="1541"/>
      <c r="DJ41" s="1541"/>
      <c r="DK41" s="1541"/>
      <c r="DL41" s="1541"/>
      <c r="DM41" s="1541"/>
      <c r="DN41" s="1541"/>
      <c r="DO41" s="1541"/>
      <c r="DP41" s="1541"/>
      <c r="DQ41" s="1541"/>
      <c r="DR41" s="1541"/>
    </row>
    <row r="42" ht="12.75" x14ac:dyDescent="0.2">
      <c r="A42" s="1541"/>
      <c r="B42" s="1541"/>
      <c r="C42"/>
      <c r="D42" s="130">
        <f>IF(BX$34="Close to Ear","EN 62209-1","EN 62209-2")</f>
        <v/>
      </c>
      <c r="E42" s="130">
        <f>IF(CG42="Close to Ear","2016","2010/A1:2019")</f>
        <v/>
      </c>
      <c r="F42" s="1488" t="inlineStr">
        <is>
          <t>5.1</t>
        </is>
      </c>
      <c r="G42" s="1497"/>
      <c r="H42" s="120">
        <f>BV42</f>
        <v/>
      </c>
      <c r="I42" s="120">
        <f>BW42</f>
        <v/>
      </c>
      <c r="J42" s="687">
        <f>BT42</f>
        <v/>
      </c>
      <c r="K42" s="194">
        <f>BU42</f>
        <v/>
      </c>
      <c r="L42" s="115"/>
      <c r="M42" s="120">
        <f>BZ42</f>
        <v/>
      </c>
      <c r="N42" s="119"/>
      <c r="O42" s="131"/>
      <c r="P42" s="6597"/>
      <c r="Q42" s="131"/>
      <c r="R42" s="131"/>
      <c r="S42" s="120">
        <f>CG42</f>
        <v/>
      </c>
      <c r="T42" s="120">
        <f>CC42</f>
        <v/>
      </c>
      <c r="U42" s="120">
        <f>CD42</f>
        <v/>
      </c>
      <c r="V42" s="119"/>
      <c r="W42" s="197">
        <f>CK42*100</f>
        <v/>
      </c>
      <c r="X42" s="119"/>
      <c r="Y42" s="119"/>
      <c r="Z42" s="119"/>
      <c r="AA42" s="115"/>
      <c r="AB42" s="115"/>
      <c r="AC42" s="689">
        <f>IF(OR(BX$34="Close to Ear",BX$34="Close to Head"),"Head",IF(BX$34="Extremity","Extremity","Body"))</f>
        <v/>
      </c>
      <c r="AD42" s="690">
        <f>CA42</f>
        <v/>
      </c>
      <c r="AE42" s="688">
        <f>CB42</f>
        <v/>
      </c>
      <c r="AF42" s="115"/>
      <c r="AG42" s="808">
        <f>IF(AZ42="","N/A",IF(CQ42="Pass","P","F"))</f>
        <v/>
      </c>
      <c r="AH42" s="129"/>
      <c r="AI42" s="129"/>
      <c r="AJ42" s="129"/>
      <c r="AK42" s="119"/>
      <c r="AL42" s="115"/>
      <c r="AM42" s="119"/>
      <c r="AN42" s="119"/>
      <c r="AO42" s="692"/>
      <c r="AP42" s="692"/>
      <c r="AQ42" s="692"/>
      <c r="AR42" s="692"/>
      <c r="AS42" s="692"/>
      <c r="AT42" s="691">
        <f>CE42</f>
        <v/>
      </c>
      <c r="AU42" s="691">
        <f>CF42</f>
        <v/>
      </c>
      <c r="AV42" s="813"/>
      <c r="AW42" s="813"/>
      <c r="AX42" s="197">
        <f>CZ42</f>
        <v/>
      </c>
      <c r="AY42" s="197">
        <f>DE42</f>
        <v/>
      </c>
      <c r="AZ42" s="3379">
        <f>CO42</f>
        <v/>
      </c>
      <c r="BA42" s="3380"/>
      <c r="BB42" s="197">
        <f>CP42</f>
        <v/>
      </c>
      <c r="BC42" s="813"/>
      <c r="BD42" s="197">
        <f>CR42</f>
        <v/>
      </c>
      <c r="BE42" s="121">
        <f>CS42</f>
        <v/>
      </c>
      <c r="BF42" s="122">
        <f>CT42*60</f>
        <v/>
      </c>
      <c r="BG42" s="121">
        <f>BE42</f>
        <v/>
      </c>
      <c r="BH42" s="122">
        <f>CU42*60</f>
        <v/>
      </c>
      <c r="BI42" s="122">
        <f>CV42</f>
        <v/>
      </c>
      <c r="BJ42" s="117"/>
      <c r="BK42" s="812">
        <f>Overview!$E$7</f>
        <v/>
      </c>
      <c r="BL42" s="117"/>
      <c r="BM42" s="836">
        <f>CW42</f>
        <v/>
      </c>
      <c r="BN42" s="812">
        <f>Overview!$P$153</f>
        <v/>
      </c>
      <c r="BO42" s="117"/>
      <c r="BP42" s="117"/>
      <c r="BQ42" s="115"/>
      <c r="BR42" s="1478" t="inlineStr">
        <is>
          <t>N/A</t>
        </is>
      </c>
      <c r="BS42" s="1548"/>
      <c r="BT42" s="1800" t="inlineStr">
        <is>
          <t>GSM</t>
        </is>
      </c>
      <c r="BU42" s="1800">
        <v>900</v>
      </c>
      <c r="BV42" s="406">
        <f>Overview!$H$28</f>
        <v/>
      </c>
      <c r="BW42" s="2016"/>
      <c r="BX42" s="1800"/>
      <c r="BY42" s="2057"/>
      <c r="BZ42" s="2040"/>
      <c r="CA42" s="404" t="str">
        <f>CONCATENATE(CA40," - Battery check 1")</f>
        <v>TBD - Battery check 1</v>
      </c>
      <c r="CB42" s="201">
        <v>5</v>
      </c>
      <c r="CC42" s="1081">
        <f>IF(COUNT($CO$34:$CO$41)=0,"N/A",INDEX($CC$34:$CC$41,MATCH(MAX($CO$34:$CO$41),$CO$34:$CO$41,0)))</f>
        <v/>
      </c>
      <c r="CD42" s="1081">
        <f>IF(COUNT($CO$34:$CO$41)=0,"N/A",INDEX($CD$34:$CD$41,MATCH(MAX($CO$34:$CO$41),$CO$34:$CO$41,0)))</f>
        <v/>
      </c>
      <c r="CE42" s="1874"/>
      <c r="CF42" s="1874"/>
      <c r="CG42" s="388" t="inlineStr">
        <is>
          <t>N/A</t>
        </is>
      </c>
      <c r="CH42" s="388">
        <f>BZ42</f>
        <v/>
      </c>
      <c r="CI42" s="388">
        <f>CA42</f>
        <v/>
      </c>
      <c r="CJ42" s="2046"/>
      <c r="CK42" s="2047"/>
      <c r="CL42" s="212">
        <f>IF(CF42=""," ",IF(ABS(CE42-CF42)&lt;=0.25,"Valid","Not valid"))</f>
        <v/>
      </c>
      <c r="CM42" s="213">
        <f> IF(CE42="","",IF(AND(CE42&lt;&gt;"",CF42=""),IF(CE42&gt;=2,"Medir+Sig Max","No"),IF(CF42&lt;&gt;"",IF(CF42&gt;=2,"Medir+Sig Max","No"),"")))</f>
        <v/>
      </c>
      <c r="CN42" s="214">
        <f>IF(UPPER(CM11)="X",IF(CF42=""," ",IF((ABS(CE42)&lt;5)*AND(ABS(CF42)&lt;5)*AND(ABS(CO42)&lt;5),"Solo si es max","Medir")),IF(CF42=""," ",IF((ABS(CE42)&lt;1)*AND(ABS(CF42)&lt;1)*AND(ABS(CO42)&lt;1),"Solo si es max","Medir")))</f>
        <v/>
      </c>
      <c r="CO42" s="221">
        <f>IF(CK42="",IF(AND(CE42="",CF42=""),"",IF(CF42="",IF(DE42&gt;1,ROUND(DE42*CE42,3),CE42),IF(DE42&gt;1,ROUND(DE42*CF42,3),CF42))),IF(AND(CE42="",CF42=""),"",IF(CF42="",IF(DE42&gt;1,ROUND(DE42*CE42*(1/(CK42)),3),CE42*(1/(CK42))),IF(DE42&gt;1,ROUND(DE42*CF42*(1/(CK42)),3),CF42*(1/(CK42))))))</f>
        <v/>
      </c>
      <c r="CP42" s="2048">
        <f>$CP$34</f>
        <v/>
      </c>
      <c r="CQ42" s="1473">
        <f>IF(CO42="","",IF(CO42&gt;CP42,"Fail","Pass"))</f>
        <v/>
      </c>
      <c r="CR42" s="1482">
        <f>IF(CO42&lt;&gt;"",MAX($CR$3:CR41)+1,"")</f>
        <v/>
      </c>
      <c r="CS42" s="1566">
        <f>MyTimestamp(CQ42)</f>
        <v/>
      </c>
      <c r="CT42" s="1535">
        <f>IF(COUNT(CE42:CF42)=1,15,IF(COUNT(CE42:CF42)=0,0,30))</f>
        <v/>
      </c>
      <c r="CU42" s="1536">
        <f>IF(CT42=0,0,2)</f>
        <v/>
      </c>
      <c r="CV42" s="861" t="inlineStr">
        <is>
          <t>S/02</t>
        </is>
      </c>
      <c r="CW42" s="861" t="inlineStr">
        <is>
          <t>Dasy6</t>
        </is>
      </c>
      <c r="CX42" s="2038"/>
      <c r="CY42" s="2050"/>
      <c r="CZ42" s="1545">
        <f>10^(CJ42/20)*100-100</f>
        <v/>
      </c>
      <c r="DA42" s="1320">
        <f>IF('Tune-Up'!$H$12="","",'Tune-Up'!$H$12)</f>
        <v/>
      </c>
      <c r="DB42" s="696">
        <f>IF(COUNT($CO$34:$CO$41)=0,"N/A",IFERROR(INDEX($DB$34:$DB$41,MATCH(MAX($CO$34:$CO$41),$CO$34:$CO$41,0)),"N/A"))</f>
        <v/>
      </c>
      <c r="DC42" s="798">
        <f>IF(DA42="","",10^(DA42/10))</f>
        <v/>
      </c>
      <c r="DD42" s="1364">
        <f>IF(ISNUMBER(DB42)=FALSE,"N/A",10^(DB42/10))</f>
        <v/>
      </c>
      <c r="DE42" s="1545">
        <f>IF(AND(ISNUMBER(DC42),ISNUMBER(DD42)),IF(DC42/DD42&gt;1,ROUND((DC42)/DD42,3),1),1)</f>
        <v/>
      </c>
      <c r="DF42" s="1541"/>
      <c r="DG42" s="1541"/>
      <c r="DH42" s="1541"/>
      <c r="DI42" s="1541"/>
      <c r="DJ42" s="1541"/>
      <c r="DK42" s="1541"/>
      <c r="DL42" s="1541"/>
      <c r="DM42" s="1541"/>
      <c r="DN42" s="1541"/>
      <c r="DO42" s="1541"/>
      <c r="DP42" s="1541"/>
      <c r="DQ42" s="1541"/>
      <c r="DR42" s="1541"/>
    </row>
    <row r="43" ht="12.75" x14ac:dyDescent="0.2">
      <c r="A43" s="1541"/>
      <c r="B43" s="1541"/>
      <c r="C43"/>
      <c r="D43" s="130">
        <f>IF(BX$34="Close to Ear","EN 62209-1","EN 62209-2")</f>
        <v/>
      </c>
      <c r="E43" s="130">
        <f>IF(CG43="Close to Ear","2016","2010/A1:2019")</f>
        <v/>
      </c>
      <c r="F43" s="1488" t="inlineStr">
        <is>
          <t>5.1</t>
        </is>
      </c>
      <c r="G43" s="1497"/>
      <c r="H43" s="120">
        <f>BV43</f>
        <v/>
      </c>
      <c r="I43" s="120">
        <f>BW43</f>
        <v/>
      </c>
      <c r="J43" s="687">
        <f>BT43</f>
        <v/>
      </c>
      <c r="K43" s="194">
        <f>BU43</f>
        <v/>
      </c>
      <c r="L43" s="115"/>
      <c r="M43" s="120">
        <f>BZ43</f>
        <v/>
      </c>
      <c r="N43" s="119"/>
      <c r="O43" s="131"/>
      <c r="P43" s="6597"/>
      <c r="Q43" s="131"/>
      <c r="R43" s="131"/>
      <c r="S43" s="120">
        <f>CG43</f>
        <v/>
      </c>
      <c r="T43" s="120">
        <f>CC43</f>
        <v/>
      </c>
      <c r="U43" s="120">
        <f>CD43</f>
        <v/>
      </c>
      <c r="V43" s="119"/>
      <c r="W43" s="197">
        <f>CK43*100</f>
        <v/>
      </c>
      <c r="X43" s="119"/>
      <c r="Y43" s="119"/>
      <c r="Z43" s="119"/>
      <c r="AA43" s="115"/>
      <c r="AB43" s="115"/>
      <c r="AC43" s="689">
        <f>IF(OR(BX$34="Close to Ear",BX$34="Close to Head"),"Head",IF(BX$34="Extremity","Extremity","Body"))</f>
        <v/>
      </c>
      <c r="AD43" s="690">
        <f>CA43</f>
        <v/>
      </c>
      <c r="AE43" s="688">
        <f>CB43</f>
        <v/>
      </c>
      <c r="AF43" s="115"/>
      <c r="AG43" s="808">
        <f>IF(AZ43="","N/A",IF(CQ43="Pass","P","F"))</f>
        <v/>
      </c>
      <c r="AH43" s="129"/>
      <c r="AI43" s="129"/>
      <c r="AJ43" s="129"/>
      <c r="AK43" s="119"/>
      <c r="AL43" s="115"/>
      <c r="AM43" s="119"/>
      <c r="AN43" s="119"/>
      <c r="AO43" s="692"/>
      <c r="AP43" s="692"/>
      <c r="AQ43" s="692"/>
      <c r="AR43" s="692"/>
      <c r="AS43" s="692"/>
      <c r="AT43" s="691">
        <f>CE43</f>
        <v/>
      </c>
      <c r="AU43" s="691">
        <f>CF43</f>
        <v/>
      </c>
      <c r="AV43" s="813"/>
      <c r="AW43" s="813"/>
      <c r="AX43" s="197">
        <f>CZ43</f>
        <v/>
      </c>
      <c r="AY43" s="197">
        <f>DE43</f>
        <v/>
      </c>
      <c r="AZ43" s="3379">
        <f>CO43</f>
        <v/>
      </c>
      <c r="BA43" s="3380"/>
      <c r="BB43" s="197">
        <f>CP43</f>
        <v/>
      </c>
      <c r="BC43" s="813"/>
      <c r="BD43" s="197">
        <f>CR43</f>
        <v/>
      </c>
      <c r="BE43" s="121">
        <f>CS43</f>
        <v/>
      </c>
      <c r="BF43" s="122">
        <f>CT43*60</f>
        <v/>
      </c>
      <c r="BG43" s="121">
        <f>BE43</f>
        <v/>
      </c>
      <c r="BH43" s="122">
        <f>CU43*60</f>
        <v/>
      </c>
      <c r="BI43" s="122">
        <f>CV43</f>
        <v/>
      </c>
      <c r="BJ43" s="117"/>
      <c r="BK43" s="812">
        <f>Overview!$E$7</f>
        <v/>
      </c>
      <c r="BL43" s="117"/>
      <c r="BM43" s="836">
        <f>CW43</f>
        <v/>
      </c>
      <c r="BN43" s="812">
        <f>Overview!$P$153</f>
        <v/>
      </c>
      <c r="BO43" s="117"/>
      <c r="BP43" s="117"/>
      <c r="BQ43" s="115"/>
      <c r="BR43" s="1478" t="inlineStr">
        <is>
          <t>N/A</t>
        </is>
      </c>
      <c r="BS43" s="1548"/>
      <c r="BT43" s="1800" t="inlineStr">
        <is>
          <t>GSM</t>
        </is>
      </c>
      <c r="BU43" s="1800">
        <v>900</v>
      </c>
      <c r="BV43" s="406">
        <f>Overview!$H$28</f>
        <v/>
      </c>
      <c r="BW43" s="2016"/>
      <c r="BX43" s="1800"/>
      <c r="BY43" s="2057"/>
      <c r="BZ43" s="2040"/>
      <c r="CA43" s="404" t="str">
        <f>CONCATENATE(CA41," - Battery check 2")</f>
        <v>TBD - Battery check 2</v>
      </c>
      <c r="CB43" s="201">
        <v>5</v>
      </c>
      <c r="CC43" s="1081">
        <f>IF(COUNT($CO$34:$CO$41)=0,"N/A",INDEX($CC$34:$CC$41,MATCH(MAX($CO$34:$CO$41),$CO$34:$CO$41,0)))</f>
        <v/>
      </c>
      <c r="CD43" s="1081">
        <f>IF(COUNT($CO$34:$CO$41)=0,"N/A",INDEX($CD$34:$CD$41,MATCH(MAX($CO$34:$CO$41),$CO$34:$CO$41,0)))</f>
        <v/>
      </c>
      <c r="CE43" s="1874"/>
      <c r="CF43" s="1874"/>
      <c r="CG43" s="388" t="inlineStr">
        <is>
          <t>N/A</t>
        </is>
      </c>
      <c r="CH43" s="388">
        <f>BZ43</f>
        <v/>
      </c>
      <c r="CI43" s="388">
        <f>CA43</f>
        <v/>
      </c>
      <c r="CJ43" s="2046"/>
      <c r="CK43" s="2047"/>
      <c r="CL43" s="212">
        <f>IF(CF43=""," ",IF(ABS(CE43-CF43)&lt;=0.25,"Valid","Not valid"))</f>
        <v/>
      </c>
      <c r="CM43" s="213">
        <f> IF(CE43="","",IF(AND(CE43&lt;&gt;"",CF43=""),IF(CE43&gt;=2,"Medir+Sig Max","No"),IF(CF43&lt;&gt;"",IF(CF43&gt;=2,"Medir+Sig Max","No"),"")))</f>
        <v/>
      </c>
      <c r="CN43" s="214">
        <f>IF(UPPER(CM11)="X",IF(CF43=""," ",IF((ABS(CE43)&lt;5)*AND(ABS(CF43)&lt;5)*AND(ABS(CO43)&lt;5),"Solo si es max","Medir")),IF(CF43=""," ",IF((ABS(CE43)&lt;1)*AND(ABS(CF43)&lt;1)*AND(ABS(CO43)&lt;1),"Solo si es max","Medir")))</f>
        <v/>
      </c>
      <c r="CO43" s="221">
        <f>IF(CK43="",IF(AND(CE43="",CF43=""),"",IF(CF43="",IF(DE43&gt;1,ROUND(DE43*CE43,3),CE43),IF(DE43&gt;1,ROUND(DE43*CF43,3),CF43))),IF(AND(CE43="",CF43=""),"",IF(CF43="",IF(DE43&gt;1,ROUND(DE43*CE43*(1/(CK43)),3),CE43*(1/(CK43))),IF(DE43&gt;1,ROUND(DE43*CF43*(1/(CK43)),3),CF43*(1/(CK43))))))</f>
        <v/>
      </c>
      <c r="CP43" s="2048">
        <f>$CP$34</f>
        <v/>
      </c>
      <c r="CQ43" s="1473">
        <f>IF(CO43="","",IF(CO43&gt;CP43,"Fail","Pass"))</f>
        <v/>
      </c>
      <c r="CR43" s="1482">
        <f>IF(CO43&lt;&gt;"",MAX($CR$3:CR42)+1,"")</f>
        <v/>
      </c>
      <c r="CS43" s="1566">
        <f>MyTimestamp(CQ43)</f>
        <v/>
      </c>
      <c r="CT43" s="1535">
        <f>IF(COUNT(CE43:CF43)=1,15,IF(COUNT(CE43:CF43)=0,0,30))</f>
        <v/>
      </c>
      <c r="CU43" s="1536">
        <f>IF(CT43=0,0,2)</f>
        <v/>
      </c>
      <c r="CV43" s="861" t="inlineStr">
        <is>
          <t>S/02</t>
        </is>
      </c>
      <c r="CW43" s="861" t="inlineStr">
        <is>
          <t>Dasy6</t>
        </is>
      </c>
      <c r="CX43" s="2038"/>
      <c r="CY43" s="2050"/>
      <c r="CZ43" s="1545">
        <f>10^(CJ43/20)*100-100</f>
        <v/>
      </c>
      <c r="DA43" s="1320">
        <f>IF('Tune-Up'!$H$12="","",'Tune-Up'!$H$12)</f>
        <v/>
      </c>
      <c r="DB43" s="696">
        <f>IF(COUNT($CO$34:$CO$41)=0,"N/A",IFERROR(INDEX($DB$34:$DB$41,MATCH(MAX($CO$34:$CO$41),$CO$34:$CO$41,0)),"N/A"))</f>
        <v/>
      </c>
      <c r="DC43" s="798">
        <f>IF(DA43="","",10^(DA43/10))</f>
        <v/>
      </c>
      <c r="DD43" s="1364">
        <f>IF(ISNUMBER(DB43)=FALSE,"N/A",10^(DB43/10))</f>
        <v/>
      </c>
      <c r="DE43" s="1545">
        <f>IF(AND(ISNUMBER(DC43),ISNUMBER(DD43)),IF(DC43/DD43&gt;1,ROUND((DC43)/DD43,3),1),1)</f>
        <v/>
      </c>
      <c r="DF43" s="1541"/>
      <c r="DG43" s="1541"/>
      <c r="DH43" s="1541"/>
      <c r="DI43" s="1541"/>
      <c r="DJ43" s="1541"/>
      <c r="DK43" s="1541"/>
      <c r="DL43" s="1541"/>
      <c r="DM43" s="1541"/>
      <c r="DN43" s="1541"/>
      <c r="DO43" s="1541"/>
      <c r="DP43" s="1541"/>
      <c r="DQ43" s="1541"/>
      <c r="DR43" s="1541"/>
    </row>
    <row r="44" ht="12.75" x14ac:dyDescent="0.2">
      <c r="A44" s="1541"/>
      <c r="B44" s="1541"/>
      <c r="C44"/>
      <c r="D44" s="130">
        <f>IF(BX$44="Close to Ear","EN 62209-1","EN 62209-2")</f>
        <v/>
      </c>
      <c r="E44" s="130">
        <f>IF(CG44="Close to Ear","2016","2010/A1:2019")</f>
        <v/>
      </c>
      <c r="F44" s="1488" t="inlineStr">
        <is>
          <t>5.1</t>
        </is>
      </c>
      <c r="G44" s="1497"/>
      <c r="H44" s="120">
        <f>BV44</f>
        <v/>
      </c>
      <c r="I44" s="120">
        <f>BW44</f>
        <v/>
      </c>
      <c r="J44" s="687" t="str">
        <f>BT44</f>
        <v>GSM</v>
      </c>
      <c r="K44" s="194">
        <f>BU44</f>
        <v>900</v>
      </c>
      <c r="L44" s="115"/>
      <c r="M44" s="120">
        <f>BZ44</f>
        <v>0</v>
      </c>
      <c r="N44" s="119"/>
      <c r="O44" s="131"/>
      <c r="P44" s="6597"/>
      <c r="Q44" s="131"/>
      <c r="R44" s="131"/>
      <c r="S44" s="120">
        <f>CG44</f>
        <v>0</v>
      </c>
      <c r="T44" s="120">
        <f>CC44</f>
        <v>37</v>
      </c>
      <c r="U44" s="120">
        <f>CD44</f>
        <v>897.4</v>
      </c>
      <c r="V44" s="119"/>
      <c r="W44" s="197">
        <f>CK44*100</f>
        <v/>
      </c>
      <c r="X44" s="119"/>
      <c r="Y44" s="119"/>
      <c r="Z44" s="119"/>
      <c r="AA44" s="115"/>
      <c r="AB44" s="115"/>
      <c r="AC44" s="689">
        <f>IF(OR(BX$44="Close to Ear",BX$44="Close to Head"),"Head",IF(BX$44="Extremity","Extremity","Body"))</f>
        <v/>
      </c>
      <c r="AD44" s="690">
        <f>CA44</f>
        <v/>
      </c>
      <c r="AE44" s="688">
        <f>CB44</f>
        <v/>
      </c>
      <c r="AF44" s="115"/>
      <c r="AG44" s="808">
        <f>IF(AZ44="","N/A",IF(CQ44="Pass","P","F"))</f>
        <v/>
      </c>
      <c r="AH44" s="129"/>
      <c r="AI44" s="129"/>
      <c r="AJ44" s="129"/>
      <c r="AK44" s="119"/>
      <c r="AL44" s="115"/>
      <c r="AM44" s="119"/>
      <c r="AN44" s="119"/>
      <c r="AO44" s="692"/>
      <c r="AP44" s="692"/>
      <c r="AQ44" s="692"/>
      <c r="AR44" s="692"/>
      <c r="AS44" s="692"/>
      <c r="AT44" s="691">
        <f>CE44</f>
        <v/>
      </c>
      <c r="AU44" s="691">
        <f>CF44</f>
        <v/>
      </c>
      <c r="AV44" s="813"/>
      <c r="AW44" s="813"/>
      <c r="AX44" s="197">
        <f>CZ44</f>
        <v/>
      </c>
      <c r="AY44" s="197">
        <f>DE44</f>
        <v/>
      </c>
      <c r="AZ44" s="3379">
        <f>CO44</f>
        <v/>
      </c>
      <c r="BA44" s="3380"/>
      <c r="BB44" s="197">
        <f>CP44</f>
        <v/>
      </c>
      <c r="BC44" s="813"/>
      <c r="BD44" s="197">
        <f>CR44</f>
        <v/>
      </c>
      <c r="BE44" s="121">
        <f>CS44</f>
        <v/>
      </c>
      <c r="BF44" s="122">
        <f>CT44*60</f>
        <v/>
      </c>
      <c r="BG44" s="121">
        <f>BE44</f>
        <v/>
      </c>
      <c r="BH44" s="122">
        <f>CU44*60</f>
        <v/>
      </c>
      <c r="BI44" s="122">
        <f>CV44</f>
        <v/>
      </c>
      <c r="BJ44" s="117"/>
      <c r="BK44" s="812">
        <f>Overview!$E$7</f>
        <v/>
      </c>
      <c r="BL44" s="117"/>
      <c r="BM44" s="836">
        <f>CW44</f>
        <v/>
      </c>
      <c r="BN44" s="812">
        <f>Overview!$P$153</f>
        <v/>
      </c>
      <c r="BO44" s="117"/>
      <c r="BP44" s="117"/>
      <c r="BQ44" s="115"/>
      <c r="BR44" s="1478" t="inlineStr">
        <is>
          <t>N/A</t>
        </is>
      </c>
      <c r="BS44" s="1548"/>
      <c r="BT44" s="1777" t="inlineStr">
        <is>
          <t>GSM</t>
        </is>
      </c>
      <c r="BU44" s="1777">
        <v>900</v>
      </c>
      <c r="BV44" s="398">
        <f>Overview!$H$29</f>
        <v/>
      </c>
      <c r="BW44" s="2033"/>
      <c r="BX44" s="7672" t="inlineStr">
        <is>
          <t>Close to Ear</t>
        </is>
      </c>
      <c r="BY44" s="2034"/>
      <c r="BZ44" s="2034"/>
      <c r="CA44" s="2035" t="inlineStr">
        <is>
          <t>Left Cheek</t>
        </is>
      </c>
      <c r="CB44" s="2035">
        <v>0</v>
      </c>
      <c r="CC44" s="1062">
        <f>'2G-3G'!BX18</f>
        <v>37</v>
      </c>
      <c r="CD44" s="1062">
        <f>'2G-3G'!BY18</f>
        <v>897.4</v>
      </c>
      <c r="CE44" s="1522"/>
      <c r="CF44" s="1522"/>
      <c r="CG44" s="386" t="str">
        <f>IF(OR($BY$3="",$BY$3=""),"",$BY$3)</f>
        <v/>
      </c>
      <c r="CH44" s="386">
        <f>BZ44</f>
        <v/>
      </c>
      <c r="CI44" s="386">
        <f>CA44</f>
        <v/>
      </c>
      <c r="CJ44" s="1526"/>
      <c r="CK44" s="2036"/>
      <c r="CL44" s="203">
        <f>IF(CF44=""," ",IF(ABS(CE44-CF44)&lt;=0.125,"Valid","Not valid"))</f>
        <v/>
      </c>
      <c r="CM44" s="204">
        <f> IF(CE44="","",IF(AND(CE44&lt;&gt;"",CF44=""),IF(CE44&gt;=1,"Medir+Sig Max","No"),IF(CF44&lt;&gt;"",IF(CF44&gt;=1,"Medir+Sig Max","No"),"")))</f>
        <v/>
      </c>
      <c r="CN44" s="1798"/>
      <c r="CO44" s="219">
        <f>IF(CK44="",IF(AND(CE44="",CF44=""),"",IF(CF44="",IF(DE44&gt;1,ROUND(DE44*CE44,3),CE44),IF(DE44&gt;1,ROUND(DE44*CF44,3),CF44))),IF(AND(CE44="",CF44=""),"",IF(CF44="",IF(DE44&gt;1,ROUND(DE44*CE44*(1/(CK44)),3),CE44*(1/(CK44))),IF(DE44&gt;1,ROUND(DE44*CF44*(1/(CK44)),3),CF44*(1/(CK44))))))</f>
        <v/>
      </c>
      <c r="CP44" s="2037">
        <f>$CP$3</f>
        <v/>
      </c>
      <c r="CQ44" s="1471">
        <f>IF(CO44="","",IF(CO44&gt;CP44,"Fail","Pass"))</f>
        <v/>
      </c>
      <c r="CR44" s="1480">
        <f>IF(AND(MAX(CO44:CO49)=CO44,CO44&lt;&gt;0),COUNT($CR$3:CR41)+1,"")</f>
        <v/>
      </c>
      <c r="CS44" s="1564">
        <f>MyTimestamp(CO44)</f>
        <v/>
      </c>
      <c r="CT44" s="1529">
        <f>IF(CE44="",0,15)+IF(CF44="",0,15)</f>
        <v/>
      </c>
      <c r="CU44" s="1530">
        <f>IF(CT44=0,0,2)</f>
        <v/>
      </c>
      <c r="CV44" s="858" t="inlineStr">
        <is>
          <t>S/02</t>
        </is>
      </c>
      <c r="CW44" s="858" t="inlineStr">
        <is>
          <t>Dasy6</t>
        </is>
      </c>
      <c r="CX44" s="2038"/>
      <c r="CY44" s="2039"/>
      <c r="CZ44" s="1542">
        <f>10^(CJ44/20)*100-100</f>
        <v/>
      </c>
      <c r="DA44" s="1318">
        <f>IF('Tune-Up'!$H$12="","",'Tune-Up'!$H$12)</f>
        <v/>
      </c>
      <c r="DB44" s="694">
        <f>'2G-3G'!BZ18</f>
        <v/>
      </c>
      <c r="DC44" s="796">
        <f>IF(DA44="","",10^(DA44/10))</f>
        <v/>
      </c>
      <c r="DD44" s="1362">
        <f>IF(ISNUMBER(DB44)=FALSE,"",10^(DB44/10))</f>
        <v/>
      </c>
      <c r="DE44" s="1542">
        <f>IF(AND(ISNUMBER(DC44),ISNUMBER(DD44)),IF(DC44/DD44&gt;1,ROUND((DC44)/DD44,3),1),1)</f>
        <v/>
      </c>
      <c r="DF44" s="1541"/>
      <c r="DG44" s="1541"/>
      <c r="DH44" s="1541"/>
      <c r="DI44" s="1541"/>
      <c r="DJ44" s="1541"/>
      <c r="DK44" s="1541"/>
      <c r="DL44" s="1541"/>
      <c r="DM44" s="1541"/>
      <c r="DN44" s="1541"/>
      <c r="DO44" s="1541"/>
      <c r="DP44" s="1541"/>
      <c r="DQ44" s="1541"/>
      <c r="DR44" s="1541"/>
    </row>
    <row r="45" ht="12.75" x14ac:dyDescent="0.2">
      <c r="A45" s="1541"/>
      <c r="B45" s="1541"/>
      <c r="C45"/>
      <c r="D45" s="130">
        <f>IF(BX$44="Close to Ear","EN 62209-1","EN 62209-2")</f>
        <v/>
      </c>
      <c r="E45" s="130">
        <f>IF(CG45="Close to Ear","2016","2010/A1:2019")</f>
        <v/>
      </c>
      <c r="F45" s="1488" t="inlineStr">
        <is>
          <t>5.1</t>
        </is>
      </c>
      <c r="G45" s="1497"/>
      <c r="H45" s="120">
        <f>BV45</f>
        <v/>
      </c>
      <c r="I45" s="120">
        <f>BW45</f>
        <v/>
      </c>
      <c r="J45" s="687" t="str">
        <f>BT45</f>
        <v>GSM</v>
      </c>
      <c r="K45" s="194">
        <f>BU45</f>
        <v>900</v>
      </c>
      <c r="L45" s="115"/>
      <c r="M45" s="120">
        <f>BZ45</f>
        <v>0</v>
      </c>
      <c r="N45" s="119"/>
      <c r="O45" s="131"/>
      <c r="P45" s="6597"/>
      <c r="Q45" s="131"/>
      <c r="R45" s="131"/>
      <c r="S45" s="120">
        <f>CG45</f>
        <v>0</v>
      </c>
      <c r="T45" s="120">
        <f>CC45</f>
        <v>37</v>
      </c>
      <c r="U45" s="120">
        <f>CD45</f>
        <v>897.4</v>
      </c>
      <c r="V45" s="119"/>
      <c r="W45" s="197">
        <f>CK45*100</f>
        <v/>
      </c>
      <c r="X45" s="119"/>
      <c r="Y45" s="119"/>
      <c r="Z45" s="119"/>
      <c r="AA45" s="115"/>
      <c r="AB45" s="115"/>
      <c r="AC45" s="689">
        <f>IF(OR(BX$44="Close to Ear",BX$44="Close to Head"),"Head",IF(BX$44="Extremity","Extremity","Body"))</f>
        <v/>
      </c>
      <c r="AD45" s="690">
        <f>CA45</f>
        <v/>
      </c>
      <c r="AE45" s="688">
        <f>CB45</f>
        <v/>
      </c>
      <c r="AF45" s="115"/>
      <c r="AG45" s="808">
        <f>IF(AZ45="","N/A",IF(CQ45="Pass","P","F"))</f>
        <v/>
      </c>
      <c r="AH45" s="129"/>
      <c r="AI45" s="129"/>
      <c r="AJ45" s="129"/>
      <c r="AK45" s="119"/>
      <c r="AL45" s="115"/>
      <c r="AM45" s="119"/>
      <c r="AN45" s="119"/>
      <c r="AO45" s="692"/>
      <c r="AP45" s="692"/>
      <c r="AQ45" s="692"/>
      <c r="AR45" s="692"/>
      <c r="AS45" s="692"/>
      <c r="AT45" s="691">
        <f>CE45</f>
        <v/>
      </c>
      <c r="AU45" s="691">
        <f>CF45</f>
        <v/>
      </c>
      <c r="AV45" s="813"/>
      <c r="AW45" s="813"/>
      <c r="AX45" s="197">
        <f>CZ45</f>
        <v/>
      </c>
      <c r="AY45" s="197">
        <f>DE45</f>
        <v/>
      </c>
      <c r="AZ45" s="3379">
        <f>CO45</f>
        <v/>
      </c>
      <c r="BA45" s="3380"/>
      <c r="BB45" s="197">
        <f>CP45</f>
        <v/>
      </c>
      <c r="BC45" s="813"/>
      <c r="BD45" s="197">
        <f>CR45</f>
        <v/>
      </c>
      <c r="BE45" s="121">
        <f>CS45</f>
        <v/>
      </c>
      <c r="BF45" s="122">
        <f>CT45*60</f>
        <v/>
      </c>
      <c r="BG45" s="121">
        <f>BE45</f>
        <v/>
      </c>
      <c r="BH45" s="122">
        <f>CU45*60</f>
        <v/>
      </c>
      <c r="BI45" s="122">
        <f>CV45</f>
        <v/>
      </c>
      <c r="BJ45" s="117"/>
      <c r="BK45" s="812">
        <f>Overview!$E$7</f>
        <v/>
      </c>
      <c r="BL45" s="117"/>
      <c r="BM45" s="836">
        <f>CW45</f>
        <v/>
      </c>
      <c r="BN45" s="812">
        <f>Overview!$P$153</f>
        <v/>
      </c>
      <c r="BO45" s="117"/>
      <c r="BP45" s="117"/>
      <c r="BQ45" s="115"/>
      <c r="BR45" s="1478" t="inlineStr">
        <is>
          <t>N/A</t>
        </is>
      </c>
      <c r="BS45" s="1548"/>
      <c r="BT45" s="1783" t="inlineStr">
        <is>
          <t>GSM</t>
        </is>
      </c>
      <c r="BU45" s="1783">
        <v>900</v>
      </c>
      <c r="BV45" s="400">
        <f>Overview!$H$29</f>
        <v/>
      </c>
      <c r="BW45" s="2010"/>
      <c r="BX45" s="1783"/>
      <c r="BY45" s="2040"/>
      <c r="BZ45" s="2040"/>
      <c r="CA45" s="2041" t="inlineStr">
        <is>
          <t>Left Tilt</t>
        </is>
      </c>
      <c r="CB45" s="2041">
        <v>0</v>
      </c>
      <c r="CC45" s="1063">
        <f>'2G-3G'!BX18</f>
        <v>37</v>
      </c>
      <c r="CD45" s="1063">
        <f>'2G-3G'!BY18</f>
        <v>897.4</v>
      </c>
      <c r="CE45" s="1523"/>
      <c r="CF45" s="1523"/>
      <c r="CG45" s="387" t="str">
        <f>IF(OR($BY$3="",$BY$3=""),"",$BY$3)</f>
        <v/>
      </c>
      <c r="CH45" s="387">
        <f>BZ45</f>
        <v/>
      </c>
      <c r="CI45" s="387">
        <f>CA45</f>
        <v/>
      </c>
      <c r="CJ45" s="1527"/>
      <c r="CK45" s="2042"/>
      <c r="CL45" s="206">
        <f>IF(CF45=""," ",IF(ABS(CE45-CF45)&lt;=0.125,"Valid","Not valid"))</f>
        <v/>
      </c>
      <c r="CM45" s="207">
        <f> IF(CE45="","",IF(AND(CE45&lt;&gt;"",CF45=""),IF(CE45&gt;=1,"Medir+Sig Max","No"),IF(CF45&lt;&gt;"",IF(CF45&gt;=1,"Medir+Sig Max","No"),"")))</f>
        <v/>
      </c>
      <c r="CN45" s="1787"/>
      <c r="CO45" s="220">
        <f>IF(CK45="",IF(AND(CE45="",CF45=""),"",IF(CF45="",IF(DE45&gt;1,ROUND(DE45*CE45,3),CE45),IF(DE45&gt;1,ROUND(DE45*CF45,3),CF45))),IF(AND(CE45="",CF45=""),"",IF(CF45="",IF(DE45&gt;1,ROUND(DE45*CE45*(1/(CK45)),3),CE45*(1/(CK45))),IF(DE45&gt;1,ROUND(DE45*CF45*(1/(CK45)),3),CF45*(1/(CK45))))))</f>
        <v/>
      </c>
      <c r="CP45" s="2043">
        <f>$CP$3</f>
        <v/>
      </c>
      <c r="CQ45" s="1472">
        <f>IF(CO45="","",IF(CO45&gt;CP45,"Fail","Pass"))</f>
        <v/>
      </c>
      <c r="CR45" s="1481">
        <f>IF(AND(MAX(CO44:CO49)=CO45,CO45&lt;&gt;0),COUNT($CR$3:CR44)+1,"")</f>
        <v/>
      </c>
      <c r="CS45" s="1565">
        <f>MyTimestamp(CO45)</f>
        <v/>
      </c>
      <c r="CT45" s="1531">
        <f>IF(CE45="",0,15)+IF(CF45="",0,15)</f>
        <v/>
      </c>
      <c r="CU45" s="1532">
        <f>IF(CT45=0,0,2)</f>
        <v/>
      </c>
      <c r="CV45" s="859" t="inlineStr">
        <is>
          <t>S/02</t>
        </is>
      </c>
      <c r="CW45" s="859" t="inlineStr">
        <is>
          <t>Dasy6</t>
        </is>
      </c>
      <c r="CX45" s="2038"/>
      <c r="CY45" s="2044"/>
      <c r="CZ45" s="1543">
        <f>10^(CJ45/20)*100-100</f>
        <v/>
      </c>
      <c r="DA45" s="1319">
        <f>IF('Tune-Up'!$H$12="","",'Tune-Up'!$H$12)</f>
        <v/>
      </c>
      <c r="DB45" s="695">
        <f>'2G-3G'!BZ18</f>
        <v/>
      </c>
      <c r="DC45" s="797">
        <f>IF(DA45="","",10^(DA45/10))</f>
        <v/>
      </c>
      <c r="DD45" s="1363">
        <f>IF(ISNUMBER(DB45)=FALSE,"",10^(DB45/10))</f>
        <v/>
      </c>
      <c r="DE45" s="1543">
        <f>IF(AND(ISNUMBER(DC45),ISNUMBER(DD45)),IF(DC45/DD45&gt;1,ROUND((DC45)/DD45,3),1),1)</f>
        <v/>
      </c>
      <c r="DF45" s="1541"/>
      <c r="DG45" s="1541"/>
      <c r="DH45" s="1541"/>
      <c r="DI45" s="1541"/>
      <c r="DJ45" s="1541"/>
      <c r="DK45" s="1541"/>
      <c r="DL45" s="1541"/>
      <c r="DM45" s="1541"/>
      <c r="DN45" s="1541"/>
      <c r="DO45" s="1541"/>
      <c r="DP45" s="1541"/>
      <c r="DQ45" s="1541"/>
      <c r="DR45" s="1541"/>
    </row>
    <row r="46" ht="12.75" x14ac:dyDescent="0.2">
      <c r="A46" s="1541"/>
      <c r="B46" s="1541"/>
      <c r="C46"/>
      <c r="D46" s="130">
        <f>IF(BX$44="Close to Ear","EN 62209-1","EN 62209-2")</f>
        <v/>
      </c>
      <c r="E46" s="130">
        <f>IF(CG46="Close to Ear","2016","2010/A1:2019")</f>
        <v/>
      </c>
      <c r="F46" s="1488" t="inlineStr">
        <is>
          <t>5.1</t>
        </is>
      </c>
      <c r="G46" s="1497"/>
      <c r="H46" s="120">
        <f>BV46</f>
        <v/>
      </c>
      <c r="I46" s="120">
        <f>BW46</f>
        <v/>
      </c>
      <c r="J46" s="687" t="str">
        <f>BT46</f>
        <v>GSM</v>
      </c>
      <c r="K46" s="194">
        <f>BU46</f>
        <v>900</v>
      </c>
      <c r="L46" s="115"/>
      <c r="M46" s="120">
        <f>BZ46</f>
        <v>0</v>
      </c>
      <c r="N46" s="119"/>
      <c r="O46" s="131"/>
      <c r="P46" s="6597"/>
      <c r="Q46" s="131"/>
      <c r="R46" s="131"/>
      <c r="S46" s="120">
        <f>CG46</f>
        <v>0</v>
      </c>
      <c r="T46" s="120">
        <f>CC46</f>
        <v>37</v>
      </c>
      <c r="U46" s="120">
        <f>CD46</f>
        <v>897.4</v>
      </c>
      <c r="V46" s="119"/>
      <c r="W46" s="197">
        <f>CK46*100</f>
        <v/>
      </c>
      <c r="X46" s="119"/>
      <c r="Y46" s="119"/>
      <c r="Z46" s="119"/>
      <c r="AA46" s="115"/>
      <c r="AB46" s="115"/>
      <c r="AC46" s="689">
        <f>IF(OR(BX$44="Close to Ear",BX$44="Close to Head"),"Head",IF(BX$44="Extremity","Extremity","Body"))</f>
        <v/>
      </c>
      <c r="AD46" s="690">
        <f>CA46</f>
        <v/>
      </c>
      <c r="AE46" s="688">
        <f>CB46</f>
        <v/>
      </c>
      <c r="AF46" s="115"/>
      <c r="AG46" s="808">
        <f>IF(AZ46="","N/A",IF(CQ46="Pass","P","F"))</f>
        <v/>
      </c>
      <c r="AH46" s="129"/>
      <c r="AI46" s="129"/>
      <c r="AJ46" s="129"/>
      <c r="AK46" s="119"/>
      <c r="AL46" s="115"/>
      <c r="AM46" s="119"/>
      <c r="AN46" s="119"/>
      <c r="AO46" s="692"/>
      <c r="AP46" s="692"/>
      <c r="AQ46" s="692"/>
      <c r="AR46" s="692"/>
      <c r="AS46" s="692"/>
      <c r="AT46" s="691">
        <f>CE46</f>
        <v/>
      </c>
      <c r="AU46" s="691">
        <f>CF46</f>
        <v/>
      </c>
      <c r="AV46" s="813"/>
      <c r="AW46" s="813"/>
      <c r="AX46" s="197">
        <f>CZ46</f>
        <v/>
      </c>
      <c r="AY46" s="197">
        <f>DE46</f>
        <v/>
      </c>
      <c r="AZ46" s="3379">
        <f>CO46</f>
        <v/>
      </c>
      <c r="BA46" s="3380"/>
      <c r="BB46" s="197">
        <f>CP46</f>
        <v/>
      </c>
      <c r="BC46" s="813"/>
      <c r="BD46" s="197">
        <f>CR46</f>
        <v/>
      </c>
      <c r="BE46" s="121">
        <f>CS46</f>
        <v/>
      </c>
      <c r="BF46" s="122">
        <f>CT46*60</f>
        <v/>
      </c>
      <c r="BG46" s="121">
        <f>BE46</f>
        <v/>
      </c>
      <c r="BH46" s="122">
        <f>CU46*60</f>
        <v/>
      </c>
      <c r="BI46" s="122">
        <f>CV46</f>
        <v/>
      </c>
      <c r="BJ46" s="117"/>
      <c r="BK46" s="812">
        <f>Overview!$E$7</f>
        <v/>
      </c>
      <c r="BL46" s="117"/>
      <c r="BM46" s="836">
        <f>CW46</f>
        <v/>
      </c>
      <c r="BN46" s="812">
        <f>Overview!$P$153</f>
        <v/>
      </c>
      <c r="BO46" s="117"/>
      <c r="BP46" s="117"/>
      <c r="BQ46" s="115"/>
      <c r="BR46" s="1478" t="inlineStr">
        <is>
          <t>N/A</t>
        </is>
      </c>
      <c r="BS46" s="1548"/>
      <c r="BT46" s="1791" t="inlineStr">
        <is>
          <t>GSM</t>
        </is>
      </c>
      <c r="BU46" s="1791">
        <v>900</v>
      </c>
      <c r="BV46" s="403">
        <f>Overview!$H$29</f>
        <v/>
      </c>
      <c r="BW46" s="2010"/>
      <c r="BX46" s="1791"/>
      <c r="BY46" s="2040"/>
      <c r="BZ46" s="2040"/>
      <c r="CA46" s="2041" t="inlineStr">
        <is>
          <t>Right Cheek</t>
        </is>
      </c>
      <c r="CB46" s="2041">
        <v>0</v>
      </c>
      <c r="CC46" s="1063">
        <f>'2G-3G'!BX18</f>
        <v>37</v>
      </c>
      <c r="CD46" s="1063">
        <f>'2G-3G'!BY18</f>
        <v>897.4</v>
      </c>
      <c r="CE46" s="1523"/>
      <c r="CF46" s="1523"/>
      <c r="CG46" s="387" t="str">
        <f>IF(OR($BY$3="",$BY$3=""),"",$BY$3)</f>
        <v/>
      </c>
      <c r="CH46" s="387">
        <f>BZ46</f>
        <v/>
      </c>
      <c r="CI46" s="387">
        <f>CA46</f>
        <v/>
      </c>
      <c r="CJ46" s="1527"/>
      <c r="CK46" s="2042"/>
      <c r="CL46" s="206">
        <f>IF(CF46=""," ",IF(ABS(CE46-CF46)&lt;=0.125,"Valid","Not valid"))</f>
        <v/>
      </c>
      <c r="CM46" s="207">
        <f> IF(CE46="","",IF(AND(CE46&lt;&gt;"",CF46=""),IF(CE46&gt;=1,"Medir+Sig Max","No"),IF(CF46&lt;&gt;"",IF(CF46&gt;=1,"Medir+Sig Max","No"),"")))</f>
        <v/>
      </c>
      <c r="CN46" s="1787"/>
      <c r="CO46" s="220">
        <f>IF(CK46="",IF(AND(CE46="",CF46=""),"",IF(CF46="",IF(DE46&gt;1,ROUND(DE46*CE46,3),CE46),IF(DE46&gt;1,ROUND(DE46*CF46,3),CF46))),IF(AND(CE46="",CF46=""),"",IF(CF46="",IF(DE46&gt;1,ROUND(DE46*CE46*(1/(CK46)),3),CE46*(1/(CK46))),IF(DE46&gt;1,ROUND(DE46*CF46*(1/(CK46)),3),CF46*(1/(CK46))))))</f>
        <v/>
      </c>
      <c r="CP46" s="2043">
        <f>$CP$3</f>
        <v/>
      </c>
      <c r="CQ46" s="1472">
        <f>IF(CO46="","",IF(CO46&gt;CP46,"Fail","Pass"))</f>
        <v/>
      </c>
      <c r="CR46" s="1481">
        <f>IF(AND(MAX(CO44:CO49)=CO46,CO46&lt;&gt;0),COUNT($CR$3:CR45)+1,"")</f>
        <v/>
      </c>
      <c r="CS46" s="1565">
        <f>MyTimestamp(CO46)</f>
        <v/>
      </c>
      <c r="CT46" s="1531">
        <f>IF(CE46="",0,15)+IF(CF46="",0,15)</f>
        <v/>
      </c>
      <c r="CU46" s="1532">
        <f>IF(CT46=0,0,2)</f>
        <v/>
      </c>
      <c r="CV46" s="859" t="inlineStr">
        <is>
          <t>S/02</t>
        </is>
      </c>
      <c r="CW46" s="859" t="inlineStr">
        <is>
          <t>Dasy6</t>
        </is>
      </c>
      <c r="CX46" s="2038"/>
      <c r="CY46" s="2044"/>
      <c r="CZ46" s="1543">
        <f>10^(CJ46/20)*100-100</f>
        <v/>
      </c>
      <c r="DA46" s="1319">
        <f>IF('Tune-Up'!$H$12="","",'Tune-Up'!$H$12)</f>
        <v/>
      </c>
      <c r="DB46" s="695">
        <f>'2G-3G'!BZ18</f>
        <v/>
      </c>
      <c r="DC46" s="797">
        <f>IF(DA46="","",10^(DA46/10))</f>
        <v/>
      </c>
      <c r="DD46" s="1363">
        <f>IF(ISNUMBER(DB46)=FALSE,"",10^(DB46/10))</f>
        <v/>
      </c>
      <c r="DE46" s="1543">
        <f>IF(AND(ISNUMBER(DC46),ISNUMBER(DD46)),IF(DC46/DD46&gt;1,ROUND((DC46)/DD46,3),1),1)</f>
        <v/>
      </c>
      <c r="DF46" s="1541"/>
      <c r="DG46" s="1541"/>
      <c r="DH46" s="1541"/>
      <c r="DI46" s="1541"/>
      <c r="DJ46" s="1541"/>
      <c r="DK46" s="1541"/>
      <c r="DL46" s="1541"/>
      <c r="DM46" s="1541"/>
      <c r="DN46" s="1541"/>
      <c r="DO46" s="1541"/>
      <c r="DP46" s="1541"/>
      <c r="DQ46" s="1541"/>
      <c r="DR46" s="1541"/>
    </row>
    <row r="47" ht="12.75" x14ac:dyDescent="0.2">
      <c r="A47" s="1541"/>
      <c r="B47" s="1541"/>
      <c r="C47"/>
      <c r="D47" s="130">
        <f>IF(BX$44="Close to Ear","EN 62209-1","EN 62209-2")</f>
        <v/>
      </c>
      <c r="E47" s="130">
        <f>IF(CG47="Close to Ear","2016","2010/A1:2019")</f>
        <v/>
      </c>
      <c r="F47" s="1488" t="inlineStr">
        <is>
          <t>5.1</t>
        </is>
      </c>
      <c r="G47" s="1497"/>
      <c r="H47" s="120">
        <f>BV47</f>
        <v/>
      </c>
      <c r="I47" s="120">
        <f>BW47</f>
        <v/>
      </c>
      <c r="J47" s="687" t="str">
        <f>BT47</f>
        <v>GSM</v>
      </c>
      <c r="K47" s="194">
        <f>BU47</f>
        <v>900</v>
      </c>
      <c r="L47" s="115"/>
      <c r="M47" s="120">
        <f>BZ47</f>
        <v>0</v>
      </c>
      <c r="N47" s="119"/>
      <c r="O47" s="131"/>
      <c r="P47" s="6597"/>
      <c r="Q47" s="131"/>
      <c r="R47" s="131"/>
      <c r="S47" s="120">
        <f>CG47</f>
        <v>0</v>
      </c>
      <c r="T47" s="120">
        <f>CC47</f>
        <v>37</v>
      </c>
      <c r="U47" s="120">
        <f>CD47</f>
        <v>897.4</v>
      </c>
      <c r="V47" s="119"/>
      <c r="W47" s="197">
        <f>CK47*100</f>
        <v/>
      </c>
      <c r="X47" s="119"/>
      <c r="Y47" s="119"/>
      <c r="Z47" s="119"/>
      <c r="AA47" s="115"/>
      <c r="AB47" s="115"/>
      <c r="AC47" s="689">
        <f>IF(OR(BX$44="Close to Ear",BX$44="Close to Head"),"Head",IF(BX$44="Extremity","Extremity","Body"))</f>
        <v/>
      </c>
      <c r="AD47" s="690">
        <f>CA47</f>
        <v/>
      </c>
      <c r="AE47" s="688">
        <f>CB47</f>
        <v/>
      </c>
      <c r="AF47" s="115"/>
      <c r="AG47" s="808">
        <f>IF(AZ47="","N/A",IF(CQ47="Pass","P","F"))</f>
        <v/>
      </c>
      <c r="AH47" s="129"/>
      <c r="AI47" s="129"/>
      <c r="AJ47" s="129"/>
      <c r="AK47" s="119"/>
      <c r="AL47" s="115"/>
      <c r="AM47" s="119"/>
      <c r="AN47" s="119"/>
      <c r="AO47" s="692"/>
      <c r="AP47" s="692"/>
      <c r="AQ47" s="692"/>
      <c r="AR47" s="692"/>
      <c r="AS47" s="692"/>
      <c r="AT47" s="691">
        <f>CE47</f>
        <v/>
      </c>
      <c r="AU47" s="691">
        <f>CF47</f>
        <v/>
      </c>
      <c r="AV47" s="813"/>
      <c r="AW47" s="813"/>
      <c r="AX47" s="197">
        <f>CZ47</f>
        <v/>
      </c>
      <c r="AY47" s="197">
        <f>DE47</f>
        <v/>
      </c>
      <c r="AZ47" s="3379">
        <f>CO47</f>
        <v/>
      </c>
      <c r="BA47" s="3380"/>
      <c r="BB47" s="197">
        <f>CP47</f>
        <v/>
      </c>
      <c r="BC47" s="813"/>
      <c r="BD47" s="197">
        <f>CR47</f>
        <v/>
      </c>
      <c r="BE47" s="121">
        <f>CS47</f>
        <v/>
      </c>
      <c r="BF47" s="122">
        <f>CT47*60</f>
        <v/>
      </c>
      <c r="BG47" s="121">
        <f>BE47</f>
        <v/>
      </c>
      <c r="BH47" s="122">
        <f>CU47*60</f>
        <v/>
      </c>
      <c r="BI47" s="122">
        <f>CV47</f>
        <v/>
      </c>
      <c r="BJ47" s="117"/>
      <c r="BK47" s="812">
        <f>Overview!$E$7</f>
        <v/>
      </c>
      <c r="BL47" s="117"/>
      <c r="BM47" s="836">
        <f>CW47</f>
        <v/>
      </c>
      <c r="BN47" s="812">
        <f>Overview!$P$153</f>
        <v/>
      </c>
      <c r="BO47" s="117"/>
      <c r="BP47" s="117"/>
      <c r="BQ47" s="115"/>
      <c r="BR47" s="1478" t="inlineStr">
        <is>
          <t>N/A</t>
        </is>
      </c>
      <c r="BS47" s="1548"/>
      <c r="BT47" s="1783" t="inlineStr">
        <is>
          <t>GSM</t>
        </is>
      </c>
      <c r="BU47" s="1783">
        <v>900</v>
      </c>
      <c r="BV47" s="400">
        <f>Overview!$H$29</f>
        <v/>
      </c>
      <c r="BW47" s="2010"/>
      <c r="BX47" s="1783"/>
      <c r="BY47" s="2040"/>
      <c r="BZ47" s="2040"/>
      <c r="CA47" s="2041" t="inlineStr">
        <is>
          <t>Right Tilt</t>
        </is>
      </c>
      <c r="CB47" s="2041">
        <v>0</v>
      </c>
      <c r="CC47" s="1063">
        <f>'2G-3G'!BX18</f>
        <v>37</v>
      </c>
      <c r="CD47" s="1063">
        <f>'2G-3G'!BY18</f>
        <v>897.4</v>
      </c>
      <c r="CE47" s="1523"/>
      <c r="CF47" s="1523"/>
      <c r="CG47" s="387" t="str">
        <f>IF(OR($BY$3="",$BY$3=""),"",$BY$3)</f>
        <v/>
      </c>
      <c r="CH47" s="387">
        <f>BZ47</f>
        <v/>
      </c>
      <c r="CI47" s="387">
        <f>CA47</f>
        <v/>
      </c>
      <c r="CJ47" s="1527"/>
      <c r="CK47" s="2042"/>
      <c r="CL47" s="206">
        <f>IF(CF47=""," ",IF(ABS(CE47-CF47)&lt;=0.125,"Valid","Not valid"))</f>
        <v/>
      </c>
      <c r="CM47" s="207">
        <f> IF(CE47="","",IF(AND(CE47&lt;&gt;"",CF47=""),IF(CE47&gt;=1,"Medir+Sig Max","No"),IF(CF47&lt;&gt;"",IF(CF47&gt;=1,"Medir+Sig Max","No"),"")))</f>
        <v/>
      </c>
      <c r="CN47" s="1787"/>
      <c r="CO47" s="220">
        <f>IF(CK47="",IF(AND(CE47="",CF47=""),"",IF(CF47="",IF(DE47&gt;1,ROUND(DE47*CE47,3),CE47),IF(DE47&gt;1,ROUND(DE47*CF47,3),CF47))),IF(AND(CE47="",CF47=""),"",IF(CF47="",IF(DE47&gt;1,ROUND(DE47*CE47*(1/(CK47)),3),CE47*(1/(CK47))),IF(DE47&gt;1,ROUND(DE47*CF47*(1/(CK47)),3),CF47*(1/(CK47))))))</f>
        <v/>
      </c>
      <c r="CP47" s="2043">
        <f>$CP$3</f>
        <v/>
      </c>
      <c r="CQ47" s="1472">
        <f>IF(CO47="","",IF(CO47&gt;CP47,"Fail","Pass"))</f>
        <v/>
      </c>
      <c r="CR47" s="1481">
        <f>IF(AND(MAX(CO44:CO49)=CO47,CO47&lt;&gt;0),COUNT($CR$3:CR46)+1,"")</f>
        <v/>
      </c>
      <c r="CS47" s="1565">
        <f>MyTimestamp(CO47)</f>
        <v/>
      </c>
      <c r="CT47" s="1531">
        <f>IF(CE47="",0,15)+IF(CF47="",0,15)</f>
        <v/>
      </c>
      <c r="CU47" s="1532">
        <f>IF(CT47=0,0,2)</f>
        <v/>
      </c>
      <c r="CV47" s="859" t="inlineStr">
        <is>
          <t>S/02</t>
        </is>
      </c>
      <c r="CW47" s="859" t="inlineStr">
        <is>
          <t>Dasy6</t>
        </is>
      </c>
      <c r="CX47" s="2038"/>
      <c r="CY47" s="2044"/>
      <c r="CZ47" s="1543">
        <f>10^(CJ47/20)*100-100</f>
        <v/>
      </c>
      <c r="DA47" s="1319">
        <f>IF('Tune-Up'!$H$12="","",'Tune-Up'!$H$12)</f>
        <v/>
      </c>
      <c r="DB47" s="695">
        <f>'2G-3G'!BZ18</f>
        <v/>
      </c>
      <c r="DC47" s="797">
        <f>IF(DA47="","",10^(DA47/10))</f>
        <v/>
      </c>
      <c r="DD47" s="1363">
        <f>IF(ISNUMBER(DB47)=FALSE,"",10^(DB47/10))</f>
        <v/>
      </c>
      <c r="DE47" s="1543">
        <f>IF(AND(ISNUMBER(DC47),ISNUMBER(DD47)),IF(DC47/DD47&gt;1,ROUND((DC47)/DD47,3),1),1)</f>
        <v/>
      </c>
      <c r="DF47" s="1541"/>
      <c r="DG47" s="1541"/>
      <c r="DH47" s="1541"/>
      <c r="DI47" s="1541"/>
      <c r="DJ47" s="1541"/>
      <c r="DK47" s="1541"/>
      <c r="DL47" s="1541"/>
      <c r="DM47" s="1541"/>
      <c r="DN47" s="1541"/>
      <c r="DO47" s="1541"/>
      <c r="DP47" s="1541"/>
      <c r="DQ47" s="1541"/>
      <c r="DR47" s="1541"/>
    </row>
    <row r="48" ht="12.75" x14ac:dyDescent="0.2">
      <c r="A48" s="1541"/>
      <c r="B48" s="1541"/>
      <c r="C48"/>
      <c r="D48" s="130">
        <f>IF(BX$44="Close to Ear","EN 62209-1","EN 62209-2")</f>
        <v/>
      </c>
      <c r="E48" s="130">
        <f>IF(CG48="Close to Ear","2016","2010/A1:2019")</f>
        <v/>
      </c>
      <c r="F48" s="1488" t="inlineStr">
        <is>
          <t>5.1</t>
        </is>
      </c>
      <c r="G48" s="1497"/>
      <c r="H48" s="120">
        <f>BV48</f>
        <v/>
      </c>
      <c r="I48" s="120">
        <f>BW48</f>
        <v/>
      </c>
      <c r="J48" s="687" t="str">
        <f>BT48</f>
        <v>GSM</v>
      </c>
      <c r="K48" s="194">
        <f>BU48</f>
        <v>900</v>
      </c>
      <c r="L48" s="115"/>
      <c r="M48" s="120">
        <f>BZ48</f>
        <v>0</v>
      </c>
      <c r="N48" s="119"/>
      <c r="O48" s="131"/>
      <c r="P48" s="6597"/>
      <c r="Q48" s="131"/>
      <c r="R48" s="131"/>
      <c r="S48" s="120">
        <f>CG48</f>
        <v>0</v>
      </c>
      <c r="T48" s="120">
        <f>CC48</f>
        <v>975</v>
      </c>
      <c r="U48" s="120">
        <f>CD48</f>
        <v>880.2</v>
      </c>
      <c r="V48" s="119"/>
      <c r="W48" s="197">
        <f>CK48*100</f>
        <v/>
      </c>
      <c r="X48" s="119"/>
      <c r="Y48" s="119"/>
      <c r="Z48" s="119"/>
      <c r="AA48" s="115"/>
      <c r="AB48" s="115"/>
      <c r="AC48" s="689">
        <f>IF(OR(BX$44="Close to Ear",BX$44="Close to Head"),"Head",IF(BX$44="Extremity","Extremity","Body"))</f>
        <v/>
      </c>
      <c r="AD48" s="690">
        <f>CA48</f>
        <v/>
      </c>
      <c r="AE48" s="688">
        <f>CB48</f>
        <v/>
      </c>
      <c r="AF48" s="115"/>
      <c r="AG48" s="808">
        <f>IF(AZ48="","N/A",IF(CQ48="Pass","P","F"))</f>
        <v/>
      </c>
      <c r="AH48" s="129"/>
      <c r="AI48" s="129"/>
      <c r="AJ48" s="129"/>
      <c r="AK48" s="119"/>
      <c r="AL48" s="115"/>
      <c r="AM48" s="119"/>
      <c r="AN48" s="119"/>
      <c r="AO48" s="692"/>
      <c r="AP48" s="692"/>
      <c r="AQ48" s="692"/>
      <c r="AR48" s="692"/>
      <c r="AS48" s="692"/>
      <c r="AT48" s="691">
        <f>CE48</f>
        <v/>
      </c>
      <c r="AU48" s="691">
        <f>CF48</f>
        <v/>
      </c>
      <c r="AV48" s="813"/>
      <c r="AW48" s="813"/>
      <c r="AX48" s="197">
        <f>CZ48</f>
        <v/>
      </c>
      <c r="AY48" s="197">
        <f>DE48</f>
        <v/>
      </c>
      <c r="AZ48" s="3379">
        <f>CO48</f>
        <v/>
      </c>
      <c r="BA48" s="3380"/>
      <c r="BB48" s="197">
        <f>CP48</f>
        <v/>
      </c>
      <c r="BC48" s="813"/>
      <c r="BD48" s="197">
        <f>CR48</f>
        <v/>
      </c>
      <c r="BE48" s="121">
        <f>CS48</f>
        <v/>
      </c>
      <c r="BF48" s="122">
        <f>CT48*60</f>
        <v/>
      </c>
      <c r="BG48" s="121">
        <f>BE48</f>
        <v/>
      </c>
      <c r="BH48" s="122">
        <f>CU48*60</f>
        <v/>
      </c>
      <c r="BI48" s="122">
        <f>CV48</f>
        <v/>
      </c>
      <c r="BJ48" s="117"/>
      <c r="BK48" s="812">
        <f>Overview!$E$7</f>
        <v/>
      </c>
      <c r="BL48" s="117"/>
      <c r="BM48" s="836">
        <f>CW48</f>
        <v/>
      </c>
      <c r="BN48" s="812">
        <f>Overview!$P$153</f>
        <v/>
      </c>
      <c r="BO48" s="117"/>
      <c r="BP48" s="117"/>
      <c r="BQ48" s="115"/>
      <c r="BR48" s="1478" t="inlineStr">
        <is>
          <t>N/A</t>
        </is>
      </c>
      <c r="BS48" s="1548"/>
      <c r="BT48" s="1783" t="inlineStr">
        <is>
          <t>GSM</t>
        </is>
      </c>
      <c r="BU48" s="1783">
        <v>900</v>
      </c>
      <c r="BV48" s="400">
        <f>Overview!$H$29</f>
        <v/>
      </c>
      <c r="BW48" s="2010"/>
      <c r="BX48" s="1783"/>
      <c r="BY48" s="2040"/>
      <c r="BZ48" s="2040"/>
      <c r="CA48" s="401" t="str">
        <f>IF(COUNT(CF44:CF47)=0,IF(COUNT(CE44:CE47)=0,"TBD",VLOOKUP(MAX(CE44:CE47),CE44:CI47,5,FALSE)),VLOOKUP(MAX(CF44:CF47),CF44:CI47,4,FALSE))</f>
        <v>TBD</v>
      </c>
      <c r="CB48" s="2041">
        <v>0</v>
      </c>
      <c r="CC48" s="1063">
        <f>'2G-3G'!BX19</f>
        <v>975</v>
      </c>
      <c r="CD48" s="1063">
        <f>'2G-3G'!BY19</f>
        <v>880.2</v>
      </c>
      <c r="CE48" s="1523"/>
      <c r="CF48" s="1523"/>
      <c r="CG48" s="387" t="str">
        <f>IF(OR($BY$3="",$BY$3=""),"",$BY$3)</f>
        <v/>
      </c>
      <c r="CH48" s="387">
        <f>BZ48</f>
        <v/>
      </c>
      <c r="CI48" s="387">
        <f>CA48</f>
        <v/>
      </c>
      <c r="CJ48" s="1527"/>
      <c r="CK48" s="2042"/>
      <c r="CL48" s="206">
        <f>IF(CF48=""," ",IF(ABS(CE48-CF48)&lt;=0.125,"Valid","Not valid"))</f>
        <v/>
      </c>
      <c r="CM48" s="207">
        <f> IF(CE48="","",IF(AND(CE48&lt;&gt;"",CF48=""),IF(CE48&gt;=1,"Medir+Sig Max","No"),IF(CF48&lt;&gt;"",IF(CF48&gt;=1,"Medir+Sig Max","No"),"")))</f>
        <v/>
      </c>
      <c r="CN48" s="1787"/>
      <c r="CO48" s="220">
        <f>IF(CK48="",IF(AND(CE48="",CF48=""),"",IF(CF48="",IF(DE48&gt;1,ROUND(DE48*CE48,3),CE48),IF(DE48&gt;1,ROUND(DE48*CF48,3),CF48))),IF(AND(CE48="",CF48=""),"",IF(CF48="",IF(DE48&gt;1,ROUND(DE48*CE48*(1/(CK48)),3),CE48*(1/(CK48))),IF(DE48&gt;1,ROUND(DE48*CF48*(1/(CK48)),3),CF48*(1/(CK48))))))</f>
        <v/>
      </c>
      <c r="CP48" s="2043">
        <f>$CP$3</f>
        <v/>
      </c>
      <c r="CQ48" s="1472">
        <f>IF(CO48="","",IF(CO48&gt;CP48,"Fail","Pass"))</f>
        <v/>
      </c>
      <c r="CR48" s="1481">
        <f>IF(AND(MAX(CO44:CO49)=CO48,CO48&lt;&gt;0),COUNT($CR$3:CR47)+1,"")</f>
        <v/>
      </c>
      <c r="CS48" s="1565">
        <f>MyTimestamp(CO48)</f>
        <v/>
      </c>
      <c r="CT48" s="1531">
        <f>IF(CE48="",0,15)+IF(CF48="",0,15)</f>
        <v/>
      </c>
      <c r="CU48" s="1532">
        <f>IF(CT48=0,0,2)</f>
        <v/>
      </c>
      <c r="CV48" s="859" t="inlineStr">
        <is>
          <t>S/02</t>
        </is>
      </c>
      <c r="CW48" s="859" t="inlineStr">
        <is>
          <t>Dasy6</t>
        </is>
      </c>
      <c r="CX48" s="2038"/>
      <c r="CY48" s="2044"/>
      <c r="CZ48" s="1543">
        <f>10^(CJ48/20)*100-100</f>
        <v/>
      </c>
      <c r="DA48" s="1319">
        <f>IF('Tune-Up'!$H$12="","",'Tune-Up'!$H$12)</f>
        <v/>
      </c>
      <c r="DB48" s="695">
        <f>'2G-3G'!BZ19</f>
        <v/>
      </c>
      <c r="DC48" s="797">
        <f>IF(DA48="","",10^(DA48/10))</f>
        <v/>
      </c>
      <c r="DD48" s="1363">
        <f>IF(ISNUMBER(DB48)=FALSE,"",10^(DB48/10))</f>
        <v/>
      </c>
      <c r="DE48" s="1543">
        <f>IF(AND(ISNUMBER(DC48),ISNUMBER(DD48)),IF(DC48/DD48&gt;1,ROUND((DC48)/DD48,3),1),1)</f>
        <v/>
      </c>
      <c r="DF48" s="1541"/>
      <c r="DG48" s="1541"/>
      <c r="DH48" s="1541"/>
      <c r="DI48" s="1541"/>
      <c r="DJ48" s="1541"/>
      <c r="DK48" s="1541"/>
      <c r="DL48" s="1541"/>
      <c r="DM48" s="1541"/>
      <c r="DN48" s="1541"/>
      <c r="DO48" s="1541"/>
      <c r="DP48" s="1541"/>
      <c r="DQ48" s="1541"/>
      <c r="DR48" s="1541"/>
    </row>
    <row r="49" ht="12.75" x14ac:dyDescent="0.2">
      <c r="A49" s="1541"/>
      <c r="B49" s="1541"/>
      <c r="C49"/>
      <c r="D49" s="130">
        <f>IF(BX$44="Close to Ear","EN 62209-1","EN 62209-2")</f>
        <v/>
      </c>
      <c r="E49" s="130">
        <f>IF(CG49="Close to Ear","2016","2010/A1:2019")</f>
        <v/>
      </c>
      <c r="F49" s="1488" t="inlineStr">
        <is>
          <t>5.1</t>
        </is>
      </c>
      <c r="G49" s="1497"/>
      <c r="H49" s="120">
        <f>BV49</f>
        <v/>
      </c>
      <c r="I49" s="120">
        <f>BW49</f>
        <v/>
      </c>
      <c r="J49" s="687" t="str">
        <f>BT49</f>
        <v>GSM</v>
      </c>
      <c r="K49" s="194">
        <f>BU49</f>
        <v>900</v>
      </c>
      <c r="L49" s="115"/>
      <c r="M49" s="120">
        <f>BZ49</f>
        <v>0</v>
      </c>
      <c r="N49" s="119"/>
      <c r="O49" s="131"/>
      <c r="P49" s="6597"/>
      <c r="Q49" s="131"/>
      <c r="R49" s="131"/>
      <c r="S49" s="120">
        <f>CG49</f>
        <v>0</v>
      </c>
      <c r="T49" s="120">
        <f>CC49</f>
        <v>124</v>
      </c>
      <c r="U49" s="120">
        <f>CD49</f>
        <v>914.8</v>
      </c>
      <c r="V49" s="119"/>
      <c r="W49" s="197">
        <f>CK49*100</f>
        <v/>
      </c>
      <c r="X49" s="119"/>
      <c r="Y49" s="119"/>
      <c r="Z49" s="119"/>
      <c r="AA49" s="115"/>
      <c r="AB49" s="115"/>
      <c r="AC49" s="689">
        <f>IF(OR(BX$44="Close to Ear",BX$44="Close to Head"),"Head",IF(BX$44="Extremity","Extremity","Body"))</f>
        <v/>
      </c>
      <c r="AD49" s="690">
        <f>CA49</f>
        <v/>
      </c>
      <c r="AE49" s="688">
        <f>CB49</f>
        <v/>
      </c>
      <c r="AF49" s="115"/>
      <c r="AG49" s="808">
        <f>IF(AZ49="","N/A",IF(CQ49="Pass","P","F"))</f>
        <v/>
      </c>
      <c r="AH49" s="129"/>
      <c r="AI49" s="129"/>
      <c r="AJ49" s="129"/>
      <c r="AK49" s="119"/>
      <c r="AL49" s="115"/>
      <c r="AM49" s="119"/>
      <c r="AN49" s="119"/>
      <c r="AO49" s="692"/>
      <c r="AP49" s="692"/>
      <c r="AQ49" s="692"/>
      <c r="AR49" s="692"/>
      <c r="AS49" s="692"/>
      <c r="AT49" s="691">
        <f>CE49</f>
        <v/>
      </c>
      <c r="AU49" s="691">
        <f>CF49</f>
        <v/>
      </c>
      <c r="AV49" s="813"/>
      <c r="AW49" s="813"/>
      <c r="AX49" s="197">
        <f>CZ49</f>
        <v/>
      </c>
      <c r="AY49" s="197">
        <f>DE49</f>
        <v/>
      </c>
      <c r="AZ49" s="3379">
        <f>CO49</f>
        <v/>
      </c>
      <c r="BA49" s="3380"/>
      <c r="BB49" s="197">
        <f>CP49</f>
        <v/>
      </c>
      <c r="BC49" s="813"/>
      <c r="BD49" s="197">
        <f>CR49</f>
        <v/>
      </c>
      <c r="BE49" s="121">
        <f>CS49</f>
        <v/>
      </c>
      <c r="BF49" s="122">
        <f>CT49*60</f>
        <v/>
      </c>
      <c r="BG49" s="121">
        <f>BE49</f>
        <v/>
      </c>
      <c r="BH49" s="122">
        <f>CU49*60</f>
        <v/>
      </c>
      <c r="BI49" s="122">
        <f>CV49</f>
        <v/>
      </c>
      <c r="BJ49" s="117"/>
      <c r="BK49" s="812">
        <f>Overview!$E$7</f>
        <v/>
      </c>
      <c r="BL49" s="117"/>
      <c r="BM49" s="836">
        <f>CW49</f>
        <v/>
      </c>
      <c r="BN49" s="812">
        <f>Overview!$P$153</f>
        <v/>
      </c>
      <c r="BO49" s="117"/>
      <c r="BP49" s="117"/>
      <c r="BQ49" s="115"/>
      <c r="BR49" s="1478" t="inlineStr">
        <is>
          <t>N/A</t>
        </is>
      </c>
      <c r="BS49" s="1548"/>
      <c r="BT49" s="1783" t="inlineStr">
        <is>
          <t>GSM</t>
        </is>
      </c>
      <c r="BU49" s="1783">
        <v>900</v>
      </c>
      <c r="BV49" s="400">
        <f>Overview!$H$29</f>
        <v/>
      </c>
      <c r="BW49" s="2010"/>
      <c r="BX49" s="1783"/>
      <c r="BY49" s="2040"/>
      <c r="BZ49" s="2040"/>
      <c r="CA49" s="404" t="str">
        <f>IF(COUNT(CF44:CF47)=0,IF(COUNT(CE44:CE47)=0,"TBD",VLOOKUP(MAX(CE44:CE47),CE44:CI47,5,FALSE)),VLOOKUP(MAX(CF44:CF47),CF44:CI47,4,FALSE))</f>
        <v>TBD</v>
      </c>
      <c r="CB49" s="2045">
        <v>0</v>
      </c>
      <c r="CC49" s="1081">
        <f>'2G-3G'!BX20</f>
        <v>124</v>
      </c>
      <c r="CD49" s="1081">
        <f>'2G-3G'!BY20</f>
        <v>914.8</v>
      </c>
      <c r="CE49" s="1874"/>
      <c r="CF49" s="1874"/>
      <c r="CG49" s="388" t="str">
        <f>IF(OR($BY$3="",$BY$3=""),"",$BY$3)</f>
        <v/>
      </c>
      <c r="CH49" s="388">
        <f>BZ49</f>
        <v/>
      </c>
      <c r="CI49" s="388">
        <f>CA49</f>
        <v/>
      </c>
      <c r="CJ49" s="2046"/>
      <c r="CK49" s="2047"/>
      <c r="CL49" s="209">
        <f>IF(CF49=""," ",IF(ABS(CE49-CF49)&lt;=0.125,"Valid","Not valid"))</f>
        <v/>
      </c>
      <c r="CM49" s="210">
        <f> IF(CE49="","",IF(AND(CE49&lt;&gt;"",CF49=""),IF(CE49&gt;=1,"Medir+Sig Max","No"),IF(CF49&lt;&gt;"",IF(CF49&gt;=1,"Medir+Sig Max","No"),"")))</f>
        <v/>
      </c>
      <c r="CN49" s="1792"/>
      <c r="CO49" s="221">
        <f>IF(CK49="",IF(AND(CE49="",CF49=""),"",IF(CF49="",IF(DE49&gt;1,ROUND(DE49*CE49,3),CE49),IF(DE49&gt;1,ROUND(DE49*CF49,3),CF49))),IF(AND(CE49="",CF49=""),"",IF(CF49="",IF(DE49&gt;1,ROUND(DE49*CE49*(1/(CK49)),3),CE49*(1/(CK49))),IF(DE49&gt;1,ROUND(DE49*CF49*(1/(CK49)),3),CF49*(1/(CK49))))))</f>
        <v/>
      </c>
      <c r="CP49" s="2048">
        <f>$CP$3</f>
        <v/>
      </c>
      <c r="CQ49" s="1473">
        <f>IF(CO49="","",IF(CO49&gt;CP49,"Fail","Pass"))</f>
        <v/>
      </c>
      <c r="CR49" s="1482">
        <f>IF(AND(MAX(CO44:CO49)=CO49,CO49&lt;&gt;0),COUNT($CR$3:CR48)+1,"")</f>
        <v/>
      </c>
      <c r="CS49" s="2002">
        <f>MyTimestamp(CO49)</f>
        <v/>
      </c>
      <c r="CT49" s="1533">
        <f>IF(CE49="",0,15)+IF(CF49="",0,15)</f>
        <v/>
      </c>
      <c r="CU49" s="1534">
        <f>IF(CT49=0,0,2)</f>
        <v/>
      </c>
      <c r="CV49" s="860" t="inlineStr">
        <is>
          <t>S/02</t>
        </is>
      </c>
      <c r="CW49" s="860" t="inlineStr">
        <is>
          <t>Dasy6</t>
        </is>
      </c>
      <c r="CX49" s="2038"/>
      <c r="CY49" s="2049"/>
      <c r="CZ49" s="1544">
        <f>10^(CJ49/20)*100-100</f>
        <v/>
      </c>
      <c r="DA49" s="1320">
        <f>IF('Tune-Up'!$H$12="","",'Tune-Up'!$H$12)</f>
        <v/>
      </c>
      <c r="DB49" s="696">
        <f>'2G-3G'!BZ20</f>
        <v/>
      </c>
      <c r="DC49" s="798">
        <f>IF(DA49="","",10^(DA49/10))</f>
        <v/>
      </c>
      <c r="DD49" s="1364">
        <f>IF(ISNUMBER(DB49)=FALSE,"",10^(DB49/10))</f>
        <v/>
      </c>
      <c r="DE49" s="1544">
        <f>IF(AND(ISNUMBER(DC49),ISNUMBER(DD49)),IF(DC49/DD49&gt;1,ROUND((DC49)/DD49,3),1),1)</f>
        <v/>
      </c>
      <c r="DF49" s="1541"/>
      <c r="DG49" s="1541"/>
      <c r="DH49" s="1541"/>
      <c r="DI49" s="1541"/>
      <c r="DJ49" s="1541"/>
      <c r="DK49" s="1541"/>
      <c r="DL49" s="1541"/>
      <c r="DM49" s="1541"/>
      <c r="DN49" s="1541"/>
      <c r="DO49" s="1541"/>
      <c r="DP49" s="1541"/>
      <c r="DQ49" s="1541"/>
      <c r="DR49" s="1541"/>
    </row>
    <row r="50" ht="12.75" x14ac:dyDescent="0.2">
      <c r="A50" s="1541"/>
      <c r="B50" s="1541"/>
      <c r="C50"/>
      <c r="D50" s="130">
        <f>IF(BX$44="Close to Ear","EN 62209-1","EN 62209-2")</f>
        <v/>
      </c>
      <c r="E50" s="130">
        <f>IF(CG50="Close to Ear","2016","2010/A1:2019")</f>
        <v/>
      </c>
      <c r="F50" s="1488" t="inlineStr">
        <is>
          <t>5.1</t>
        </is>
      </c>
      <c r="G50" s="1497"/>
      <c r="H50" s="120">
        <f>BV50</f>
        <v/>
      </c>
      <c r="I50" s="120">
        <f>BW50</f>
        <v/>
      </c>
      <c r="J50" s="687">
        <f>BT50</f>
        <v/>
      </c>
      <c r="K50" s="194">
        <f>BU50</f>
        <v/>
      </c>
      <c r="L50" s="115"/>
      <c r="M50" s="120">
        <f>BZ50</f>
        <v/>
      </c>
      <c r="N50" s="119"/>
      <c r="O50" s="131"/>
      <c r="P50" s="6597"/>
      <c r="Q50" s="131"/>
      <c r="R50" s="131"/>
      <c r="S50" s="120">
        <f>CG50</f>
        <v/>
      </c>
      <c r="T50" s="120">
        <f>CC50</f>
        <v/>
      </c>
      <c r="U50" s="120">
        <f>CD50</f>
        <v/>
      </c>
      <c r="V50" s="119"/>
      <c r="W50" s="197">
        <f>CK50*100</f>
        <v/>
      </c>
      <c r="X50" s="119"/>
      <c r="Y50" s="119"/>
      <c r="Z50" s="119"/>
      <c r="AA50" s="115"/>
      <c r="AB50" s="115"/>
      <c r="AC50" s="689">
        <f>IF(OR(BX$44="Close to Ear",BX$44="Close to Head"),"Head",IF(BX$44="Extremity","Extremity","Body"))</f>
        <v/>
      </c>
      <c r="AD50" s="690">
        <f>CA50</f>
        <v/>
      </c>
      <c r="AE50" s="688">
        <f>CB50</f>
        <v/>
      </c>
      <c r="AF50" s="115"/>
      <c r="AG50" s="808">
        <f>IF(AZ50="","N/A",IF(CQ50="Pass","P","F"))</f>
        <v/>
      </c>
      <c r="AH50" s="129"/>
      <c r="AI50" s="129"/>
      <c r="AJ50" s="129"/>
      <c r="AK50" s="119"/>
      <c r="AL50" s="115"/>
      <c r="AM50" s="119"/>
      <c r="AN50" s="119"/>
      <c r="AO50" s="692"/>
      <c r="AP50" s="692"/>
      <c r="AQ50" s="692"/>
      <c r="AR50" s="692"/>
      <c r="AS50" s="692"/>
      <c r="AT50" s="691">
        <f>CE50</f>
        <v/>
      </c>
      <c r="AU50" s="691">
        <f>CF50</f>
        <v/>
      </c>
      <c r="AV50" s="813"/>
      <c r="AW50" s="813"/>
      <c r="AX50" s="197">
        <f>CZ50</f>
        <v/>
      </c>
      <c r="AY50" s="197">
        <f>DE50</f>
        <v/>
      </c>
      <c r="AZ50" s="3379">
        <f>CO50</f>
        <v/>
      </c>
      <c r="BA50" s="3380"/>
      <c r="BB50" s="197">
        <f>CP50</f>
        <v/>
      </c>
      <c r="BC50" s="813"/>
      <c r="BD50" s="197">
        <f>CR50</f>
        <v/>
      </c>
      <c r="BE50" s="121">
        <f>CS50</f>
        <v/>
      </c>
      <c r="BF50" s="122">
        <f>CT50*60</f>
        <v/>
      </c>
      <c r="BG50" s="121">
        <f>BE50</f>
        <v/>
      </c>
      <c r="BH50" s="122">
        <f>CU50*60</f>
        <v/>
      </c>
      <c r="BI50" s="122">
        <f>CV50</f>
        <v/>
      </c>
      <c r="BJ50" s="117"/>
      <c r="BK50" s="812">
        <f>Overview!$E$7</f>
        <v/>
      </c>
      <c r="BL50" s="117"/>
      <c r="BM50" s="836">
        <f>CW50</f>
        <v/>
      </c>
      <c r="BN50" s="812">
        <f>Overview!$P$153</f>
        <v/>
      </c>
      <c r="BO50" s="117"/>
      <c r="BP50" s="117"/>
      <c r="BQ50" s="115"/>
      <c r="BR50" s="1478" t="inlineStr">
        <is>
          <t>N/A</t>
        </is>
      </c>
      <c r="BS50" s="1548"/>
      <c r="BT50" s="1783" t="inlineStr">
        <is>
          <t>GSM</t>
        </is>
      </c>
      <c r="BU50" s="1783">
        <v>900</v>
      </c>
      <c r="BV50" s="400">
        <f>Overview!$H$29</f>
        <v/>
      </c>
      <c r="BW50" s="2010"/>
      <c r="BX50" s="1783"/>
      <c r="BY50" s="2040"/>
      <c r="BZ50" s="2040"/>
      <c r="CA50" s="404" t="str">
        <f>CONCATENATE(CA48," - Battery check 1")</f>
        <v>TBD - Battery check 1</v>
      </c>
      <c r="CB50" s="2045">
        <v>0</v>
      </c>
      <c r="CC50" s="1081">
        <f>IF(COUNT($CO$44:$CO$49)=0,"N/A",INDEX($CC$44:$CC$49,MATCH(MAX($CO$44:$CO$49),$CO$44:$CO$49,0)))</f>
        <v/>
      </c>
      <c r="CD50" s="1081">
        <f>IF(COUNT($CO$44:$CO$49)=0,"N/A",INDEX($CD$44:$CD$49,MATCH(MAX($CO$44:$CO$49),$CO$44:$CO$49,0)))</f>
        <v/>
      </c>
      <c r="CE50" s="1874"/>
      <c r="CF50" s="1874"/>
      <c r="CG50" s="388" t="inlineStr">
        <is>
          <t>N/A</t>
        </is>
      </c>
      <c r="CH50" s="388">
        <f>BZ50</f>
        <v/>
      </c>
      <c r="CI50" s="388">
        <f>CA50</f>
        <v/>
      </c>
      <c r="CJ50" s="2046"/>
      <c r="CK50" s="2047"/>
      <c r="CL50" s="209">
        <f>IF(CF50=""," ",IF(ABS(CE50-CF50)&lt;=0.125,"Valid","Not valid"))</f>
        <v/>
      </c>
      <c r="CM50" s="210">
        <f> IF(CE50="","",IF(AND(CE50&lt;&gt;"",CF50=""),IF(CE50&gt;=1,"Medir+Sig Max","No"),IF(CF50&lt;&gt;"",IF(CF50&gt;=1,"Medir+Sig Max","No"),"")))</f>
        <v/>
      </c>
      <c r="CN50" s="1792"/>
      <c r="CO50" s="221">
        <f>IF(CK50="",IF(AND(CE50="",CF50=""),"",IF(CF50="",IF(DE50&gt;1,ROUND(DE50*CE50,3),CE50),IF(DE50&gt;1,ROUND(DE50*CF50,3),CF50))),IF(AND(CE50="",CF50=""),"",IF(CF50="",IF(DE50&gt;1,ROUND(DE50*CE50*(1/(CK50)),3),CE50*(1/(CK50))),IF(DE50&gt;1,ROUND(DE50*CF50*(1/(CK50)),3),CF50*(1/(CK50))))))</f>
        <v/>
      </c>
      <c r="CP50" s="2048">
        <f>$CP$3</f>
        <v/>
      </c>
      <c r="CQ50" s="1473">
        <f>IF(CO50="","",IF(CO50&gt;CP50,"Fail","Pass"))</f>
        <v/>
      </c>
      <c r="CR50" s="1482">
        <f>IF(CO50&lt;&gt;"",MAX($CR$3:CR49)+1,"")</f>
        <v/>
      </c>
      <c r="CS50" s="2002">
        <f>MyTimestamp(CQ50)</f>
        <v/>
      </c>
      <c r="CT50" s="1533">
        <f>IF(COUNT(CE50:CF50)=1,15,IF(COUNT(CE50:CF50)=0,0,30))</f>
        <v/>
      </c>
      <c r="CU50" s="1534">
        <f>IF(CT50=0,0,2)</f>
        <v/>
      </c>
      <c r="CV50" s="860" t="inlineStr">
        <is>
          <t>S/02</t>
        </is>
      </c>
      <c r="CW50" s="860" t="inlineStr">
        <is>
          <t>Dasy6</t>
        </is>
      </c>
      <c r="CX50" s="2038"/>
      <c r="CY50" s="2049"/>
      <c r="CZ50" s="1544">
        <f>10^(CJ50/20)*100-100</f>
        <v/>
      </c>
      <c r="DA50" s="1320">
        <f>IF('Tune-Up'!$H$12="","",'Tune-Up'!$H$12)</f>
        <v/>
      </c>
      <c r="DB50" s="696">
        <f>IF(COUNT($CO$44:$CO$49)=0,"N/A",IFERROR(INDEX($DB$44:$DB$49,MATCH(MAX($CO$44:$CO$49),$CO$44:$CO$49,0)),"N/A"))</f>
        <v/>
      </c>
      <c r="DC50" s="798">
        <f>IF(DA50="","",10^(DA50/10))</f>
        <v/>
      </c>
      <c r="DD50" s="1364">
        <f>IF(ISNUMBER(DB50)=FALSE,"N/A",10^(DB50/10))</f>
        <v/>
      </c>
      <c r="DE50" s="1544">
        <f>IF(AND(ISNUMBER(DC50),ISNUMBER(DD50)),IF(DC50/DD50&gt;1,ROUND((DC50)/DD50,3),1),1)</f>
        <v/>
      </c>
      <c r="DF50" s="1541"/>
      <c r="DG50" s="1541"/>
      <c r="DH50" s="1541"/>
      <c r="DI50" s="1541"/>
      <c r="DJ50" s="1541"/>
      <c r="DK50" s="1541"/>
      <c r="DL50" s="1541"/>
      <c r="DM50" s="1541"/>
      <c r="DN50" s="1541"/>
      <c r="DO50" s="1541"/>
      <c r="DP50" s="1541"/>
      <c r="DQ50" s="1541"/>
      <c r="DR50" s="1541"/>
    </row>
    <row r="51" ht="12.75" x14ac:dyDescent="0.2">
      <c r="A51" s="1541"/>
      <c r="B51" s="1541"/>
      <c r="C51"/>
      <c r="D51" s="130">
        <f>IF(BX$44="Close to Ear","EN 62209-1","EN 62209-2")</f>
        <v/>
      </c>
      <c r="E51" s="130">
        <f>IF(CG51="Close to Ear","2016","2010/A1:2019")</f>
        <v/>
      </c>
      <c r="F51" s="1488" t="inlineStr">
        <is>
          <t>5.1</t>
        </is>
      </c>
      <c r="G51" s="1497"/>
      <c r="H51" s="120">
        <f>BV51</f>
        <v/>
      </c>
      <c r="I51" s="120">
        <f>BW51</f>
        <v/>
      </c>
      <c r="J51" s="687">
        <f>BT51</f>
        <v/>
      </c>
      <c r="K51" s="194">
        <f>BU51</f>
        <v/>
      </c>
      <c r="L51" s="115"/>
      <c r="M51" s="120">
        <f>BZ51</f>
        <v/>
      </c>
      <c r="N51" s="119"/>
      <c r="O51" s="131"/>
      <c r="P51" s="6597"/>
      <c r="Q51" s="131"/>
      <c r="R51" s="131"/>
      <c r="S51" s="120">
        <f>CG51</f>
        <v/>
      </c>
      <c r="T51" s="120">
        <f>CC51</f>
        <v/>
      </c>
      <c r="U51" s="120">
        <f>CD51</f>
        <v/>
      </c>
      <c r="V51" s="119"/>
      <c r="W51" s="197">
        <f>CK51*100</f>
        <v/>
      </c>
      <c r="X51" s="119"/>
      <c r="Y51" s="119"/>
      <c r="Z51" s="119"/>
      <c r="AA51" s="115"/>
      <c r="AB51" s="115"/>
      <c r="AC51" s="689">
        <f>IF(OR(BX$44="Close to Ear",BX$44="Close to Head"),"Head",IF(BX$44="Extremity","Extremity","Body"))</f>
        <v/>
      </c>
      <c r="AD51" s="690">
        <f>CA51</f>
        <v/>
      </c>
      <c r="AE51" s="688">
        <f>CB51</f>
        <v/>
      </c>
      <c r="AF51" s="115"/>
      <c r="AG51" s="808">
        <f>IF(AZ51="","N/A",IF(CQ51="Pass","P","F"))</f>
        <v/>
      </c>
      <c r="AH51" s="129"/>
      <c r="AI51" s="129"/>
      <c r="AJ51" s="129"/>
      <c r="AK51" s="119"/>
      <c r="AL51" s="115"/>
      <c r="AM51" s="119"/>
      <c r="AN51" s="119"/>
      <c r="AO51" s="692"/>
      <c r="AP51" s="692"/>
      <c r="AQ51" s="692"/>
      <c r="AR51" s="692"/>
      <c r="AS51" s="692"/>
      <c r="AT51" s="691">
        <f>CE51</f>
        <v/>
      </c>
      <c r="AU51" s="691">
        <f>CF51</f>
        <v/>
      </c>
      <c r="AV51" s="813"/>
      <c r="AW51" s="813"/>
      <c r="AX51" s="197">
        <f>CZ51</f>
        <v/>
      </c>
      <c r="AY51" s="197">
        <f>DE51</f>
        <v/>
      </c>
      <c r="AZ51" s="3379">
        <f>CO51</f>
        <v/>
      </c>
      <c r="BA51" s="3380"/>
      <c r="BB51" s="197">
        <f>CP51</f>
        <v/>
      </c>
      <c r="BC51" s="813"/>
      <c r="BD51" s="197">
        <f>CR51</f>
        <v/>
      </c>
      <c r="BE51" s="121">
        <f>CS51</f>
        <v/>
      </c>
      <c r="BF51" s="122">
        <f>CT51*60</f>
        <v/>
      </c>
      <c r="BG51" s="121">
        <f>BE51</f>
        <v/>
      </c>
      <c r="BH51" s="122">
        <f>CU51*60</f>
        <v/>
      </c>
      <c r="BI51" s="122">
        <f>CV51</f>
        <v/>
      </c>
      <c r="BJ51" s="117"/>
      <c r="BK51" s="812">
        <f>Overview!$E$7</f>
        <v/>
      </c>
      <c r="BL51" s="117"/>
      <c r="BM51" s="836">
        <f>CW51</f>
        <v/>
      </c>
      <c r="BN51" s="812">
        <f>Overview!$P$153</f>
        <v/>
      </c>
      <c r="BO51" s="117"/>
      <c r="BP51" s="117"/>
      <c r="BQ51" s="115"/>
      <c r="BR51" s="1478" t="inlineStr">
        <is>
          <t>N/A</t>
        </is>
      </c>
      <c r="BS51" s="1548"/>
      <c r="BT51" s="1783" t="inlineStr">
        <is>
          <t>GSM</t>
        </is>
      </c>
      <c r="BU51" s="1783">
        <v>900</v>
      </c>
      <c r="BV51" s="400">
        <f>Overview!$H$29</f>
        <v/>
      </c>
      <c r="BW51" s="2010"/>
      <c r="BX51" s="1783"/>
      <c r="BY51" s="2040"/>
      <c r="BZ51" s="2040"/>
      <c r="CA51" s="404" t="str">
        <f>CONCATENATE(CA49," - Battery check 2")</f>
        <v>TBD - Battery check 2</v>
      </c>
      <c r="CB51" s="2045">
        <v>0</v>
      </c>
      <c r="CC51" s="1081">
        <f>IF(COUNT($CO$44:$CO$49)=0,"N/A",INDEX($CC$44:$CC$49,MATCH(MAX($CO$44:$CO$49),$CO$44:$CO$49,0)))</f>
        <v/>
      </c>
      <c r="CD51" s="1081">
        <f>IF(COUNT($CO$44:$CO$49)=0,"N/A",INDEX($CD$44:$CD$49,MATCH(MAX($CO$44:$CO$49),$CO$44:$CO$49,0)))</f>
        <v/>
      </c>
      <c r="CE51" s="1874"/>
      <c r="CF51" s="1874"/>
      <c r="CG51" s="388" t="inlineStr">
        <is>
          <t>N/A</t>
        </is>
      </c>
      <c r="CH51" s="388">
        <f>BZ51</f>
        <v/>
      </c>
      <c r="CI51" s="388">
        <f>CA51</f>
        <v/>
      </c>
      <c r="CJ51" s="2046"/>
      <c r="CK51" s="2047"/>
      <c r="CL51" s="209">
        <f>IF(CF51=""," ",IF(ABS(CE51-CF51)&lt;=0.125,"Valid","Not valid"))</f>
        <v/>
      </c>
      <c r="CM51" s="210">
        <f> IF(CE51="","",IF(AND(CE51&lt;&gt;"",CF51=""),IF(CE51&gt;=1,"Medir+Sig Max","No"),IF(CF51&lt;&gt;"",IF(CF51&gt;=1,"Medir+Sig Max","No"),"")))</f>
        <v/>
      </c>
      <c r="CN51" s="1792"/>
      <c r="CO51" s="221">
        <f>IF(CK51="",IF(AND(CE51="",CF51=""),"",IF(CF51="",IF(DE51&gt;1,ROUND(DE51*CE51,3),CE51),IF(DE51&gt;1,ROUND(DE51*CF51,3),CF51))),IF(AND(CE51="",CF51=""),"",IF(CF51="",IF(DE51&gt;1,ROUND(DE51*CE51*(1/(CK51)),3),CE51*(1/(CK51))),IF(DE51&gt;1,ROUND(DE51*CF51*(1/(CK51)),3),CF51*(1/(CK51))))))</f>
        <v/>
      </c>
      <c r="CP51" s="2048">
        <f>$CP$3</f>
        <v/>
      </c>
      <c r="CQ51" s="1473">
        <f>IF(CO51="","",IF(CO51&gt;CP51,"Fail","Pass"))</f>
        <v/>
      </c>
      <c r="CR51" s="1482">
        <f>IF(CO51&lt;&gt;"",MAX($CR$3:CR50)+1,"")</f>
        <v/>
      </c>
      <c r="CS51" s="2002">
        <f>MyTimestamp(CQ51)</f>
        <v/>
      </c>
      <c r="CT51" s="1533">
        <f>IF(COUNT(CE51:CF51)=1,15,IF(COUNT(CE51:CF51)=0,0,30))</f>
        <v/>
      </c>
      <c r="CU51" s="1534">
        <f>IF(CT51=0,0,2)</f>
        <v/>
      </c>
      <c r="CV51" s="860" t="inlineStr">
        <is>
          <t>S/02</t>
        </is>
      </c>
      <c r="CW51" s="860" t="inlineStr">
        <is>
          <t>Dasy6</t>
        </is>
      </c>
      <c r="CX51" s="2038"/>
      <c r="CY51" s="2049"/>
      <c r="CZ51" s="1544">
        <f>10^(CJ51/20)*100-100</f>
        <v/>
      </c>
      <c r="DA51" s="1320">
        <f>IF('Tune-Up'!$H$12="","",'Tune-Up'!$H$12)</f>
        <v/>
      </c>
      <c r="DB51" s="696">
        <f>IF(COUNT($CO$44:$CO$49)=0,"N/A",IFERROR(INDEX($DB$44:$DB$49,MATCH(MAX($CO$44:$CO$49),$CO$44:$CO$49,0)),"N/A"))</f>
        <v/>
      </c>
      <c r="DC51" s="798">
        <f>IF(DA51="","",10^(DA51/10))</f>
        <v/>
      </c>
      <c r="DD51" s="1364">
        <f>IF(ISNUMBER(DB51)=FALSE,"N/A",10^(DB51/10))</f>
        <v/>
      </c>
      <c r="DE51" s="1544">
        <f>IF(AND(ISNUMBER(DC51),ISNUMBER(DD51)),IF(DC51/DD51&gt;1,ROUND((DC51)/DD51,3),1),1)</f>
        <v/>
      </c>
      <c r="DF51" s="1541"/>
      <c r="DG51" s="1541"/>
      <c r="DH51" s="1541"/>
      <c r="DI51" s="1541"/>
      <c r="DJ51" s="1541"/>
      <c r="DK51" s="1541"/>
      <c r="DL51" s="1541"/>
      <c r="DM51" s="1541"/>
      <c r="DN51" s="1541"/>
      <c r="DO51" s="1541"/>
      <c r="DP51" s="1541"/>
      <c r="DQ51" s="1541"/>
      <c r="DR51" s="1541"/>
    </row>
    <row r="52" ht="12.75" x14ac:dyDescent="0.2">
      <c r="A52" s="1541"/>
      <c r="B52" s="1541"/>
      <c r="C52"/>
      <c r="D52" s="130">
        <f>IF(BX$52="Close to Ear","EN 62209-1","EN 62209-2")</f>
        <v/>
      </c>
      <c r="E52" s="130">
        <f>IF(CG52="Close to Ear","2016","2010/A1:2019")</f>
        <v/>
      </c>
      <c r="F52" s="1488" t="inlineStr">
        <is>
          <t>5.1</t>
        </is>
      </c>
      <c r="G52" s="1497"/>
      <c r="H52" s="120">
        <f>BV52</f>
        <v/>
      </c>
      <c r="I52" s="120">
        <f>BW52</f>
        <v/>
      </c>
      <c r="J52" s="687" t="str">
        <f>BT52</f>
        <v>GSM</v>
      </c>
      <c r="K52" s="194">
        <f>BU52</f>
        <v>900</v>
      </c>
      <c r="L52" s="115"/>
      <c r="M52" s="120">
        <f>BZ52</f>
        <v>0</v>
      </c>
      <c r="N52" s="119"/>
      <c r="O52" s="131"/>
      <c r="P52" s="6597"/>
      <c r="Q52" s="131"/>
      <c r="R52" s="131"/>
      <c r="S52" s="120">
        <f>CG52</f>
        <v>0</v>
      </c>
      <c r="T52" s="120">
        <f>CC52</f>
        <v>37</v>
      </c>
      <c r="U52" s="120">
        <f>CD52</f>
        <v>897.4</v>
      </c>
      <c r="V52" s="119"/>
      <c r="W52" s="197">
        <f>CK52*100</f>
        <v/>
      </c>
      <c r="X52" s="119"/>
      <c r="Y52" s="119"/>
      <c r="Z52" s="119"/>
      <c r="AA52" s="115"/>
      <c r="AB52" s="115"/>
      <c r="AC52" s="689">
        <f>IF(OR(BX$52="Close to Ear",BX$52="Close to Head"),"Head",IF(BX$52="Extremity","Extremity","Body"))</f>
        <v/>
      </c>
      <c r="AD52" s="690">
        <f>CA52</f>
        <v/>
      </c>
      <c r="AE52" s="688">
        <f>CB52</f>
        <v/>
      </c>
      <c r="AF52" s="115"/>
      <c r="AG52" s="808">
        <f>IF(AZ52="","N/A",IF(CQ52="Pass","P","F"))</f>
        <v/>
      </c>
      <c r="AH52" s="129"/>
      <c r="AI52" s="129"/>
      <c r="AJ52" s="129"/>
      <c r="AK52" s="119"/>
      <c r="AL52" s="115"/>
      <c r="AM52" s="119"/>
      <c r="AN52" s="119"/>
      <c r="AO52" s="692"/>
      <c r="AP52" s="692"/>
      <c r="AQ52" s="692"/>
      <c r="AR52" s="692"/>
      <c r="AS52" s="692"/>
      <c r="AT52" s="691">
        <f>CE52</f>
        <v/>
      </c>
      <c r="AU52" s="691">
        <f>CF52</f>
        <v/>
      </c>
      <c r="AV52" s="813"/>
      <c r="AW52" s="813"/>
      <c r="AX52" s="197">
        <f>CZ52</f>
        <v/>
      </c>
      <c r="AY52" s="197">
        <f>DE52</f>
        <v/>
      </c>
      <c r="AZ52" s="3379">
        <f>CO52</f>
        <v/>
      </c>
      <c r="BA52" s="3380"/>
      <c r="BB52" s="197">
        <f>CP52</f>
        <v/>
      </c>
      <c r="BC52" s="813"/>
      <c r="BD52" s="197">
        <f>CR52</f>
        <v/>
      </c>
      <c r="BE52" s="121">
        <f>CS52</f>
        <v/>
      </c>
      <c r="BF52" s="122">
        <f>CT52*60</f>
        <v/>
      </c>
      <c r="BG52" s="121">
        <f>BE52</f>
        <v/>
      </c>
      <c r="BH52" s="122">
        <f>CU52*60</f>
        <v/>
      </c>
      <c r="BI52" s="122">
        <f>CV52</f>
        <v/>
      </c>
      <c r="BJ52" s="117"/>
      <c r="BK52" s="812">
        <f>Overview!$E$7</f>
        <v/>
      </c>
      <c r="BL52" s="117"/>
      <c r="BM52" s="836">
        <f>CW52</f>
        <v/>
      </c>
      <c r="BN52" s="812">
        <f>Overview!$P$153</f>
        <v/>
      </c>
      <c r="BO52" s="117"/>
      <c r="BP52" s="117"/>
      <c r="BQ52" s="115"/>
      <c r="BR52" s="1478" t="inlineStr">
        <is>
          <t>N/A</t>
        </is>
      </c>
      <c r="BS52" s="1548"/>
      <c r="BT52" s="1783" t="inlineStr">
        <is>
          <t>GSM</t>
        </is>
      </c>
      <c r="BU52" s="1783">
        <v>900</v>
      </c>
      <c r="BV52" s="400">
        <f>Overview!$H$29</f>
        <v/>
      </c>
      <c r="BW52" s="2010"/>
      <c r="BX52" s="7672" t="inlineStr">
        <is>
          <t>Close to Head</t>
        </is>
      </c>
      <c r="BY52" s="2040"/>
      <c r="BZ52" s="2040"/>
      <c r="CA52" s="1996" t="inlineStr">
        <is>
          <t>Front Face</t>
        </is>
      </c>
      <c r="CB52" s="202">
        <v>5</v>
      </c>
      <c r="CC52" s="1062">
        <f>'2G-3G'!BX18</f>
        <v>37</v>
      </c>
      <c r="CD52" s="1062">
        <f>'2G-3G'!BY18</f>
        <v>897.4</v>
      </c>
      <c r="CE52" s="1522"/>
      <c r="CF52" s="1522"/>
      <c r="CG52" s="386" t="str">
        <f>IF(OR($BY$3="",$BY$3=""),"",$BY$3)</f>
        <v/>
      </c>
      <c r="CH52" s="386">
        <f>BZ52</f>
        <v/>
      </c>
      <c r="CI52" s="386">
        <f>CA52</f>
        <v/>
      </c>
      <c r="CJ52" s="1526"/>
      <c r="CK52" s="2036"/>
      <c r="CL52" s="203">
        <f>IF(CF52=""," ",IF(ABS(CE52-CF52)&lt;=0.125,"Valid","Not valid"))</f>
        <v/>
      </c>
      <c r="CM52" s="204">
        <f> IF(CE52="","",IF(AND(CE52&lt;&gt;"",CF52=""),IF(CE52&gt;=1,"Medir+Sig Max","No"),IF(CF52&lt;&gt;"",IF(CF52&gt;=1,"Medir+Sig Max","No"),"")))</f>
        <v/>
      </c>
      <c r="CN52" s="1798"/>
      <c r="CO52" s="219">
        <f>IF(CK52="",IF(AND(CE52="",CF52=""),"",IF(CF52="",IF(DE52&gt;1,ROUND(DE52*CE52,3),CE52),IF(DE52&gt;1,ROUND(DE52*CF52,3),CF52))),IF(AND(CE52="",CF52=""),"",IF(CF52="",IF(DE52&gt;1,ROUND(DE52*CE52*(1/(CK52)),3),CE52*(1/(CK52))),IF(DE52&gt;1,ROUND(DE52*CF52*(1/(CK52)),3),CF52*(1/(CK52))))))</f>
        <v/>
      </c>
      <c r="CP52" s="2037">
        <f>$CP$3</f>
        <v/>
      </c>
      <c r="CQ52" s="1471">
        <f>IF(CO52="","",IF(CO52&gt;CP52,"Fail","Pass"))</f>
        <v/>
      </c>
      <c r="CR52" s="1480">
        <f>IF(AND(MAX(CO52:CO59)=CO52,CO52&lt;&gt;0),COUNT($CR$3:CR49)+1,"")</f>
        <v/>
      </c>
      <c r="CS52" s="1564">
        <f>MyTimestamp(CO52)</f>
        <v/>
      </c>
      <c r="CT52" s="1529">
        <f>IF(CE52="",0,15)+IF(CF52="",0,15)</f>
        <v/>
      </c>
      <c r="CU52" s="1530">
        <f>IF(CT52=0,0,2)</f>
        <v/>
      </c>
      <c r="CV52" s="862" t="inlineStr">
        <is>
          <t>S/02</t>
        </is>
      </c>
      <c r="CW52" s="862" t="inlineStr">
        <is>
          <t>Dasy6</t>
        </is>
      </c>
      <c r="CX52" s="2038"/>
      <c r="CY52" s="2039"/>
      <c r="CZ52" s="1542">
        <f>10^(CJ52/20)*100-100</f>
        <v/>
      </c>
      <c r="DA52" s="1318">
        <f>IF('Tune-Up'!$H$12="","",'Tune-Up'!$H$12)</f>
        <v/>
      </c>
      <c r="DB52" s="694">
        <f>'2G-3G'!BZ18</f>
        <v/>
      </c>
      <c r="DC52" s="796">
        <f>IF(DA52="","",10^(DA52/10))</f>
        <v/>
      </c>
      <c r="DD52" s="1362">
        <f>IF(ISNUMBER(DB52)=FALSE,"",10^(DB52/10))</f>
        <v/>
      </c>
      <c r="DE52" s="1542">
        <f>IF(AND(ISNUMBER(DC52),ISNUMBER(DD52)),IF(DC52/DD52&gt;1,ROUND((DC52)/DD52,3),1),1)</f>
        <v/>
      </c>
      <c r="DF52" s="1541"/>
      <c r="DG52" s="1541"/>
      <c r="DH52" s="1541"/>
      <c r="DI52" s="1541"/>
      <c r="DJ52" s="1541"/>
      <c r="DK52" s="1541"/>
      <c r="DL52" s="1541"/>
      <c r="DM52" s="1541"/>
      <c r="DN52" s="1541"/>
      <c r="DO52" s="1541"/>
      <c r="DP52" s="1541"/>
      <c r="DQ52" s="1541"/>
      <c r="DR52" s="1541"/>
    </row>
    <row r="53" ht="12.75" x14ac:dyDescent="0.2">
      <c r="A53" s="1541"/>
      <c r="B53" s="1541"/>
      <c r="C53"/>
      <c r="D53" s="130">
        <f>IF(BX$52="Close to Ear","EN 62209-1","EN 62209-2")</f>
        <v/>
      </c>
      <c r="E53" s="130">
        <f>IF(CG53="Close to Ear","2016","2010/A1:2019")</f>
        <v/>
      </c>
      <c r="F53" s="1488" t="inlineStr">
        <is>
          <t>5.1</t>
        </is>
      </c>
      <c r="G53" s="1497"/>
      <c r="H53" s="120">
        <f>BV53</f>
        <v/>
      </c>
      <c r="I53" s="120">
        <f>BW53</f>
        <v/>
      </c>
      <c r="J53" s="687" t="str">
        <f>BT53</f>
        <v>GSM</v>
      </c>
      <c r="K53" s="194">
        <f>BU53</f>
        <v>900</v>
      </c>
      <c r="L53" s="115"/>
      <c r="M53" s="120">
        <f>BZ53</f>
        <v>0</v>
      </c>
      <c r="N53" s="119"/>
      <c r="O53" s="131"/>
      <c r="P53" s="6597"/>
      <c r="Q53" s="131"/>
      <c r="R53" s="131"/>
      <c r="S53" s="120">
        <f>CG53</f>
        <v>0</v>
      </c>
      <c r="T53" s="120">
        <f>CC53</f>
        <v>37</v>
      </c>
      <c r="U53" s="120">
        <f>CD53</f>
        <v>897.4</v>
      </c>
      <c r="V53" s="119"/>
      <c r="W53" s="197">
        <f>CK53*100</f>
        <v/>
      </c>
      <c r="X53" s="119"/>
      <c r="Y53" s="119"/>
      <c r="Z53" s="119"/>
      <c r="AA53" s="115"/>
      <c r="AB53" s="115"/>
      <c r="AC53" s="689">
        <f>IF(OR(BX$52="Close to Ear",BX$52="Close to Head"),"Head",IF(BX$52="Extremity","Extremity","Body"))</f>
        <v/>
      </c>
      <c r="AD53" s="690">
        <f>CA53</f>
        <v/>
      </c>
      <c r="AE53" s="688">
        <f>CB53</f>
        <v/>
      </c>
      <c r="AF53" s="115"/>
      <c r="AG53" s="808">
        <f>IF(AZ53="","N/A",IF(CQ53="Pass","P","F"))</f>
        <v/>
      </c>
      <c r="AH53" s="129"/>
      <c r="AI53" s="129"/>
      <c r="AJ53" s="129"/>
      <c r="AK53" s="119"/>
      <c r="AL53" s="115"/>
      <c r="AM53" s="119"/>
      <c r="AN53" s="119"/>
      <c r="AO53" s="692"/>
      <c r="AP53" s="692"/>
      <c r="AQ53" s="692"/>
      <c r="AR53" s="692"/>
      <c r="AS53" s="692"/>
      <c r="AT53" s="691">
        <f>CE53</f>
        <v/>
      </c>
      <c r="AU53" s="691">
        <f>CF53</f>
        <v/>
      </c>
      <c r="AV53" s="813"/>
      <c r="AW53" s="813"/>
      <c r="AX53" s="197">
        <f>CZ53</f>
        <v/>
      </c>
      <c r="AY53" s="197">
        <f>DE53</f>
        <v/>
      </c>
      <c r="AZ53" s="3379">
        <f>CO53</f>
        <v/>
      </c>
      <c r="BA53" s="3380"/>
      <c r="BB53" s="197">
        <f>CP53</f>
        <v/>
      </c>
      <c r="BC53" s="813"/>
      <c r="BD53" s="197">
        <f>CR53</f>
        <v/>
      </c>
      <c r="BE53" s="121">
        <f>CS53</f>
        <v/>
      </c>
      <c r="BF53" s="122">
        <f>CT53*60</f>
        <v/>
      </c>
      <c r="BG53" s="121">
        <f>BE53</f>
        <v/>
      </c>
      <c r="BH53" s="122">
        <f>CU53*60</f>
        <v/>
      </c>
      <c r="BI53" s="122">
        <f>CV53</f>
        <v/>
      </c>
      <c r="BJ53" s="117"/>
      <c r="BK53" s="812">
        <f>Overview!$E$7</f>
        <v/>
      </c>
      <c r="BL53" s="117"/>
      <c r="BM53" s="836">
        <f>CW53</f>
        <v/>
      </c>
      <c r="BN53" s="812">
        <f>Overview!$P$153</f>
        <v/>
      </c>
      <c r="BO53" s="117"/>
      <c r="BP53" s="117"/>
      <c r="BQ53" s="115"/>
      <c r="BR53" s="1478" t="inlineStr">
        <is>
          <t>N/A</t>
        </is>
      </c>
      <c r="BS53" s="1548"/>
      <c r="BT53" s="1783" t="inlineStr">
        <is>
          <t>GSM</t>
        </is>
      </c>
      <c r="BU53" s="1783">
        <v>900</v>
      </c>
      <c r="BV53" s="400">
        <f>Overview!$H$29</f>
        <v/>
      </c>
      <c r="BW53" s="2010"/>
      <c r="BX53" s="1783"/>
      <c r="BY53" s="2040"/>
      <c r="BZ53" s="2040"/>
      <c r="CA53" s="1997" t="inlineStr">
        <is>
          <t>Back Face</t>
        </is>
      </c>
      <c r="CB53" s="200">
        <v>5</v>
      </c>
      <c r="CC53" s="1063">
        <f>'2G-3G'!BX18</f>
        <v>37</v>
      </c>
      <c r="CD53" s="1063">
        <f>'2G-3G'!BY18</f>
        <v>897.4</v>
      </c>
      <c r="CE53" s="1523"/>
      <c r="CF53" s="1523"/>
      <c r="CG53" s="387" t="str">
        <f>IF(OR($BY$3="",$BY$3=""),"",$BY$3)</f>
        <v/>
      </c>
      <c r="CH53" s="387">
        <f>BZ53</f>
        <v/>
      </c>
      <c r="CI53" s="387">
        <f>CA53</f>
        <v/>
      </c>
      <c r="CJ53" s="1527"/>
      <c r="CK53" s="2042"/>
      <c r="CL53" s="206">
        <f>IF(CF53=""," ",IF(ABS(CE53-CF53)&lt;=0.125,"Valid","Not valid"))</f>
        <v/>
      </c>
      <c r="CM53" s="207">
        <f> IF(CE53="","",IF(AND(CE53&lt;&gt;"",CF53=""),IF(CE53&gt;=1,"Medir+Sig Max","No"),IF(CF53&lt;&gt;"",IF(CF53&gt;=1,"Medir+Sig Max","No"),"")))</f>
        <v/>
      </c>
      <c r="CN53" s="1787"/>
      <c r="CO53" s="220">
        <f>IF(CK53="",IF(AND(CE53="",CF53=""),"",IF(CF53="",IF(DE53&gt;1,ROUND(DE53*CE53,3),CE53),IF(DE53&gt;1,ROUND(DE53*CF53,3),CF53))),IF(AND(CE53="",CF53=""),"",IF(CF53="",IF(DE53&gt;1,ROUND(DE53*CE53*(1/(CK53)),3),CE53*(1/(CK53))),IF(DE53&gt;1,ROUND(DE53*CF53*(1/(CK53)),3),CF53*(1/(CK53))))))</f>
        <v/>
      </c>
      <c r="CP53" s="2043">
        <f>$CP$3</f>
        <v/>
      </c>
      <c r="CQ53" s="1472">
        <f>IF(CO53="","",IF(CO53&gt;CP53,"Fail","Pass"))</f>
        <v/>
      </c>
      <c r="CR53" s="1481">
        <f>IF(AND(MAX(CO52:CO59)=CO53,CO53&lt;&gt;0),COUNT($CR$3:CR52)+1,"")</f>
        <v/>
      </c>
      <c r="CS53" s="1565">
        <f>MyTimestamp(CO53)</f>
        <v/>
      </c>
      <c r="CT53" s="1531">
        <f>IF(CE53="",0,15)+IF(CF53="",0,15)</f>
        <v/>
      </c>
      <c r="CU53" s="1532">
        <f>IF(CT53=0,0,2)</f>
        <v/>
      </c>
      <c r="CV53" s="859" t="inlineStr">
        <is>
          <t>S/02</t>
        </is>
      </c>
      <c r="CW53" s="859" t="inlineStr">
        <is>
          <t>Dasy6</t>
        </is>
      </c>
      <c r="CX53" s="2038"/>
      <c r="CY53" s="2044"/>
      <c r="CZ53" s="1543">
        <f>10^(CJ53/20)*100-100</f>
        <v/>
      </c>
      <c r="DA53" s="1319">
        <f>IF('Tune-Up'!$H$12="","",'Tune-Up'!$H$12)</f>
        <v/>
      </c>
      <c r="DB53" s="695">
        <f>'2G-3G'!BZ18</f>
        <v/>
      </c>
      <c r="DC53" s="797">
        <f>IF(DA53="","",10^(DA53/10))</f>
        <v/>
      </c>
      <c r="DD53" s="1363">
        <f>IF(ISNUMBER(DB53)=FALSE,"",10^(DB53/10))</f>
        <v/>
      </c>
      <c r="DE53" s="1543">
        <f>IF(AND(ISNUMBER(DC53),ISNUMBER(DD53)),IF(DC53/DD53&gt;1,ROUND((DC53)/DD53,3),1),1)</f>
        <v/>
      </c>
      <c r="DF53" s="1541"/>
      <c r="DG53" s="1541"/>
      <c r="DH53" s="1541"/>
      <c r="DI53" s="1541"/>
      <c r="DJ53" s="1541"/>
      <c r="DK53" s="1541"/>
      <c r="DL53" s="1541"/>
      <c r="DM53" s="1541"/>
      <c r="DN53" s="1541"/>
      <c r="DO53" s="1541"/>
      <c r="DP53" s="1541"/>
      <c r="DQ53" s="1541"/>
      <c r="DR53" s="1541"/>
    </row>
    <row r="54" ht="12.75" x14ac:dyDescent="0.2">
      <c r="A54" s="1541"/>
      <c r="B54" s="1541"/>
      <c r="C54"/>
      <c r="D54" s="130">
        <f>IF(BX$52="Close to Ear","EN 62209-1","EN 62209-2")</f>
        <v/>
      </c>
      <c r="E54" s="130">
        <f>IF(CG54="Close to Ear","2016","2010/A1:2019")</f>
        <v/>
      </c>
      <c r="F54" s="1488" t="inlineStr">
        <is>
          <t>5.1</t>
        </is>
      </c>
      <c r="G54" s="1497"/>
      <c r="H54" s="120">
        <f>BV54</f>
        <v/>
      </c>
      <c r="I54" s="120">
        <f>BW54</f>
        <v/>
      </c>
      <c r="J54" s="687" t="str">
        <f>BT54</f>
        <v>GSM</v>
      </c>
      <c r="K54" s="194">
        <f>BU54</f>
        <v>900</v>
      </c>
      <c r="L54" s="115"/>
      <c r="M54" s="120">
        <f>BZ54</f>
        <v>0</v>
      </c>
      <c r="N54" s="119"/>
      <c r="O54" s="131"/>
      <c r="P54" s="6597"/>
      <c r="Q54" s="131"/>
      <c r="R54" s="131"/>
      <c r="S54" s="120">
        <f>CG54</f>
        <v>0</v>
      </c>
      <c r="T54" s="120">
        <f>CC54</f>
        <v>37</v>
      </c>
      <c r="U54" s="120">
        <f>CD54</f>
        <v>897.4</v>
      </c>
      <c r="V54" s="119"/>
      <c r="W54" s="197">
        <f>CK54*100</f>
        <v/>
      </c>
      <c r="X54" s="119"/>
      <c r="Y54" s="119"/>
      <c r="Z54" s="119"/>
      <c r="AA54" s="115"/>
      <c r="AB54" s="115"/>
      <c r="AC54" s="689">
        <f>IF(OR(BX$52="Close to Ear",BX$52="Close to Head"),"Head",IF(BX$52="Extremity","Extremity","Body"))</f>
        <v/>
      </c>
      <c r="AD54" s="690">
        <f>CA54</f>
        <v/>
      </c>
      <c r="AE54" s="688">
        <f>CB54</f>
        <v/>
      </c>
      <c r="AF54" s="115"/>
      <c r="AG54" s="808">
        <f>IF(AZ54="","N/A",IF(CQ54="Pass","P","F"))</f>
        <v/>
      </c>
      <c r="AH54" s="129"/>
      <c r="AI54" s="129"/>
      <c r="AJ54" s="129"/>
      <c r="AK54" s="119"/>
      <c r="AL54" s="115"/>
      <c r="AM54" s="119"/>
      <c r="AN54" s="119"/>
      <c r="AO54" s="692"/>
      <c r="AP54" s="692"/>
      <c r="AQ54" s="692"/>
      <c r="AR54" s="692"/>
      <c r="AS54" s="692"/>
      <c r="AT54" s="691">
        <f>CE54</f>
        <v/>
      </c>
      <c r="AU54" s="691">
        <f>CF54</f>
        <v/>
      </c>
      <c r="AV54" s="813"/>
      <c r="AW54" s="813"/>
      <c r="AX54" s="197">
        <f>CZ54</f>
        <v/>
      </c>
      <c r="AY54" s="197">
        <f>DE54</f>
        <v/>
      </c>
      <c r="AZ54" s="3379">
        <f>CO54</f>
        <v/>
      </c>
      <c r="BA54" s="3380"/>
      <c r="BB54" s="197">
        <f>CP54</f>
        <v/>
      </c>
      <c r="BC54" s="813"/>
      <c r="BD54" s="197">
        <f>CR54</f>
        <v/>
      </c>
      <c r="BE54" s="121">
        <f>CS54</f>
        <v/>
      </c>
      <c r="BF54" s="122">
        <f>CT54*60</f>
        <v/>
      </c>
      <c r="BG54" s="121">
        <f>BE54</f>
        <v/>
      </c>
      <c r="BH54" s="122">
        <f>CU54*60</f>
        <v/>
      </c>
      <c r="BI54" s="122">
        <f>CV54</f>
        <v/>
      </c>
      <c r="BJ54" s="117"/>
      <c r="BK54" s="812">
        <f>Overview!$E$7</f>
        <v/>
      </c>
      <c r="BL54" s="117"/>
      <c r="BM54" s="836">
        <f>CW54</f>
        <v/>
      </c>
      <c r="BN54" s="812">
        <f>Overview!$P$153</f>
        <v/>
      </c>
      <c r="BO54" s="117"/>
      <c r="BP54" s="117"/>
      <c r="BQ54" s="115"/>
      <c r="BR54" s="1478" t="inlineStr">
        <is>
          <t>N/A</t>
        </is>
      </c>
      <c r="BS54" s="1548"/>
      <c r="BT54" s="1783" t="inlineStr">
        <is>
          <t>GSM</t>
        </is>
      </c>
      <c r="BU54" s="1783">
        <v>900</v>
      </c>
      <c r="BV54" s="400">
        <f>Overview!$H$29</f>
        <v/>
      </c>
      <c r="BW54" s="2010"/>
      <c r="BX54" s="1783"/>
      <c r="BY54" s="2040"/>
      <c r="BZ54" s="2040"/>
      <c r="CA54" s="1997" t="inlineStr">
        <is>
          <t>Left Edge</t>
        </is>
      </c>
      <c r="CB54" s="200">
        <v>5</v>
      </c>
      <c r="CC54" s="1063">
        <f>'2G-3G'!BX18</f>
        <v>37</v>
      </c>
      <c r="CD54" s="1063">
        <f>'2G-3G'!BY18</f>
        <v>897.4</v>
      </c>
      <c r="CE54" s="1523"/>
      <c r="CF54" s="1523"/>
      <c r="CG54" s="387" t="str">
        <f>IF(OR($BY$3="",$BY$3=""),"",$BY$3)</f>
        <v/>
      </c>
      <c r="CH54" s="387">
        <f>BZ54</f>
        <v/>
      </c>
      <c r="CI54" s="387">
        <f>CA54</f>
        <v/>
      </c>
      <c r="CJ54" s="1527"/>
      <c r="CK54" s="2042"/>
      <c r="CL54" s="206">
        <f>IF(CF54=""," ",IF(ABS(CE54-CF54)&lt;=0.125,"Valid","Not valid"))</f>
        <v/>
      </c>
      <c r="CM54" s="207">
        <f> IF(CE54="","",IF(AND(CE54&lt;&gt;"",CF54=""),IF(CE54&gt;=1,"Medir+Sig Max","No"),IF(CF54&lt;&gt;"",IF(CF54&gt;=1,"Medir+Sig Max","No"),"")))</f>
        <v/>
      </c>
      <c r="CN54" s="1787"/>
      <c r="CO54" s="220">
        <f>IF(CK54="",IF(AND(CE54="",CF54=""),"",IF(CF54="",IF(DE54&gt;1,ROUND(DE54*CE54,3),CE54),IF(DE54&gt;1,ROUND(DE54*CF54,3),CF54))),IF(AND(CE54="",CF54=""),"",IF(CF54="",IF(DE54&gt;1,ROUND(DE54*CE54*(1/(CK54)),3),CE54*(1/(CK54))),IF(DE54&gt;1,ROUND(DE54*CF54*(1/(CK54)),3),CF54*(1/(CK54))))))</f>
        <v/>
      </c>
      <c r="CP54" s="2043">
        <f>$CP$3</f>
        <v/>
      </c>
      <c r="CQ54" s="1472">
        <f>IF(CO54="","",IF(CO54&gt;CP54,"Fail","Pass"))</f>
        <v/>
      </c>
      <c r="CR54" s="1481">
        <f>IF(AND(MAX(CO52:CO59)=CO54,CO54&lt;&gt;0),COUNT($CR$3:CR53)+1,"")</f>
        <v/>
      </c>
      <c r="CS54" s="1565">
        <f>MyTimestamp(CO54)</f>
        <v/>
      </c>
      <c r="CT54" s="1531">
        <f>IF(CE54="",0,15)+IF(CF54="",0,15)</f>
        <v/>
      </c>
      <c r="CU54" s="1532">
        <f>IF(CT54=0,0,2)</f>
        <v/>
      </c>
      <c r="CV54" s="859" t="inlineStr">
        <is>
          <t>S/02</t>
        </is>
      </c>
      <c r="CW54" s="859" t="inlineStr">
        <is>
          <t>Dasy6</t>
        </is>
      </c>
      <c r="CX54" s="2038"/>
      <c r="CY54" s="2044"/>
      <c r="CZ54" s="1543">
        <f>10^(CJ54/20)*100-100</f>
        <v/>
      </c>
      <c r="DA54" s="1319">
        <f>IF('Tune-Up'!$H$12="","",'Tune-Up'!$H$12)</f>
        <v/>
      </c>
      <c r="DB54" s="695">
        <f>'2G-3G'!BZ18</f>
        <v/>
      </c>
      <c r="DC54" s="797">
        <f>IF(DA54="","",10^(DA54/10))</f>
        <v/>
      </c>
      <c r="DD54" s="1363">
        <f>IF(ISNUMBER(DB54)=FALSE,"",10^(DB54/10))</f>
        <v/>
      </c>
      <c r="DE54" s="1543">
        <f>IF(AND(ISNUMBER(DC54),ISNUMBER(DD54)),IF(DC54/DD54&gt;1,ROUND((DC54)/DD54,3),1),1)</f>
        <v/>
      </c>
      <c r="DF54" s="1541"/>
      <c r="DG54" s="1541"/>
      <c r="DH54" s="1541"/>
      <c r="DI54" s="1541"/>
      <c r="DJ54" s="1541"/>
      <c r="DK54" s="1541"/>
      <c r="DL54" s="1541"/>
      <c r="DM54" s="1541"/>
      <c r="DN54" s="1541"/>
      <c r="DO54" s="1541"/>
      <c r="DP54" s="1541"/>
      <c r="DQ54" s="1541"/>
      <c r="DR54" s="1541"/>
    </row>
    <row r="55" ht="12.75" x14ac:dyDescent="0.2">
      <c r="A55" s="1541"/>
      <c r="B55" s="1541"/>
      <c r="C55"/>
      <c r="D55" s="130">
        <f>IF(BX$52="Close to Ear","EN 62209-1","EN 62209-2")</f>
        <v/>
      </c>
      <c r="E55" s="130">
        <f>IF(CG55="Close to Ear","2016","2010/A1:2019")</f>
        <v/>
      </c>
      <c r="F55" s="1488" t="inlineStr">
        <is>
          <t>5.1</t>
        </is>
      </c>
      <c r="G55" s="1497"/>
      <c r="H55" s="120">
        <f>BV55</f>
        <v/>
      </c>
      <c r="I55" s="120">
        <f>BW55</f>
        <v/>
      </c>
      <c r="J55" s="687" t="str">
        <f>BT55</f>
        <v>GSM</v>
      </c>
      <c r="K55" s="194">
        <f>BU55</f>
        <v>900</v>
      </c>
      <c r="L55" s="115"/>
      <c r="M55" s="120">
        <f>BZ55</f>
        <v>0</v>
      </c>
      <c r="N55" s="119"/>
      <c r="O55" s="131"/>
      <c r="P55" s="6597"/>
      <c r="Q55" s="131"/>
      <c r="R55" s="131"/>
      <c r="S55" s="120">
        <f>CG55</f>
        <v>0</v>
      </c>
      <c r="T55" s="120">
        <f>CC55</f>
        <v>37</v>
      </c>
      <c r="U55" s="120">
        <f>CD55</f>
        <v>897.4</v>
      </c>
      <c r="V55" s="119"/>
      <c r="W55" s="197">
        <f>CK55*100</f>
        <v/>
      </c>
      <c r="X55" s="119"/>
      <c r="Y55" s="119"/>
      <c r="Z55" s="119"/>
      <c r="AA55" s="115"/>
      <c r="AB55" s="115"/>
      <c r="AC55" s="689">
        <f>IF(OR(BX$52="Close to Ear",BX$52="Close to Head"),"Head",IF(BX$52="Extremity","Extremity","Body"))</f>
        <v/>
      </c>
      <c r="AD55" s="690">
        <f>CA55</f>
        <v/>
      </c>
      <c r="AE55" s="688">
        <f>CB55</f>
        <v/>
      </c>
      <c r="AF55" s="115"/>
      <c r="AG55" s="808">
        <f>IF(AZ55="","N/A",IF(CQ55="Pass","P","F"))</f>
        <v/>
      </c>
      <c r="AH55" s="129"/>
      <c r="AI55" s="129"/>
      <c r="AJ55" s="129"/>
      <c r="AK55" s="119"/>
      <c r="AL55" s="115"/>
      <c r="AM55" s="119"/>
      <c r="AN55" s="119"/>
      <c r="AO55" s="692"/>
      <c r="AP55" s="692"/>
      <c r="AQ55" s="692"/>
      <c r="AR55" s="692"/>
      <c r="AS55" s="692"/>
      <c r="AT55" s="691">
        <f>CE55</f>
        <v/>
      </c>
      <c r="AU55" s="691">
        <f>CF55</f>
        <v/>
      </c>
      <c r="AV55" s="813"/>
      <c r="AW55" s="813"/>
      <c r="AX55" s="197">
        <f>CZ55</f>
        <v/>
      </c>
      <c r="AY55" s="197">
        <f>DE55</f>
        <v/>
      </c>
      <c r="AZ55" s="3379">
        <f>CO55</f>
        <v/>
      </c>
      <c r="BA55" s="3380"/>
      <c r="BB55" s="197">
        <f>CP55</f>
        <v/>
      </c>
      <c r="BC55" s="813"/>
      <c r="BD55" s="197">
        <f>CR55</f>
        <v/>
      </c>
      <c r="BE55" s="121">
        <f>CS55</f>
        <v/>
      </c>
      <c r="BF55" s="122">
        <f>CT55*60</f>
        <v/>
      </c>
      <c r="BG55" s="121">
        <f>BE55</f>
        <v/>
      </c>
      <c r="BH55" s="122">
        <f>CU55*60</f>
        <v/>
      </c>
      <c r="BI55" s="122">
        <f>CV55</f>
        <v/>
      </c>
      <c r="BJ55" s="117"/>
      <c r="BK55" s="812">
        <f>Overview!$E$7</f>
        <v/>
      </c>
      <c r="BL55" s="117"/>
      <c r="BM55" s="836">
        <f>CW55</f>
        <v/>
      </c>
      <c r="BN55" s="812">
        <f>Overview!$P$153</f>
        <v/>
      </c>
      <c r="BO55" s="117"/>
      <c r="BP55" s="117"/>
      <c r="BQ55" s="115"/>
      <c r="BR55" s="1478" t="inlineStr">
        <is>
          <t>N/A</t>
        </is>
      </c>
      <c r="BS55" s="1548"/>
      <c r="BT55" s="1791" t="inlineStr">
        <is>
          <t>GSM</t>
        </is>
      </c>
      <c r="BU55" s="1791">
        <v>900</v>
      </c>
      <c r="BV55" s="403">
        <f>Overview!$H$29</f>
        <v/>
      </c>
      <c r="BW55" s="2010"/>
      <c r="BX55" s="1791"/>
      <c r="BY55" s="2040"/>
      <c r="BZ55" s="2040"/>
      <c r="CA55" s="1997" t="inlineStr">
        <is>
          <t>Right Edge</t>
        </is>
      </c>
      <c r="CB55" s="200">
        <v>5</v>
      </c>
      <c r="CC55" s="1063">
        <f>'2G-3G'!BX18</f>
        <v>37</v>
      </c>
      <c r="CD55" s="1063">
        <f>'2G-3G'!BY18</f>
        <v>897.4</v>
      </c>
      <c r="CE55" s="1523"/>
      <c r="CF55" s="1523"/>
      <c r="CG55" s="387" t="str">
        <f>IF(OR($BY$3="",$BY$3=""),"",$BY$3)</f>
        <v/>
      </c>
      <c r="CH55" s="387">
        <f>BZ55</f>
        <v/>
      </c>
      <c r="CI55" s="387">
        <f>CA55</f>
        <v/>
      </c>
      <c r="CJ55" s="1527"/>
      <c r="CK55" s="2042"/>
      <c r="CL55" s="206">
        <f>IF(CF55=""," ",IF(ABS(CE55-CF55)&lt;=0.125,"Valid","Not valid"))</f>
        <v/>
      </c>
      <c r="CM55" s="207">
        <f> IF(CE55="","",IF(AND(CE55&lt;&gt;"",CF55=""),IF(CE55&gt;=1,"Medir+Sig Max","No"),IF(CF55&lt;&gt;"",IF(CF55&gt;=1,"Medir+Sig Max","No"),"")))</f>
        <v/>
      </c>
      <c r="CN55" s="1787"/>
      <c r="CO55" s="220">
        <f>IF(CK55="",IF(AND(CE55="",CF55=""),"",IF(CF55="",IF(DE55&gt;1,ROUND(DE55*CE55,3),CE55),IF(DE55&gt;1,ROUND(DE55*CF55,3),CF55))),IF(AND(CE55="",CF55=""),"",IF(CF55="",IF(DE55&gt;1,ROUND(DE55*CE55*(1/(CK55)),3),CE55*(1/(CK55))),IF(DE55&gt;1,ROUND(DE55*CF55*(1/(CK55)),3),CF55*(1/(CK55))))))</f>
        <v/>
      </c>
      <c r="CP55" s="2043">
        <f>$CP$3</f>
        <v/>
      </c>
      <c r="CQ55" s="1472">
        <f>IF(CO55="","",IF(CO55&gt;CP55,"Fail","Pass"))</f>
        <v/>
      </c>
      <c r="CR55" s="1481">
        <f>IF(AND(MAX(CO52:CO59)=CO55,CO55&lt;&gt;0),COUNT($CR$3:CR54)+1,"")</f>
        <v/>
      </c>
      <c r="CS55" s="1565">
        <f>MyTimestamp(CO55)</f>
        <v/>
      </c>
      <c r="CT55" s="1531">
        <f>IF(CE55="",0,15)+IF(CF55="",0,15)</f>
        <v/>
      </c>
      <c r="CU55" s="1532">
        <f>IF(CT55=0,0,2)</f>
        <v/>
      </c>
      <c r="CV55" s="859" t="inlineStr">
        <is>
          <t>S/02</t>
        </is>
      </c>
      <c r="CW55" s="859" t="inlineStr">
        <is>
          <t>Dasy6</t>
        </is>
      </c>
      <c r="CX55" s="2038"/>
      <c r="CY55" s="2044"/>
      <c r="CZ55" s="1543">
        <f>10^(CJ55/20)*100-100</f>
        <v/>
      </c>
      <c r="DA55" s="1319">
        <f>IF('Tune-Up'!$H$12="","",'Tune-Up'!$H$12)</f>
        <v/>
      </c>
      <c r="DB55" s="695">
        <f>'2G-3G'!BZ18</f>
        <v/>
      </c>
      <c r="DC55" s="797">
        <f>IF(DA55="","",10^(DA55/10))</f>
        <v/>
      </c>
      <c r="DD55" s="1363">
        <f>IF(ISNUMBER(DB55)=FALSE,"",10^(DB55/10))</f>
        <v/>
      </c>
      <c r="DE55" s="1543">
        <f>IF(AND(ISNUMBER(DC55),ISNUMBER(DD55)),IF(DC55/DD55&gt;1,ROUND((DC55)/DD55,3),1),1)</f>
        <v/>
      </c>
      <c r="DF55" s="1541"/>
      <c r="DG55" s="1541"/>
      <c r="DH55" s="1541"/>
      <c r="DI55" s="1541"/>
      <c r="DJ55" s="1541"/>
      <c r="DK55" s="1541"/>
      <c r="DL55" s="1541"/>
      <c r="DM55" s="1541"/>
      <c r="DN55" s="1541"/>
      <c r="DO55" s="1541"/>
      <c r="DP55" s="1541"/>
      <c r="DQ55" s="1541"/>
      <c r="DR55" s="1541"/>
    </row>
    <row r="56" ht="12.75" x14ac:dyDescent="0.2">
      <c r="A56" s="1541"/>
      <c r="B56" s="1541"/>
      <c r="C56"/>
      <c r="D56" s="130">
        <f>IF(BX$52="Close to Ear","EN 62209-1","EN 62209-2")</f>
        <v/>
      </c>
      <c r="E56" s="130">
        <f>IF(CG56="Close to Ear","2016","2010/A1:2019")</f>
        <v/>
      </c>
      <c r="F56" s="1488" t="inlineStr">
        <is>
          <t>5.1</t>
        </is>
      </c>
      <c r="G56" s="1497"/>
      <c r="H56" s="120">
        <f>BV56</f>
        <v/>
      </c>
      <c r="I56" s="120">
        <f>BW56</f>
        <v/>
      </c>
      <c r="J56" s="687" t="str">
        <f>BT56</f>
        <v>GSM</v>
      </c>
      <c r="K56" s="194">
        <f>BU56</f>
        <v>900</v>
      </c>
      <c r="L56" s="115"/>
      <c r="M56" s="120">
        <f>BZ56</f>
        <v>0</v>
      </c>
      <c r="N56" s="119"/>
      <c r="O56" s="131"/>
      <c r="P56" s="6597"/>
      <c r="Q56" s="131"/>
      <c r="R56" s="131"/>
      <c r="S56" s="120">
        <f>CG56</f>
        <v>0</v>
      </c>
      <c r="T56" s="120">
        <f>CC56</f>
        <v>37</v>
      </c>
      <c r="U56" s="120">
        <f>CD56</f>
        <v>897.4</v>
      </c>
      <c r="V56" s="119"/>
      <c r="W56" s="197">
        <f>CK56*100</f>
        <v/>
      </c>
      <c r="X56" s="119"/>
      <c r="Y56" s="119"/>
      <c r="Z56" s="119"/>
      <c r="AA56" s="115"/>
      <c r="AB56" s="115"/>
      <c r="AC56" s="689">
        <f>IF(OR(BX$52="Close to Ear",BX$52="Close to Head"),"Head",IF(BX$52="Extremity","Extremity","Body"))</f>
        <v/>
      </c>
      <c r="AD56" s="690">
        <f>CA56</f>
        <v/>
      </c>
      <c r="AE56" s="688">
        <f>CB56</f>
        <v/>
      </c>
      <c r="AF56" s="115"/>
      <c r="AG56" s="808">
        <f>IF(AZ56="","N/A",IF(CQ56="Pass","P","F"))</f>
        <v/>
      </c>
      <c r="AH56" s="129"/>
      <c r="AI56" s="129"/>
      <c r="AJ56" s="129"/>
      <c r="AK56" s="119"/>
      <c r="AL56" s="115"/>
      <c r="AM56" s="119"/>
      <c r="AN56" s="119"/>
      <c r="AO56" s="692"/>
      <c r="AP56" s="692"/>
      <c r="AQ56" s="692"/>
      <c r="AR56" s="692"/>
      <c r="AS56" s="692"/>
      <c r="AT56" s="691">
        <f>CE56</f>
        <v/>
      </c>
      <c r="AU56" s="691">
        <f>CF56</f>
        <v/>
      </c>
      <c r="AV56" s="813"/>
      <c r="AW56" s="813"/>
      <c r="AX56" s="197">
        <f>CZ56</f>
        <v/>
      </c>
      <c r="AY56" s="197">
        <f>DE56</f>
        <v/>
      </c>
      <c r="AZ56" s="3379">
        <f>CO56</f>
        <v/>
      </c>
      <c r="BA56" s="3380"/>
      <c r="BB56" s="197">
        <f>CP56</f>
        <v/>
      </c>
      <c r="BC56" s="813"/>
      <c r="BD56" s="197">
        <f>CR56</f>
        <v/>
      </c>
      <c r="BE56" s="121">
        <f>CS56</f>
        <v/>
      </c>
      <c r="BF56" s="122">
        <f>CT56*60</f>
        <v/>
      </c>
      <c r="BG56" s="121">
        <f>BE56</f>
        <v/>
      </c>
      <c r="BH56" s="122">
        <f>CU56*60</f>
        <v/>
      </c>
      <c r="BI56" s="122">
        <f>CV56</f>
        <v/>
      </c>
      <c r="BJ56" s="117"/>
      <c r="BK56" s="812">
        <f>Overview!$E$7</f>
        <v/>
      </c>
      <c r="BL56" s="117"/>
      <c r="BM56" s="836">
        <f>CW56</f>
        <v/>
      </c>
      <c r="BN56" s="812">
        <f>Overview!$P$153</f>
        <v/>
      </c>
      <c r="BO56" s="117"/>
      <c r="BP56" s="117"/>
      <c r="BQ56" s="115"/>
      <c r="BR56" s="1478" t="inlineStr">
        <is>
          <t>N/A</t>
        </is>
      </c>
      <c r="BS56" s="1548"/>
      <c r="BT56" s="1783" t="inlineStr">
        <is>
          <t>GSM</t>
        </is>
      </c>
      <c r="BU56" s="1783">
        <v>900</v>
      </c>
      <c r="BV56" s="400">
        <f>Overview!$H$29</f>
        <v/>
      </c>
      <c r="BW56" s="2010"/>
      <c r="BX56" s="1783"/>
      <c r="BY56" s="2040"/>
      <c r="BZ56" s="2040"/>
      <c r="CA56" s="1997" t="inlineStr">
        <is>
          <t>Top Edge</t>
        </is>
      </c>
      <c r="CB56" s="200">
        <v>5</v>
      </c>
      <c r="CC56" s="1063">
        <f>'2G-3G'!BX18</f>
        <v>37</v>
      </c>
      <c r="CD56" s="1063">
        <f>'2G-3G'!BY18</f>
        <v>897.4</v>
      </c>
      <c r="CE56" s="1523"/>
      <c r="CF56" s="1523"/>
      <c r="CG56" s="387" t="str">
        <f>IF(OR($BY$3="",$BY$3=""),"",$BY$3)</f>
        <v/>
      </c>
      <c r="CH56" s="387">
        <f>BZ56</f>
        <v/>
      </c>
      <c r="CI56" s="387">
        <f>CA56</f>
        <v/>
      </c>
      <c r="CJ56" s="1527"/>
      <c r="CK56" s="2042"/>
      <c r="CL56" s="206">
        <f>IF(CF56=""," ",IF(ABS(CE56-CF56)&lt;=0.125,"Valid","Not valid"))</f>
        <v/>
      </c>
      <c r="CM56" s="207">
        <f> IF(CE56="","",IF(AND(CE56&lt;&gt;"",CF56=""),IF(CE56&gt;=1,"Medir+Sig Max","No"),IF(CF56&lt;&gt;"",IF(CF56&gt;=1,"Medir+Sig Max","No"),"")))</f>
        <v/>
      </c>
      <c r="CN56" s="1787"/>
      <c r="CO56" s="220">
        <f>IF(CK56="",IF(AND(CE56="",CF56=""),"",IF(CF56="",IF(DE56&gt;1,ROUND(DE56*CE56,3),CE56),IF(DE56&gt;1,ROUND(DE56*CF56,3),CF56))),IF(AND(CE56="",CF56=""),"",IF(CF56="",IF(DE56&gt;1,ROUND(DE56*CE56*(1/(CK56)),3),CE56*(1/(CK56))),IF(DE56&gt;1,ROUND(DE56*CF56*(1/(CK56)),3),CF56*(1/(CK56))))))</f>
        <v/>
      </c>
      <c r="CP56" s="2043">
        <f>$CP$3</f>
        <v/>
      </c>
      <c r="CQ56" s="1472">
        <f>IF(CO56="","",IF(CO56&gt;CP56,"Fail","Pass"))</f>
        <v/>
      </c>
      <c r="CR56" s="1481">
        <f>IF(AND(MAX(CO52:CO59)=CO56,CO56&lt;&gt;0),COUNT($CR$3:CR55)+1,"")</f>
        <v/>
      </c>
      <c r="CS56" s="1565">
        <f>MyTimestamp(CO56)</f>
        <v/>
      </c>
      <c r="CT56" s="1531">
        <f>IF(CE56="",0,15)+IF(CF56="",0,15)</f>
        <v/>
      </c>
      <c r="CU56" s="1532">
        <f>IF(CT56=0,0,2)</f>
        <v/>
      </c>
      <c r="CV56" s="859" t="inlineStr">
        <is>
          <t>S/02</t>
        </is>
      </c>
      <c r="CW56" s="859" t="inlineStr">
        <is>
          <t>Dasy6</t>
        </is>
      </c>
      <c r="CX56" s="2038"/>
      <c r="CY56" s="2044"/>
      <c r="CZ56" s="1543">
        <f>10^(CJ56/20)*100-100</f>
        <v/>
      </c>
      <c r="DA56" s="1319">
        <f>IF('Tune-Up'!$H$12="","",'Tune-Up'!$H$12)</f>
        <v/>
      </c>
      <c r="DB56" s="695">
        <f>'2G-3G'!BZ18</f>
        <v/>
      </c>
      <c r="DC56" s="797">
        <f>IF(DA56="","",10^(DA56/10))</f>
        <v/>
      </c>
      <c r="DD56" s="1363">
        <f>IF(ISNUMBER(DB56)=FALSE,"",10^(DB56/10))</f>
        <v/>
      </c>
      <c r="DE56" s="1543">
        <f>IF(AND(ISNUMBER(DC56),ISNUMBER(DD56)),IF(DC56/DD56&gt;1,ROUND((DC56)/DD56,3),1),1)</f>
        <v/>
      </c>
      <c r="DF56" s="1541"/>
      <c r="DG56" s="1541"/>
      <c r="DH56" s="1541"/>
      <c r="DI56" s="1541"/>
      <c r="DJ56" s="1541"/>
      <c r="DK56" s="1541"/>
      <c r="DL56" s="1541"/>
      <c r="DM56" s="1541"/>
      <c r="DN56" s="1541"/>
      <c r="DO56" s="1541"/>
      <c r="DP56" s="1541"/>
      <c r="DQ56" s="1541"/>
      <c r="DR56" s="1541"/>
    </row>
    <row r="57" ht="12.75" x14ac:dyDescent="0.2">
      <c r="A57" s="1541"/>
      <c r="B57" s="1541"/>
      <c r="C57"/>
      <c r="D57" s="130">
        <f>IF(BX$52="Close to Ear","EN 62209-1","EN 62209-2")</f>
        <v/>
      </c>
      <c r="E57" s="130">
        <f>IF(CG57="Close to Ear","2016","2010/A1:2019")</f>
        <v/>
      </c>
      <c r="F57" s="1488" t="inlineStr">
        <is>
          <t>5.1</t>
        </is>
      </c>
      <c r="G57" s="1497"/>
      <c r="H57" s="120">
        <f>BV57</f>
        <v/>
      </c>
      <c r="I57" s="120">
        <f>BW57</f>
        <v/>
      </c>
      <c r="J57" s="687" t="str">
        <f>BT57</f>
        <v>GSM</v>
      </c>
      <c r="K57" s="194">
        <f>BU57</f>
        <v>900</v>
      </c>
      <c r="L57" s="115"/>
      <c r="M57" s="120">
        <f>BZ57</f>
        <v>0</v>
      </c>
      <c r="N57" s="119"/>
      <c r="O57" s="131"/>
      <c r="P57" s="6597"/>
      <c r="Q57" s="131"/>
      <c r="R57" s="131"/>
      <c r="S57" s="120">
        <f>CG57</f>
        <v>0</v>
      </c>
      <c r="T57" s="120">
        <f>CC57</f>
        <v>37</v>
      </c>
      <c r="U57" s="120">
        <f>CD57</f>
        <v>897.4</v>
      </c>
      <c r="V57" s="119"/>
      <c r="W57" s="197">
        <f>CK57*100</f>
        <v/>
      </c>
      <c r="X57" s="119"/>
      <c r="Y57" s="119"/>
      <c r="Z57" s="119"/>
      <c r="AA57" s="115"/>
      <c r="AB57" s="115"/>
      <c r="AC57" s="689">
        <f>IF(OR(BX$52="Close to Ear",BX$52="Close to Head"),"Head",IF(BX$52="Extremity","Extremity","Body"))</f>
        <v/>
      </c>
      <c r="AD57" s="690">
        <f>CA57</f>
        <v/>
      </c>
      <c r="AE57" s="688">
        <f>CB57</f>
        <v/>
      </c>
      <c r="AF57" s="115"/>
      <c r="AG57" s="808">
        <f>IF(AZ57="","N/A",IF(CQ57="Pass","P","F"))</f>
        <v/>
      </c>
      <c r="AH57" s="129"/>
      <c r="AI57" s="129"/>
      <c r="AJ57" s="129"/>
      <c r="AK57" s="119"/>
      <c r="AL57" s="115"/>
      <c r="AM57" s="119"/>
      <c r="AN57" s="119"/>
      <c r="AO57" s="692"/>
      <c r="AP57" s="692"/>
      <c r="AQ57" s="692"/>
      <c r="AR57" s="692"/>
      <c r="AS57" s="692"/>
      <c r="AT57" s="691">
        <f>CE57</f>
        <v/>
      </c>
      <c r="AU57" s="691">
        <f>CF57</f>
        <v/>
      </c>
      <c r="AV57" s="813"/>
      <c r="AW57" s="813"/>
      <c r="AX57" s="197">
        <f>CZ57</f>
        <v/>
      </c>
      <c r="AY57" s="197">
        <f>DE57</f>
        <v/>
      </c>
      <c r="AZ57" s="3379">
        <f>CO57</f>
        <v/>
      </c>
      <c r="BA57" s="3380"/>
      <c r="BB57" s="197">
        <f>CP57</f>
        <v/>
      </c>
      <c r="BC57" s="813"/>
      <c r="BD57" s="197">
        <f>CR57</f>
        <v/>
      </c>
      <c r="BE57" s="121">
        <f>CS57</f>
        <v/>
      </c>
      <c r="BF57" s="122">
        <f>CT57*60</f>
        <v/>
      </c>
      <c r="BG57" s="121">
        <f>BE57</f>
        <v/>
      </c>
      <c r="BH57" s="122">
        <f>CU57*60</f>
        <v/>
      </c>
      <c r="BI57" s="122">
        <f>CV57</f>
        <v/>
      </c>
      <c r="BJ57" s="117"/>
      <c r="BK57" s="812">
        <f>Overview!$E$7</f>
        <v/>
      </c>
      <c r="BL57" s="117"/>
      <c r="BM57" s="836">
        <f>CW57</f>
        <v/>
      </c>
      <c r="BN57" s="812">
        <f>Overview!$P$153</f>
        <v/>
      </c>
      <c r="BO57" s="117"/>
      <c r="BP57" s="117"/>
      <c r="BQ57" s="115"/>
      <c r="BR57" s="1478" t="inlineStr">
        <is>
          <t>N/A</t>
        </is>
      </c>
      <c r="BS57" s="1548"/>
      <c r="BT57" s="1783" t="inlineStr">
        <is>
          <t>GSM</t>
        </is>
      </c>
      <c r="BU57" s="1783">
        <v>900</v>
      </c>
      <c r="BV57" s="400">
        <f>Overview!$H$29</f>
        <v/>
      </c>
      <c r="BW57" s="2010"/>
      <c r="BX57" s="1783"/>
      <c r="BY57" s="2040"/>
      <c r="BZ57" s="2040"/>
      <c r="CA57" s="1997" t="inlineStr">
        <is>
          <t>Bottom Edge</t>
        </is>
      </c>
      <c r="CB57" s="200">
        <v>5</v>
      </c>
      <c r="CC57" s="1063">
        <f>'2G-3G'!BX18</f>
        <v>37</v>
      </c>
      <c r="CD57" s="1063">
        <f>'2G-3G'!BY18</f>
        <v>897.4</v>
      </c>
      <c r="CE57" s="1523"/>
      <c r="CF57" s="1523"/>
      <c r="CG57" s="387" t="str">
        <f>IF(OR($BY$3="",$BY$3=""),"",$BY$3)</f>
        <v/>
      </c>
      <c r="CH57" s="387">
        <f>BZ57</f>
        <v/>
      </c>
      <c r="CI57" s="387">
        <f>CA57</f>
        <v/>
      </c>
      <c r="CJ57" s="1527"/>
      <c r="CK57" s="2042"/>
      <c r="CL57" s="206">
        <f>IF(CF57=""," ",IF(ABS(CE57-CF57)&lt;=0.125,"Valid","Not valid"))</f>
        <v/>
      </c>
      <c r="CM57" s="207">
        <f> IF(CE57="","",IF(AND(CE57&lt;&gt;"",CF57=""),IF(CE57&gt;=1,"Medir+Sig Max","No"),IF(CF57&lt;&gt;"",IF(CF57&gt;=1,"Medir+Sig Max","No"),"")))</f>
        <v/>
      </c>
      <c r="CN57" s="1787"/>
      <c r="CO57" s="220">
        <f>IF(CK57="",IF(AND(CE57="",CF57=""),"",IF(CF57="",IF(DE57&gt;1,ROUND(DE57*CE57,3),CE57),IF(DE57&gt;1,ROUND(DE57*CF57,3),CF57))),IF(AND(CE57="",CF57=""),"",IF(CF57="",IF(DE57&gt;1,ROUND(DE57*CE57*(1/(CK57)),3),CE57*(1/(CK57))),IF(DE57&gt;1,ROUND(DE57*CF57*(1/(CK57)),3),CF57*(1/(CK57))))))</f>
        <v/>
      </c>
      <c r="CP57" s="2043">
        <f>$CP$3</f>
        <v/>
      </c>
      <c r="CQ57" s="1472">
        <f>IF(CO57="","",IF(CO57&gt;CP57,"Fail","Pass"))</f>
        <v/>
      </c>
      <c r="CR57" s="1481">
        <f>IF(AND(MAX(CO52:CO59)=CO57,CO57&lt;&gt;0),COUNT($CR$3:CR56)+1,"")</f>
        <v/>
      </c>
      <c r="CS57" s="1565">
        <f>MyTimestamp(CO57)</f>
        <v/>
      </c>
      <c r="CT57" s="1531">
        <f>IF(CE57="",0,15)+IF(CF57="",0,15)</f>
        <v/>
      </c>
      <c r="CU57" s="1532">
        <f>IF(CT57=0,0,2)</f>
        <v/>
      </c>
      <c r="CV57" s="859" t="inlineStr">
        <is>
          <t>S/02</t>
        </is>
      </c>
      <c r="CW57" s="859" t="inlineStr">
        <is>
          <t>Dasy6</t>
        </is>
      </c>
      <c r="CX57" s="2038"/>
      <c r="CY57" s="2044"/>
      <c r="CZ57" s="1543">
        <f>10^(CJ57/20)*100-100</f>
        <v/>
      </c>
      <c r="DA57" s="1319">
        <f>IF('Tune-Up'!$H$12="","",'Tune-Up'!$H$12)</f>
        <v/>
      </c>
      <c r="DB57" s="695">
        <f>'2G-3G'!BZ18</f>
        <v/>
      </c>
      <c r="DC57" s="797">
        <f>IF(DA57="","",10^(DA57/10))</f>
        <v/>
      </c>
      <c r="DD57" s="1363">
        <f>IF(ISNUMBER(DB57)=FALSE,"",10^(DB57/10))</f>
        <v/>
      </c>
      <c r="DE57" s="1543">
        <f>IF(AND(ISNUMBER(DC57),ISNUMBER(DD57)),IF(DC57/DD57&gt;1,ROUND((DC57)/DD57,3),1),1)</f>
        <v/>
      </c>
      <c r="DF57" s="1541"/>
      <c r="DG57" s="1541"/>
      <c r="DH57" s="1541"/>
      <c r="DI57" s="1541"/>
      <c r="DJ57" s="1541"/>
      <c r="DK57" s="1541"/>
      <c r="DL57" s="1541"/>
      <c r="DM57" s="1541"/>
      <c r="DN57" s="1541"/>
      <c r="DO57" s="1541"/>
      <c r="DP57" s="1541"/>
      <c r="DQ57" s="1541"/>
      <c r="DR57" s="1541"/>
    </row>
    <row r="58" ht="12.75" x14ac:dyDescent="0.2">
      <c r="A58" s="1541"/>
      <c r="B58" s="1541"/>
      <c r="C58"/>
      <c r="D58" s="130">
        <f>IF(BX$52="Close to Ear","EN 62209-1","EN 62209-2")</f>
        <v/>
      </c>
      <c r="E58" s="130">
        <f>IF(CG58="Close to Ear","2016","2010/A1:2019")</f>
        <v/>
      </c>
      <c r="F58" s="1488" t="inlineStr">
        <is>
          <t>5.1</t>
        </is>
      </c>
      <c r="G58" s="1497"/>
      <c r="H58" s="120">
        <f>BV58</f>
        <v/>
      </c>
      <c r="I58" s="120">
        <f>BW58</f>
        <v/>
      </c>
      <c r="J58" s="687" t="str">
        <f>BT58</f>
        <v>GSM</v>
      </c>
      <c r="K58" s="194">
        <f>BU58</f>
        <v>900</v>
      </c>
      <c r="L58" s="115"/>
      <c r="M58" s="120">
        <f>BZ58</f>
        <v>0</v>
      </c>
      <c r="N58" s="119"/>
      <c r="O58" s="131"/>
      <c r="P58" s="6597"/>
      <c r="Q58" s="131"/>
      <c r="R58" s="131"/>
      <c r="S58" s="120">
        <f>CG58</f>
        <v>0</v>
      </c>
      <c r="T58" s="120">
        <f>CC58</f>
        <v>975</v>
      </c>
      <c r="U58" s="120">
        <f>CD58</f>
        <v>880.2</v>
      </c>
      <c r="V58" s="119"/>
      <c r="W58" s="197">
        <f>CK58*100</f>
        <v/>
      </c>
      <c r="X58" s="119"/>
      <c r="Y58" s="119"/>
      <c r="Z58" s="119"/>
      <c r="AA58" s="115"/>
      <c r="AB58" s="115"/>
      <c r="AC58" s="689">
        <f>IF(OR(BX$52="Close to Ear",BX$52="Close to Head"),"Head",IF(BX$52="Extremity","Extremity","Body"))</f>
        <v/>
      </c>
      <c r="AD58" s="690">
        <f>CA58</f>
        <v/>
      </c>
      <c r="AE58" s="688">
        <f>CB58</f>
        <v/>
      </c>
      <c r="AF58" s="115"/>
      <c r="AG58" s="808">
        <f>IF(AZ58="","N/A",IF(CQ58="Pass","P","F"))</f>
        <v/>
      </c>
      <c r="AH58" s="129"/>
      <c r="AI58" s="129"/>
      <c r="AJ58" s="129"/>
      <c r="AK58" s="119"/>
      <c r="AL58" s="115"/>
      <c r="AM58" s="119"/>
      <c r="AN58" s="119"/>
      <c r="AO58" s="692"/>
      <c r="AP58" s="692"/>
      <c r="AQ58" s="692"/>
      <c r="AR58" s="692"/>
      <c r="AS58" s="692"/>
      <c r="AT58" s="691">
        <f>CE58</f>
        <v/>
      </c>
      <c r="AU58" s="691">
        <f>CF58</f>
        <v/>
      </c>
      <c r="AV58" s="813"/>
      <c r="AW58" s="813"/>
      <c r="AX58" s="197">
        <f>CZ58</f>
        <v/>
      </c>
      <c r="AY58" s="197">
        <f>DE58</f>
        <v/>
      </c>
      <c r="AZ58" s="3379">
        <f>CO58</f>
        <v/>
      </c>
      <c r="BA58" s="3380"/>
      <c r="BB58" s="197">
        <f>CP58</f>
        <v/>
      </c>
      <c r="BC58" s="813"/>
      <c r="BD58" s="197">
        <f>CR58</f>
        <v/>
      </c>
      <c r="BE58" s="121">
        <f>CS58</f>
        <v/>
      </c>
      <c r="BF58" s="122">
        <f>CT58*60</f>
        <v/>
      </c>
      <c r="BG58" s="121">
        <f>BE58</f>
        <v/>
      </c>
      <c r="BH58" s="122">
        <f>CU58*60</f>
        <v/>
      </c>
      <c r="BI58" s="122">
        <f>CV58</f>
        <v/>
      </c>
      <c r="BJ58" s="117"/>
      <c r="BK58" s="812">
        <f>Overview!$E$7</f>
        <v/>
      </c>
      <c r="BL58" s="117"/>
      <c r="BM58" s="836">
        <f>CW58</f>
        <v/>
      </c>
      <c r="BN58" s="812">
        <f>Overview!$P$153</f>
        <v/>
      </c>
      <c r="BO58" s="117"/>
      <c r="BP58" s="117"/>
      <c r="BQ58" s="115"/>
      <c r="BR58" s="1478" t="inlineStr">
        <is>
          <t>N/A</t>
        </is>
      </c>
      <c r="BS58" s="1548"/>
      <c r="BT58" s="1783" t="inlineStr">
        <is>
          <t>GSM</t>
        </is>
      </c>
      <c r="BU58" s="1783">
        <v>900</v>
      </c>
      <c r="BV58" s="400">
        <f>Overview!$H$29</f>
        <v/>
      </c>
      <c r="BW58" s="2010"/>
      <c r="BX58" s="1783"/>
      <c r="BY58" s="2040"/>
      <c r="BZ58" s="2040"/>
      <c r="CA58" s="401" t="str">
        <f>IF(COUNT(CF52:CF57)=0,IF(COUNT(CE52:CE57)=0,"TBD",VLOOKUP(MAX(CE52:CE57),CE52:CI57,5,FALSE)),VLOOKUP(MAX(CF52:CF57),CF52:CI57,4,FALSE))</f>
        <v>TBD</v>
      </c>
      <c r="CB58" s="200">
        <v>5</v>
      </c>
      <c r="CC58" s="1063">
        <f>'2G-3G'!BX19</f>
        <v>975</v>
      </c>
      <c r="CD58" s="1063">
        <f>'2G-3G'!BY19</f>
        <v>880.2</v>
      </c>
      <c r="CE58" s="1523"/>
      <c r="CF58" s="1523"/>
      <c r="CG58" s="387" t="str">
        <f>IF(OR($BY$3="",$BY$3=""),"",$BY$3)</f>
        <v/>
      </c>
      <c r="CH58" s="387">
        <f>BZ58</f>
        <v/>
      </c>
      <c r="CI58" s="387">
        <f>CA58</f>
        <v/>
      </c>
      <c r="CJ58" s="1527"/>
      <c r="CK58" s="2042"/>
      <c r="CL58" s="206">
        <f>IF(CF58=""," ",IF(ABS(CE58-CF58)&lt;=0.125,"Valid","Not valid"))</f>
        <v/>
      </c>
      <c r="CM58" s="207">
        <f> IF(CE58="","",IF(AND(CE58&lt;&gt;"",CF58=""),IF(CE58&gt;=1,"Medir+Sig Max","No"),IF(CF58&lt;&gt;"",IF(CF58&gt;=1,"Medir+Sig Max","No"),"")))</f>
        <v/>
      </c>
      <c r="CN58" s="1787"/>
      <c r="CO58" s="220">
        <f>IF(CK58="",IF(AND(CE58="",CF58=""),"",IF(CF58="",IF(DE58&gt;1,ROUND(DE58*CE58,3),CE58),IF(DE58&gt;1,ROUND(DE58*CF58,3),CF58))),IF(AND(CE58="",CF58=""),"",IF(CF58="",IF(DE58&gt;1,ROUND(DE58*CE58*(1/(CK58)),3),CE58*(1/(CK58))),IF(DE58&gt;1,ROUND(DE58*CF58*(1/(CK58)),3),CF58*(1/(CK58))))))</f>
        <v/>
      </c>
      <c r="CP58" s="2043">
        <f>$CP$3</f>
        <v/>
      </c>
      <c r="CQ58" s="1472">
        <f>IF(CO58="","",IF(CO58&gt;CP58,"Fail","Pass"))</f>
        <v/>
      </c>
      <c r="CR58" s="1481">
        <f>IF(AND(MAX(CO52:CO59)=CO58,CO58&lt;&gt;0),COUNT($CR$3:CR57)+1,"")</f>
        <v/>
      </c>
      <c r="CS58" s="1565">
        <f>MyTimestamp(CO58)</f>
        <v/>
      </c>
      <c r="CT58" s="1531">
        <f>IF(CE58="",0,15)+IF(CF58="",0,15)</f>
        <v/>
      </c>
      <c r="CU58" s="1532">
        <f>IF(CT58=0,0,2)</f>
        <v/>
      </c>
      <c r="CV58" s="859" t="inlineStr">
        <is>
          <t>S/02</t>
        </is>
      </c>
      <c r="CW58" s="859" t="inlineStr">
        <is>
          <t>Dasy6</t>
        </is>
      </c>
      <c r="CX58" s="2038"/>
      <c r="CY58" s="2044"/>
      <c r="CZ58" s="1543">
        <f>10^(CJ58/20)*100-100</f>
        <v/>
      </c>
      <c r="DA58" s="1319">
        <f>IF('Tune-Up'!$H$12="","",'Tune-Up'!$H$12)</f>
        <v/>
      </c>
      <c r="DB58" s="695">
        <f>'2G-3G'!BZ19</f>
        <v/>
      </c>
      <c r="DC58" s="797">
        <f>IF(DA58="","",10^(DA58/10))</f>
        <v/>
      </c>
      <c r="DD58" s="1363">
        <f>IF(ISNUMBER(DB58)=FALSE,"",10^(DB58/10))</f>
        <v/>
      </c>
      <c r="DE58" s="1543">
        <f>IF(AND(ISNUMBER(DC58),ISNUMBER(DD58)),IF(DC58/DD58&gt;1,ROUND((DC58)/DD58,3),1),1)</f>
        <v/>
      </c>
      <c r="DF58" s="1541"/>
      <c r="DG58" s="1541"/>
      <c r="DH58" s="1541"/>
      <c r="DI58" s="1541"/>
      <c r="DJ58" s="1541"/>
      <c r="DK58" s="1541"/>
      <c r="DL58" s="1541"/>
      <c r="DM58" s="1541"/>
      <c r="DN58" s="1541"/>
      <c r="DO58" s="1541"/>
      <c r="DP58" s="1541"/>
      <c r="DQ58" s="1541"/>
      <c r="DR58" s="1541"/>
    </row>
    <row r="59" ht="12.75" x14ac:dyDescent="0.2">
      <c r="A59" s="1541"/>
      <c r="B59" s="1541"/>
      <c r="C59"/>
      <c r="D59" s="130">
        <f>IF(BX$52="Close to Ear","EN 62209-1","EN 62209-2")</f>
        <v/>
      </c>
      <c r="E59" s="130">
        <f>IF(CG59="Close to Ear","2016","2010/A1:2019")</f>
        <v/>
      </c>
      <c r="F59" s="1488" t="inlineStr">
        <is>
          <t>5.1</t>
        </is>
      </c>
      <c r="G59" s="1497"/>
      <c r="H59" s="120">
        <f>BV59</f>
        <v/>
      </c>
      <c r="I59" s="120">
        <f>BW59</f>
        <v/>
      </c>
      <c r="J59" s="687" t="str">
        <f>BT59</f>
        <v>GSM</v>
      </c>
      <c r="K59" s="194">
        <f>BU59</f>
        <v>900</v>
      </c>
      <c r="L59" s="115"/>
      <c r="M59" s="120">
        <f>BZ59</f>
        <v>0</v>
      </c>
      <c r="N59" s="119"/>
      <c r="O59" s="131"/>
      <c r="P59" s="6597"/>
      <c r="Q59" s="131"/>
      <c r="R59" s="131"/>
      <c r="S59" s="120">
        <f>CG59</f>
        <v>0</v>
      </c>
      <c r="T59" s="120">
        <f>CC59</f>
        <v>124</v>
      </c>
      <c r="U59" s="120">
        <f>CD59</f>
        <v>914.8</v>
      </c>
      <c r="V59" s="119"/>
      <c r="W59" s="197">
        <f>CK59*100</f>
        <v/>
      </c>
      <c r="X59" s="119"/>
      <c r="Y59" s="119"/>
      <c r="Z59" s="119"/>
      <c r="AA59" s="115"/>
      <c r="AB59" s="115"/>
      <c r="AC59" s="689">
        <f>IF(OR(BX$52="Close to Ear",BX$52="Close to Head"),"Head",IF(BX$52="Extremity","Extremity","Body"))</f>
        <v/>
      </c>
      <c r="AD59" s="690">
        <f>CA59</f>
        <v/>
      </c>
      <c r="AE59" s="688">
        <f>CB59</f>
        <v/>
      </c>
      <c r="AF59" s="115"/>
      <c r="AG59" s="808">
        <f>IF(AZ59="","N/A",IF(CQ59="Pass","P","F"))</f>
        <v/>
      </c>
      <c r="AH59" s="129"/>
      <c r="AI59" s="129"/>
      <c r="AJ59" s="129"/>
      <c r="AK59" s="119"/>
      <c r="AL59" s="115"/>
      <c r="AM59" s="119"/>
      <c r="AN59" s="119"/>
      <c r="AO59" s="692"/>
      <c r="AP59" s="692"/>
      <c r="AQ59" s="692"/>
      <c r="AR59" s="692"/>
      <c r="AS59" s="692"/>
      <c r="AT59" s="691">
        <f>CE59</f>
        <v/>
      </c>
      <c r="AU59" s="691">
        <f>CF59</f>
        <v/>
      </c>
      <c r="AV59" s="813"/>
      <c r="AW59" s="813"/>
      <c r="AX59" s="197">
        <f>CZ59</f>
        <v/>
      </c>
      <c r="AY59" s="197">
        <f>DE59</f>
        <v/>
      </c>
      <c r="AZ59" s="3379">
        <f>CO59</f>
        <v/>
      </c>
      <c r="BA59" s="3380"/>
      <c r="BB59" s="197">
        <f>CP59</f>
        <v/>
      </c>
      <c r="BC59" s="813"/>
      <c r="BD59" s="197">
        <f>CR59</f>
        <v/>
      </c>
      <c r="BE59" s="121">
        <f>CS59</f>
        <v/>
      </c>
      <c r="BF59" s="122">
        <f>CT59*60</f>
        <v/>
      </c>
      <c r="BG59" s="121">
        <f>BE59</f>
        <v/>
      </c>
      <c r="BH59" s="122">
        <f>CU59*60</f>
        <v/>
      </c>
      <c r="BI59" s="122">
        <f>CV59</f>
        <v/>
      </c>
      <c r="BJ59" s="117"/>
      <c r="BK59" s="812">
        <f>Overview!$E$7</f>
        <v/>
      </c>
      <c r="BL59" s="117"/>
      <c r="BM59" s="836">
        <f>CW59</f>
        <v/>
      </c>
      <c r="BN59" s="812">
        <f>Overview!$P$153</f>
        <v/>
      </c>
      <c r="BO59" s="117"/>
      <c r="BP59" s="117"/>
      <c r="BQ59" s="115"/>
      <c r="BR59" s="1478" t="inlineStr">
        <is>
          <t>N/A</t>
        </is>
      </c>
      <c r="BS59" s="1548"/>
      <c r="BT59" s="1783" t="inlineStr">
        <is>
          <t>GSM</t>
        </is>
      </c>
      <c r="BU59" s="1783">
        <v>900</v>
      </c>
      <c r="BV59" s="400">
        <f>Overview!$H$29</f>
        <v/>
      </c>
      <c r="BW59" s="2010"/>
      <c r="BX59" s="1800"/>
      <c r="BY59" s="2010"/>
      <c r="BZ59" s="2010"/>
      <c r="CA59" s="404" t="str">
        <f>IF(COUNT(CF52:CF57)=0,IF(COUNT(CE52:CE57)=0,"TBD",VLOOKUP(MAX(CE52:CE57),CE52:CI57,5,FALSE)),VLOOKUP(MAX(CF52:CF57),CF52:CI57,4,FALSE))</f>
        <v>TBD</v>
      </c>
      <c r="CB59" s="201">
        <v>5</v>
      </c>
      <c r="CC59" s="1081">
        <f>'2G-3G'!BX20</f>
        <v>124</v>
      </c>
      <c r="CD59" s="1081">
        <f>'2G-3G'!BY20</f>
        <v>914.8</v>
      </c>
      <c r="CE59" s="1874"/>
      <c r="CF59" s="1874"/>
      <c r="CG59" s="388" t="str">
        <f>IF(OR($BY$3="",$BY$3=""),"",$BY$3)</f>
        <v/>
      </c>
      <c r="CH59" s="388">
        <f>BZ59</f>
        <v/>
      </c>
      <c r="CI59" s="388">
        <f>CA59</f>
        <v/>
      </c>
      <c r="CJ59" s="2046"/>
      <c r="CK59" s="2047"/>
      <c r="CL59" s="212">
        <f>IF(CF59=""," ",IF(ABS(CE59-CF59)&lt;=0.125,"Valid","Not valid"))</f>
        <v/>
      </c>
      <c r="CM59" s="213">
        <f> IF(CE59="","",IF(AND(CE59&lt;&gt;"",CF59=""),IF(CE59&gt;=1,"Medir+Sig Max","No"),IF(CF59&lt;&gt;"",IF(CF59&gt;=1,"Medir+Sig Max","No"),"")))</f>
        <v/>
      </c>
      <c r="CN59" s="1794"/>
      <c r="CO59" s="221">
        <f>IF(CK59="",IF(AND(CE59="",CF59=""),"",IF(CF59="",IF(DE59&gt;1,ROUND(DE59*CE59,3),CE59),IF(DE59&gt;1,ROUND(DE59*CF59,3),CF59))),IF(AND(CE59="",CF59=""),"",IF(CF59="",IF(DE59&gt;1,ROUND(DE59*CE59*(1/(CK59)),3),CE59*(1/(CK59))),IF(DE59&gt;1,ROUND(DE59*CF59*(1/(CK59)),3),CF59*(1/(CK59))))))</f>
        <v/>
      </c>
      <c r="CP59" s="2048">
        <f>$CP$3</f>
        <v/>
      </c>
      <c r="CQ59" s="1473">
        <f>IF(CO59="","",IF(CO59&gt;CP59,"Fail","Pass"))</f>
        <v/>
      </c>
      <c r="CR59" s="1482">
        <f>IF(AND(MAX(CO52:CO59)=CO59,CO59&lt;&gt;0),COUNT($CR$3:CR58)+1,"")</f>
        <v/>
      </c>
      <c r="CS59" s="1566">
        <f>MyTimestamp(CO59)</f>
        <v/>
      </c>
      <c r="CT59" s="1535">
        <f>IF(CE59="",0,15)+IF(CF59="",0,15)</f>
        <v/>
      </c>
      <c r="CU59" s="1536">
        <f>IF(CT59=0,0,2)</f>
        <v/>
      </c>
      <c r="CV59" s="861" t="inlineStr">
        <is>
          <t>S/02</t>
        </is>
      </c>
      <c r="CW59" s="861" t="inlineStr">
        <is>
          <t>Dasy6</t>
        </is>
      </c>
      <c r="CX59" s="2038"/>
      <c r="CY59" s="2050"/>
      <c r="CZ59" s="1545">
        <f>10^(CJ59/20)*100-100</f>
        <v/>
      </c>
      <c r="DA59" s="1320">
        <f>IF('Tune-Up'!$H$12="","",'Tune-Up'!$H$12)</f>
        <v/>
      </c>
      <c r="DB59" s="696">
        <f>'2G-3G'!BZ20</f>
        <v/>
      </c>
      <c r="DC59" s="798">
        <f>IF(DA59="","",10^(DA59/10))</f>
        <v/>
      </c>
      <c r="DD59" s="1364">
        <f>IF(ISNUMBER(DB59)=FALSE,"",10^(DB59/10))</f>
        <v/>
      </c>
      <c r="DE59" s="1545">
        <f>IF(AND(ISNUMBER(DC59),ISNUMBER(DD59)),IF(DC59/DD59&gt;1,ROUND((DC59)/DD59,3),1),1)</f>
        <v/>
      </c>
      <c r="DF59" s="1541"/>
      <c r="DG59" s="1541"/>
      <c r="DH59" s="1541"/>
      <c r="DI59" s="1541"/>
      <c r="DJ59" s="1541"/>
      <c r="DK59" s="1541"/>
      <c r="DL59" s="1541"/>
      <c r="DM59" s="1541"/>
      <c r="DN59" s="1541"/>
      <c r="DO59" s="1541"/>
      <c r="DP59" s="1541"/>
      <c r="DQ59" s="1541"/>
      <c r="DR59" s="1541"/>
    </row>
    <row r="60" ht="12.75" x14ac:dyDescent="0.2">
      <c r="A60" s="1541"/>
      <c r="B60" s="1541"/>
      <c r="C60"/>
      <c r="D60" s="130">
        <f>IF(BX$52="Close to Ear","EN 62209-1","EN 62209-2")</f>
        <v/>
      </c>
      <c r="E60" s="130">
        <f>IF(CG60="Close to Ear","2016","2010/A1:2019")</f>
        <v/>
      </c>
      <c r="F60" s="1488" t="inlineStr">
        <is>
          <t>5.1</t>
        </is>
      </c>
      <c r="G60" s="1497"/>
      <c r="H60" s="120">
        <f>BV60</f>
        <v/>
      </c>
      <c r="I60" s="120">
        <f>BW60</f>
        <v/>
      </c>
      <c r="J60" s="687">
        <f>BT60</f>
        <v/>
      </c>
      <c r="K60" s="194">
        <f>BU60</f>
        <v/>
      </c>
      <c r="L60" s="115"/>
      <c r="M60" s="120">
        <f>BZ60</f>
        <v/>
      </c>
      <c r="N60" s="119"/>
      <c r="O60" s="131"/>
      <c r="P60" s="6597"/>
      <c r="Q60" s="131"/>
      <c r="R60" s="131"/>
      <c r="S60" s="120">
        <f>CG60</f>
        <v/>
      </c>
      <c r="T60" s="120">
        <f>CC60</f>
        <v/>
      </c>
      <c r="U60" s="120">
        <f>CD60</f>
        <v/>
      </c>
      <c r="V60" s="119"/>
      <c r="W60" s="197">
        <f>CK60*100</f>
        <v/>
      </c>
      <c r="X60" s="119"/>
      <c r="Y60" s="119"/>
      <c r="Z60" s="119"/>
      <c r="AA60" s="115"/>
      <c r="AB60" s="115"/>
      <c r="AC60" s="689">
        <f>IF(OR(BX$52="Close to Ear",BX$52="Close to Head"),"Head",IF(BX$52="Extremity","Extremity","Body"))</f>
        <v/>
      </c>
      <c r="AD60" s="690">
        <f>CA60</f>
        <v/>
      </c>
      <c r="AE60" s="688">
        <f>CB60</f>
        <v/>
      </c>
      <c r="AF60" s="115"/>
      <c r="AG60" s="808">
        <f>IF(AZ60="","N/A",IF(CQ60="Pass","P","F"))</f>
        <v/>
      </c>
      <c r="AH60" s="129"/>
      <c r="AI60" s="129"/>
      <c r="AJ60" s="129"/>
      <c r="AK60" s="119"/>
      <c r="AL60" s="115"/>
      <c r="AM60" s="119"/>
      <c r="AN60" s="119"/>
      <c r="AO60" s="692"/>
      <c r="AP60" s="692"/>
      <c r="AQ60" s="692"/>
      <c r="AR60" s="692"/>
      <c r="AS60" s="692"/>
      <c r="AT60" s="691">
        <f>CE60</f>
        <v/>
      </c>
      <c r="AU60" s="691">
        <f>CF60</f>
        <v/>
      </c>
      <c r="AV60" s="813"/>
      <c r="AW60" s="813"/>
      <c r="AX60" s="197">
        <f>CZ60</f>
        <v/>
      </c>
      <c r="AY60" s="197">
        <f>DE60</f>
        <v/>
      </c>
      <c r="AZ60" s="3379">
        <f>CO60</f>
        <v/>
      </c>
      <c r="BA60" s="3380"/>
      <c r="BB60" s="197">
        <f>CP60</f>
        <v/>
      </c>
      <c r="BC60" s="813"/>
      <c r="BD60" s="197">
        <f>CR60</f>
        <v/>
      </c>
      <c r="BE60" s="121">
        <f>CS60</f>
        <v/>
      </c>
      <c r="BF60" s="122">
        <f>CT60*60</f>
        <v/>
      </c>
      <c r="BG60" s="121">
        <f>BE60</f>
        <v/>
      </c>
      <c r="BH60" s="122">
        <f>CU60*60</f>
        <v/>
      </c>
      <c r="BI60" s="122">
        <f>CV60</f>
        <v/>
      </c>
      <c r="BJ60" s="117"/>
      <c r="BK60" s="812">
        <f>Overview!$E$7</f>
        <v/>
      </c>
      <c r="BL60" s="117"/>
      <c r="BM60" s="836">
        <f>CW60</f>
        <v/>
      </c>
      <c r="BN60" s="812">
        <f>Overview!$P$153</f>
        <v/>
      </c>
      <c r="BO60" s="117"/>
      <c r="BP60" s="117"/>
      <c r="BQ60" s="115"/>
      <c r="BR60" s="1478" t="inlineStr">
        <is>
          <t>N/A</t>
        </is>
      </c>
      <c r="BS60" s="1548"/>
      <c r="BT60" s="1783" t="inlineStr">
        <is>
          <t>GSM</t>
        </is>
      </c>
      <c r="BU60" s="1783">
        <v>900</v>
      </c>
      <c r="BV60" s="400">
        <f>Overview!$H$29</f>
        <v/>
      </c>
      <c r="BW60" s="2010"/>
      <c r="BX60" s="1800"/>
      <c r="BY60" s="2010"/>
      <c r="BZ60" s="2010"/>
      <c r="CA60" s="404" t="str">
        <f>CONCATENATE(CA58," - Battery check 1")</f>
        <v>TBD - Battery check 1</v>
      </c>
      <c r="CB60" s="201">
        <v>5</v>
      </c>
      <c r="CC60" s="1081">
        <f>IF(COUNT($CO$52:$CO$59)=0,"N/A",INDEX($CC$52:$CC$59,MATCH(MAX($CO$52:$CO$59),$CO$52:$CO$59,0)))</f>
        <v/>
      </c>
      <c r="CD60" s="1081">
        <f>IF(COUNT($CO$52:$CO$59)=0,"N/A",INDEX($CD$52:$CD$59,MATCH(MAX($CO$52:$CO$59),$CO$52:$CO$59,0)))</f>
        <v/>
      </c>
      <c r="CE60" s="1874"/>
      <c r="CF60" s="1874"/>
      <c r="CG60" s="388" t="inlineStr">
        <is>
          <t>N/A</t>
        </is>
      </c>
      <c r="CH60" s="388">
        <f>BZ60</f>
        <v/>
      </c>
      <c r="CI60" s="388">
        <f>CA60</f>
        <v/>
      </c>
      <c r="CJ60" s="2046"/>
      <c r="CK60" s="2047"/>
      <c r="CL60" s="212">
        <f>IF(CF60=""," ",IF(ABS(CE60-CF60)&lt;=0.125,"Valid","Not valid"))</f>
        <v/>
      </c>
      <c r="CM60" s="213">
        <f> IF(CE60="","",IF(AND(CE60&lt;&gt;"",CF60=""),IF(CE60&gt;=1,"Medir+Sig Max","No"),IF(CF60&lt;&gt;"",IF(CF60&gt;=1,"Medir+Sig Max","No"),"")))</f>
        <v/>
      </c>
      <c r="CN60" s="1794"/>
      <c r="CO60" s="221">
        <f>IF(CK60="",IF(AND(CE60="",CF60=""),"",IF(CF60="",IF(DE60&gt;1,ROUND(DE60*CE60,3),CE60),IF(DE60&gt;1,ROUND(DE60*CF60,3),CF60))),IF(AND(CE60="",CF60=""),"",IF(CF60="",IF(DE60&gt;1,ROUND(DE60*CE60*(1/(CK60)),3),CE60*(1/(CK60))),IF(DE60&gt;1,ROUND(DE60*CF60*(1/(CK60)),3),CF60*(1/(CK60))))))</f>
        <v/>
      </c>
      <c r="CP60" s="2048">
        <f>$CP$3</f>
        <v/>
      </c>
      <c r="CQ60" s="1473">
        <f>IF(CO60="","",IF(CO60&gt;CP60,"Fail","Pass"))</f>
        <v/>
      </c>
      <c r="CR60" s="1482">
        <f>IF(CO60&lt;&gt;"",MAX($CR$3:CR59)+1,"")</f>
        <v/>
      </c>
      <c r="CS60" s="1566">
        <f>MyTimestamp(CQ60)</f>
        <v/>
      </c>
      <c r="CT60" s="1535">
        <f>IF(COUNT(CE60:CF60)=1,15,IF(COUNT(CE60:CF60)=0,0,30))</f>
        <v/>
      </c>
      <c r="CU60" s="1536">
        <f>IF(CT60=0,0,2)</f>
        <v/>
      </c>
      <c r="CV60" s="861" t="inlineStr">
        <is>
          <t>S/02</t>
        </is>
      </c>
      <c r="CW60" s="861" t="inlineStr">
        <is>
          <t>Dasy6</t>
        </is>
      </c>
      <c r="CX60" s="2038"/>
      <c r="CY60" s="2050"/>
      <c r="CZ60" s="1545">
        <f>10^(CJ60/20)*100-100</f>
        <v/>
      </c>
      <c r="DA60" s="1320">
        <f>IF('Tune-Up'!$H$12="","",'Tune-Up'!$H$12)</f>
        <v/>
      </c>
      <c r="DB60" s="696">
        <f>IF(COUNT($CO$52:$CO$59)=0,"N/A",IFERROR(INDEX($DB$52:$DB$59,MATCH(MAX($CO$52:$CO$59),$CO$52:$CO$59,0)),"N/A"))</f>
        <v/>
      </c>
      <c r="DC60" s="798">
        <f>IF(DA60="","",10^(DA60/10))</f>
        <v/>
      </c>
      <c r="DD60" s="1364">
        <f>IF(ISNUMBER(DB60)=FALSE,"N/A",10^(DB60/10))</f>
        <v/>
      </c>
      <c r="DE60" s="1545">
        <f>IF(AND(ISNUMBER(DC60),ISNUMBER(DD60)),IF(DC60/DD60&gt;1,ROUND((DC60)/DD60,3),1),1)</f>
        <v/>
      </c>
      <c r="DF60" s="1541"/>
      <c r="DG60" s="1541"/>
      <c r="DH60" s="1541"/>
      <c r="DI60" s="1541"/>
      <c r="DJ60" s="1541"/>
      <c r="DK60" s="1541"/>
      <c r="DL60" s="1541"/>
      <c r="DM60" s="1541"/>
      <c r="DN60" s="1541"/>
      <c r="DO60" s="1541"/>
      <c r="DP60" s="1541"/>
      <c r="DQ60" s="1541"/>
      <c r="DR60" s="1541"/>
    </row>
    <row r="61" ht="12.75" x14ac:dyDescent="0.2">
      <c r="A61" s="1541"/>
      <c r="B61" s="1541"/>
      <c r="C61"/>
      <c r="D61" s="130">
        <f>IF(BX$52="Close to Ear","EN 62209-1","EN 62209-2")</f>
        <v/>
      </c>
      <c r="E61" s="130">
        <f>IF(CG61="Close to Ear","2016","2010/A1:2019")</f>
        <v/>
      </c>
      <c r="F61" s="1488" t="inlineStr">
        <is>
          <t>5.1</t>
        </is>
      </c>
      <c r="G61" s="1497"/>
      <c r="H61" s="120">
        <f>BV61</f>
        <v/>
      </c>
      <c r="I61" s="120">
        <f>BW61</f>
        <v/>
      </c>
      <c r="J61" s="687">
        <f>BT61</f>
        <v/>
      </c>
      <c r="K61" s="194">
        <f>BU61</f>
        <v/>
      </c>
      <c r="L61" s="115"/>
      <c r="M61" s="120">
        <f>BZ61</f>
        <v/>
      </c>
      <c r="N61" s="119"/>
      <c r="O61" s="131"/>
      <c r="P61" s="6597"/>
      <c r="Q61" s="131"/>
      <c r="R61" s="131"/>
      <c r="S61" s="120">
        <f>CG61</f>
        <v/>
      </c>
      <c r="T61" s="120">
        <f>CC61</f>
        <v/>
      </c>
      <c r="U61" s="120">
        <f>CD61</f>
        <v/>
      </c>
      <c r="V61" s="119"/>
      <c r="W61" s="197">
        <f>CK61*100</f>
        <v/>
      </c>
      <c r="X61" s="119"/>
      <c r="Y61" s="119"/>
      <c r="Z61" s="119"/>
      <c r="AA61" s="115"/>
      <c r="AB61" s="115"/>
      <c r="AC61" s="689">
        <f>IF(OR(BX$52="Close to Ear",BX$52="Close to Head"),"Head",IF(BX$52="Extremity","Extremity","Body"))</f>
        <v/>
      </c>
      <c r="AD61" s="690">
        <f>CA61</f>
        <v/>
      </c>
      <c r="AE61" s="688">
        <f>CB61</f>
        <v/>
      </c>
      <c r="AF61" s="115"/>
      <c r="AG61" s="808">
        <f>IF(AZ61="","N/A",IF(CQ61="Pass","P","F"))</f>
        <v/>
      </c>
      <c r="AH61" s="129"/>
      <c r="AI61" s="129"/>
      <c r="AJ61" s="129"/>
      <c r="AK61" s="119"/>
      <c r="AL61" s="115"/>
      <c r="AM61" s="119"/>
      <c r="AN61" s="119"/>
      <c r="AO61" s="692"/>
      <c r="AP61" s="692"/>
      <c r="AQ61" s="692"/>
      <c r="AR61" s="692"/>
      <c r="AS61" s="692"/>
      <c r="AT61" s="691">
        <f>CE61</f>
        <v/>
      </c>
      <c r="AU61" s="691">
        <f>CF61</f>
        <v/>
      </c>
      <c r="AV61" s="813"/>
      <c r="AW61" s="813"/>
      <c r="AX61" s="197">
        <f>CZ61</f>
        <v/>
      </c>
      <c r="AY61" s="197">
        <f>DE61</f>
        <v/>
      </c>
      <c r="AZ61" s="3379">
        <f>CO61</f>
        <v/>
      </c>
      <c r="BA61" s="3380"/>
      <c r="BB61" s="197">
        <f>CP61</f>
        <v/>
      </c>
      <c r="BC61" s="813"/>
      <c r="BD61" s="197">
        <f>CR61</f>
        <v/>
      </c>
      <c r="BE61" s="121">
        <f>CS61</f>
        <v/>
      </c>
      <c r="BF61" s="122">
        <f>CT61*60</f>
        <v/>
      </c>
      <c r="BG61" s="121">
        <f>BE61</f>
        <v/>
      </c>
      <c r="BH61" s="122">
        <f>CU61*60</f>
        <v/>
      </c>
      <c r="BI61" s="122">
        <f>CV61</f>
        <v/>
      </c>
      <c r="BJ61" s="117"/>
      <c r="BK61" s="812">
        <f>Overview!$E$7</f>
        <v/>
      </c>
      <c r="BL61" s="117"/>
      <c r="BM61" s="836">
        <f>CW61</f>
        <v/>
      </c>
      <c r="BN61" s="812">
        <f>Overview!$P$153</f>
        <v/>
      </c>
      <c r="BO61" s="117"/>
      <c r="BP61" s="117"/>
      <c r="BQ61" s="115"/>
      <c r="BR61" s="1478" t="inlineStr">
        <is>
          <t>N/A</t>
        </is>
      </c>
      <c r="BS61" s="1548"/>
      <c r="BT61" s="1783" t="inlineStr">
        <is>
          <t>GSM</t>
        </is>
      </c>
      <c r="BU61" s="1783">
        <v>900</v>
      </c>
      <c r="BV61" s="400">
        <f>Overview!$H$29</f>
        <v/>
      </c>
      <c r="BW61" s="2010"/>
      <c r="BX61" s="1800"/>
      <c r="BY61" s="2010"/>
      <c r="BZ61" s="2010"/>
      <c r="CA61" s="404" t="str">
        <f>CONCATENATE(CA59," - Battery check 2")</f>
        <v>TBD - Battery check 2</v>
      </c>
      <c r="CB61" s="201">
        <v>5</v>
      </c>
      <c r="CC61" s="1081">
        <f>IF(COUNT($CO$52:$CO$59)=0,"N/A",INDEX($CC$52:$CC$59,MATCH(MAX($CO$52:$CO$59),$CO$52:$CO$59,0)))</f>
        <v/>
      </c>
      <c r="CD61" s="1081">
        <f>IF(COUNT($CO$52:$CO$59)=0,"N/A",INDEX($CD$52:$CD$59,MATCH(MAX($CO$52:$CO$59),$CO$52:$CO$59,0)))</f>
        <v/>
      </c>
      <c r="CE61" s="1874"/>
      <c r="CF61" s="1874"/>
      <c r="CG61" s="388" t="inlineStr">
        <is>
          <t>N/A</t>
        </is>
      </c>
      <c r="CH61" s="388">
        <f>BZ61</f>
        <v/>
      </c>
      <c r="CI61" s="388">
        <f>CA61</f>
        <v/>
      </c>
      <c r="CJ61" s="2046"/>
      <c r="CK61" s="2047"/>
      <c r="CL61" s="212">
        <f>IF(CF61=""," ",IF(ABS(CE61-CF61)&lt;=0.125,"Valid","Not valid"))</f>
        <v/>
      </c>
      <c r="CM61" s="213">
        <f> IF(CE61="","",IF(AND(CE61&lt;&gt;"",CF61=""),IF(CE61&gt;=1,"Medir+Sig Max","No"),IF(CF61&lt;&gt;"",IF(CF61&gt;=1,"Medir+Sig Max","No"),"")))</f>
        <v/>
      </c>
      <c r="CN61" s="1794"/>
      <c r="CO61" s="221">
        <f>IF(CK61="",IF(AND(CE61="",CF61=""),"",IF(CF61="",IF(DE61&gt;1,ROUND(DE61*CE61,3),CE61),IF(DE61&gt;1,ROUND(DE61*CF61,3),CF61))),IF(AND(CE61="",CF61=""),"",IF(CF61="",IF(DE61&gt;1,ROUND(DE61*CE61*(1/(CK61)),3),CE61*(1/(CK61))),IF(DE61&gt;1,ROUND(DE61*CF61*(1/(CK61)),3),CF61*(1/(CK61))))))</f>
        <v/>
      </c>
      <c r="CP61" s="2048">
        <f>$CP$3</f>
        <v/>
      </c>
      <c r="CQ61" s="1473">
        <f>IF(CO61="","",IF(CO61&gt;CP61,"Fail","Pass"))</f>
        <v/>
      </c>
      <c r="CR61" s="1482">
        <f>IF(CO61&lt;&gt;"",MAX($CR$3:CR60)+1,"")</f>
        <v/>
      </c>
      <c r="CS61" s="1566">
        <f>MyTimestamp(CQ61)</f>
        <v/>
      </c>
      <c r="CT61" s="1535">
        <f>IF(COUNT(CE61:CF61)=1,15,IF(COUNT(CE61:CF61)=0,0,30))</f>
        <v/>
      </c>
      <c r="CU61" s="1536">
        <f>IF(CT61=0,0,2)</f>
        <v/>
      </c>
      <c r="CV61" s="861" t="inlineStr">
        <is>
          <t>S/02</t>
        </is>
      </c>
      <c r="CW61" s="861" t="inlineStr">
        <is>
          <t>Dasy6</t>
        </is>
      </c>
      <c r="CX61" s="2038"/>
      <c r="CY61" s="2050"/>
      <c r="CZ61" s="1545">
        <f>10^(CJ61/20)*100-100</f>
        <v/>
      </c>
      <c r="DA61" s="1320">
        <f>IF('Tune-Up'!$H$12="","",'Tune-Up'!$H$12)</f>
        <v/>
      </c>
      <c r="DB61" s="696">
        <f>IF(COUNT($CO$52:$CO$59)=0,"N/A",IFERROR(INDEX($DB$52:$DB$59,MATCH(MAX($CO$52:$CO$59),$CO$52:$CO$59,0)),"N/A"))</f>
        <v/>
      </c>
      <c r="DC61" s="798">
        <f>IF(DA61="","",10^(DA61/10))</f>
        <v/>
      </c>
      <c r="DD61" s="1364">
        <f>IF(ISNUMBER(DB61)=FALSE,"N/A",10^(DB61/10))</f>
        <v/>
      </c>
      <c r="DE61" s="1545">
        <f>IF(AND(ISNUMBER(DC61),ISNUMBER(DD61)),IF(DC61/DD61&gt;1,ROUND((DC61)/DD61,3),1),1)</f>
        <v/>
      </c>
      <c r="DF61" s="1541"/>
      <c r="DG61" s="1541"/>
      <c r="DH61" s="1541"/>
      <c r="DI61" s="1541"/>
      <c r="DJ61" s="1541"/>
      <c r="DK61" s="1541"/>
      <c r="DL61" s="1541"/>
      <c r="DM61" s="1541"/>
      <c r="DN61" s="1541"/>
      <c r="DO61" s="1541"/>
      <c r="DP61" s="1541"/>
      <c r="DQ61" s="1541"/>
      <c r="DR61" s="1541"/>
    </row>
    <row r="62" ht="12.75" x14ac:dyDescent="0.2">
      <c r="A62" s="1541"/>
      <c r="B62" s="1541"/>
      <c r="C62"/>
      <c r="D62" s="130">
        <f>IF(BX$62="Close to Ear","EN 62209-1","EN 62209-2")</f>
        <v/>
      </c>
      <c r="E62" s="130">
        <f>IF(CG62="Close to Ear","2016","2010/A1:2019")</f>
        <v/>
      </c>
      <c r="F62" s="1488" t="inlineStr">
        <is>
          <t>5.1</t>
        </is>
      </c>
      <c r="G62" s="1497"/>
      <c r="H62" s="120">
        <f>BV62</f>
        <v/>
      </c>
      <c r="I62" s="120">
        <f>BW62</f>
        <v/>
      </c>
      <c r="J62" s="687" t="str">
        <f>BT62</f>
        <v>GSM</v>
      </c>
      <c r="K62" s="194">
        <f>BU62</f>
        <v>900</v>
      </c>
      <c r="L62" s="115"/>
      <c r="M62" s="120">
        <f>BZ62</f>
        <v>0</v>
      </c>
      <c r="N62" s="119"/>
      <c r="O62" s="131"/>
      <c r="P62" s="6597"/>
      <c r="Q62" s="131"/>
      <c r="R62" s="131"/>
      <c r="S62" s="120">
        <f>CG62</f>
        <v>0</v>
      </c>
      <c r="T62" s="120">
        <f>CC62</f>
        <v>37</v>
      </c>
      <c r="U62" s="120">
        <f>CD62</f>
        <v>897.4</v>
      </c>
      <c r="V62" s="119"/>
      <c r="W62" s="197">
        <f>CK62*100</f>
        <v/>
      </c>
      <c r="X62" s="119"/>
      <c r="Y62" s="119"/>
      <c r="Z62" s="119"/>
      <c r="AA62" s="115"/>
      <c r="AB62" s="115"/>
      <c r="AC62" s="689">
        <f>IF(OR(BX$62="Close to Ear",BX$62="Close to Head"),"Head",IF(BX$62="Extremity","Extremity","Body"))</f>
        <v/>
      </c>
      <c r="AD62" s="690">
        <f>CA62</f>
        <v/>
      </c>
      <c r="AE62" s="688">
        <f>CB62</f>
        <v/>
      </c>
      <c r="AF62" s="115"/>
      <c r="AG62" s="808">
        <f>IF(AZ62="","N/A",IF(CQ62="Pass","P","F"))</f>
        <v/>
      </c>
      <c r="AH62" s="129"/>
      <c r="AI62" s="129"/>
      <c r="AJ62" s="129"/>
      <c r="AK62" s="119"/>
      <c r="AL62" s="115"/>
      <c r="AM62" s="119"/>
      <c r="AN62" s="119"/>
      <c r="AO62" s="692"/>
      <c r="AP62" s="692"/>
      <c r="AQ62" s="692"/>
      <c r="AR62" s="692"/>
      <c r="AS62" s="692"/>
      <c r="AT62" s="691">
        <f>CE62</f>
        <v/>
      </c>
      <c r="AU62" s="691">
        <f>CF62</f>
        <v/>
      </c>
      <c r="AV62" s="813"/>
      <c r="AW62" s="813"/>
      <c r="AX62" s="197">
        <f>CZ62</f>
        <v/>
      </c>
      <c r="AY62" s="197">
        <f>DE62</f>
        <v/>
      </c>
      <c r="AZ62" s="3379">
        <f>CO62</f>
        <v/>
      </c>
      <c r="BA62" s="3380"/>
      <c r="BB62" s="197">
        <f>CP62</f>
        <v/>
      </c>
      <c r="BC62" s="813"/>
      <c r="BD62" s="197">
        <f>CR62</f>
        <v/>
      </c>
      <c r="BE62" s="121">
        <f>CS62</f>
        <v/>
      </c>
      <c r="BF62" s="122">
        <f>CT62*60</f>
        <v/>
      </c>
      <c r="BG62" s="121">
        <f>BE62</f>
        <v/>
      </c>
      <c r="BH62" s="122">
        <f>CU62*60</f>
        <v/>
      </c>
      <c r="BI62" s="122">
        <f>CV62</f>
        <v/>
      </c>
      <c r="BJ62" s="117"/>
      <c r="BK62" s="812">
        <f>Overview!$E$7</f>
        <v/>
      </c>
      <c r="BL62" s="117"/>
      <c r="BM62" s="836">
        <f>CW62</f>
        <v/>
      </c>
      <c r="BN62" s="812">
        <f>Overview!$P$153</f>
        <v/>
      </c>
      <c r="BO62" s="117"/>
      <c r="BP62" s="117"/>
      <c r="BQ62" s="115"/>
      <c r="BR62" s="1478" t="inlineStr">
        <is>
          <t>N/A</t>
        </is>
      </c>
      <c r="BS62" s="1548"/>
      <c r="BT62" s="1783" t="inlineStr">
        <is>
          <t>GSM</t>
        </is>
      </c>
      <c r="BU62" s="1783">
        <v>900</v>
      </c>
      <c r="BV62" s="400">
        <f>Overview!$H$29</f>
        <v/>
      </c>
      <c r="BW62" s="2010"/>
      <c r="BX62" s="7672" t="inlineStr">
        <is>
          <t>Body</t>
        </is>
      </c>
      <c r="BY62" s="2040"/>
      <c r="BZ62" s="2040"/>
      <c r="CA62" s="1996" t="inlineStr">
        <is>
          <t>Front Face</t>
        </is>
      </c>
      <c r="CB62" s="202">
        <v>5</v>
      </c>
      <c r="CC62" s="1062">
        <f>'2G-3G'!BX18</f>
        <v>37</v>
      </c>
      <c r="CD62" s="1062">
        <f>'2G-3G'!BY18</f>
        <v>897.4</v>
      </c>
      <c r="CE62" s="1522"/>
      <c r="CF62" s="1522"/>
      <c r="CG62" s="386" t="str">
        <f>IF(OR($BY$3="",$BY$3=""),"",$BY$3)</f>
        <v/>
      </c>
      <c r="CH62" s="386">
        <f>BZ62</f>
        <v/>
      </c>
      <c r="CI62" s="386">
        <f>CA62</f>
        <v/>
      </c>
      <c r="CJ62" s="1526"/>
      <c r="CK62" s="2036"/>
      <c r="CL62" s="203">
        <f>IF(CF62=""," ",IF(ABS(CE62-CF62)&lt;=0.125,"Valid","Not valid"))</f>
        <v/>
      </c>
      <c r="CM62" s="204">
        <f> IF(CE62="","",IF(AND(CE62&lt;&gt;"",CF62=""),IF(CE62&gt;=1,"Medir+Sig Max","No"),IF(CF62&lt;&gt;"",IF(CF62&gt;=1,"Medir+Sig Max","No"),"")))</f>
        <v/>
      </c>
      <c r="CN62" s="1798"/>
      <c r="CO62" s="219">
        <f>IF(CK62="",IF(AND(CE62="",CF62=""),"",IF(CF62="",IF(DE62&gt;1,ROUND(DE62*CE62,3),CE62),IF(DE62&gt;1,ROUND(DE62*CF62,3),CF62))),IF(AND(CE62="",CF62=""),"",IF(CF62="",IF(DE62&gt;1,ROUND(DE62*CE62*(1/(CK62)),3),CE62*(1/(CK62))),IF(DE62&gt;1,ROUND(DE62*CF62*(1/(CK62)),3),CF62*(1/(CK62))))))</f>
        <v/>
      </c>
      <c r="CP62" s="2037">
        <f>$CP$3</f>
        <v/>
      </c>
      <c r="CQ62" s="1471">
        <f>IF(CO62="","",IF(CO62&gt;CP62,"Fail","Pass"))</f>
        <v/>
      </c>
      <c r="CR62" s="1480">
        <f>IF(AND(MAX(CO62:CO69)=CO62,CO62&lt;&gt;0),COUNT($CR$3:CR59)+1,"")</f>
        <v/>
      </c>
      <c r="CS62" s="1564">
        <f>MyTimestamp(CO62)</f>
        <v/>
      </c>
      <c r="CT62" s="1529">
        <f>IF(CE62="",0,15)+IF(CF62="",0,15)</f>
        <v/>
      </c>
      <c r="CU62" s="1530">
        <f>IF(CT62=0,0,2)</f>
        <v/>
      </c>
      <c r="CV62" s="862" t="inlineStr">
        <is>
          <t>S/02</t>
        </is>
      </c>
      <c r="CW62" s="862" t="inlineStr">
        <is>
          <t>Dasy6</t>
        </is>
      </c>
      <c r="CX62" s="2038"/>
      <c r="CY62" s="2039"/>
      <c r="CZ62" s="1542">
        <f>10^(CJ62/20)*100-100</f>
        <v/>
      </c>
      <c r="DA62" s="1318">
        <f>IF('Tune-Up'!$H$12="","",'Tune-Up'!$H$12)</f>
        <v/>
      </c>
      <c r="DB62" s="694">
        <f>'2G-3G'!BZ18</f>
        <v/>
      </c>
      <c r="DC62" s="796">
        <f>IF(DA62="","",10^(DA62/10))</f>
        <v/>
      </c>
      <c r="DD62" s="1362">
        <f>IF(ISNUMBER(DB62)=FALSE,"",10^(DB62/10))</f>
        <v/>
      </c>
      <c r="DE62" s="1542">
        <f>IF(AND(ISNUMBER(DC62),ISNUMBER(DD62)),IF(DC62/DD62&gt;1,ROUND((DC62)/DD62,3),1),1)</f>
        <v/>
      </c>
      <c r="DF62" s="1541"/>
      <c r="DG62" s="1541"/>
      <c r="DH62" s="1541"/>
      <c r="DI62" s="1541"/>
      <c r="DJ62" s="1541"/>
      <c r="DK62" s="1541"/>
      <c r="DL62" s="1541"/>
      <c r="DM62" s="1541"/>
      <c r="DN62" s="1541"/>
      <c r="DO62" s="1541"/>
      <c r="DP62" s="1541"/>
      <c r="DQ62" s="1541"/>
      <c r="DR62" s="1541"/>
    </row>
    <row r="63" ht="12.75" x14ac:dyDescent="0.2">
      <c r="A63" s="1541"/>
      <c r="B63" s="1541"/>
      <c r="C63"/>
      <c r="D63" s="130">
        <f>IF(BX$62="Close to Ear","EN 62209-1","EN 62209-2")</f>
        <v/>
      </c>
      <c r="E63" s="130">
        <f>IF(CG63="Close to Ear","2016","2010/A1:2019")</f>
        <v/>
      </c>
      <c r="F63" s="1488" t="inlineStr">
        <is>
          <t>5.1</t>
        </is>
      </c>
      <c r="G63" s="1497"/>
      <c r="H63" s="120">
        <f>BV63</f>
        <v/>
      </c>
      <c r="I63" s="120">
        <f>BW63</f>
        <v/>
      </c>
      <c r="J63" s="687" t="str">
        <f>BT63</f>
        <v>GSM</v>
      </c>
      <c r="K63" s="194">
        <f>BU63</f>
        <v>900</v>
      </c>
      <c r="L63" s="115"/>
      <c r="M63" s="120">
        <f>BZ63</f>
        <v>0</v>
      </c>
      <c r="N63" s="119"/>
      <c r="O63" s="131"/>
      <c r="P63" s="6597"/>
      <c r="Q63" s="131"/>
      <c r="R63" s="131"/>
      <c r="S63" s="120">
        <f>CG63</f>
        <v>0</v>
      </c>
      <c r="T63" s="120">
        <f>CC63</f>
        <v>37</v>
      </c>
      <c r="U63" s="120">
        <f>CD63</f>
        <v>897.4</v>
      </c>
      <c r="V63" s="119"/>
      <c r="W63" s="197">
        <f>CK63*100</f>
        <v/>
      </c>
      <c r="X63" s="119"/>
      <c r="Y63" s="119"/>
      <c r="Z63" s="119"/>
      <c r="AA63" s="115"/>
      <c r="AB63" s="115"/>
      <c r="AC63" s="689">
        <f>IF(OR(BX$62="Close to Ear",BX$62="Close to Head"),"Head",IF(BX$62="Extremity","Extremity","Body"))</f>
        <v/>
      </c>
      <c r="AD63" s="690">
        <f>CA63</f>
        <v/>
      </c>
      <c r="AE63" s="688">
        <f>CB63</f>
        <v/>
      </c>
      <c r="AF63" s="115"/>
      <c r="AG63" s="808">
        <f>IF(AZ63="","N/A",IF(CQ63="Pass","P","F"))</f>
        <v/>
      </c>
      <c r="AH63" s="129"/>
      <c r="AI63" s="129"/>
      <c r="AJ63" s="129"/>
      <c r="AK63" s="119"/>
      <c r="AL63" s="115"/>
      <c r="AM63" s="119"/>
      <c r="AN63" s="119"/>
      <c r="AO63" s="692"/>
      <c r="AP63" s="692"/>
      <c r="AQ63" s="692"/>
      <c r="AR63" s="692"/>
      <c r="AS63" s="692"/>
      <c r="AT63" s="691">
        <f>CE63</f>
        <v/>
      </c>
      <c r="AU63" s="691">
        <f>CF63</f>
        <v/>
      </c>
      <c r="AV63" s="813"/>
      <c r="AW63" s="813"/>
      <c r="AX63" s="197">
        <f>CZ63</f>
        <v/>
      </c>
      <c r="AY63" s="197">
        <f>DE63</f>
        <v/>
      </c>
      <c r="AZ63" s="3379">
        <f>CO63</f>
        <v/>
      </c>
      <c r="BA63" s="3380"/>
      <c r="BB63" s="197">
        <f>CP63</f>
        <v/>
      </c>
      <c r="BC63" s="813"/>
      <c r="BD63" s="197">
        <f>CR63</f>
        <v/>
      </c>
      <c r="BE63" s="121">
        <f>CS63</f>
        <v/>
      </c>
      <c r="BF63" s="122">
        <f>CT63*60</f>
        <v/>
      </c>
      <c r="BG63" s="121">
        <f>BE63</f>
        <v/>
      </c>
      <c r="BH63" s="122">
        <f>CU63*60</f>
        <v/>
      </c>
      <c r="BI63" s="122">
        <f>CV63</f>
        <v/>
      </c>
      <c r="BJ63" s="117"/>
      <c r="BK63" s="812">
        <f>Overview!$E$7</f>
        <v/>
      </c>
      <c r="BL63" s="117"/>
      <c r="BM63" s="836">
        <f>CW63</f>
        <v/>
      </c>
      <c r="BN63" s="812">
        <f>Overview!$P$153</f>
        <v/>
      </c>
      <c r="BO63" s="117"/>
      <c r="BP63" s="117"/>
      <c r="BQ63" s="115"/>
      <c r="BR63" s="1478" t="inlineStr">
        <is>
          <t>N/A</t>
        </is>
      </c>
      <c r="BS63" s="1548"/>
      <c r="BT63" s="1783" t="inlineStr">
        <is>
          <t>GSM</t>
        </is>
      </c>
      <c r="BU63" s="1783">
        <v>900</v>
      </c>
      <c r="BV63" s="400">
        <f>Overview!$H$29</f>
        <v/>
      </c>
      <c r="BW63" s="2010"/>
      <c r="BX63" s="1783"/>
      <c r="BY63" s="2040"/>
      <c r="BZ63" s="2040"/>
      <c r="CA63" s="1997" t="inlineStr">
        <is>
          <t>Back Face</t>
        </is>
      </c>
      <c r="CB63" s="200">
        <v>5</v>
      </c>
      <c r="CC63" s="1063">
        <f>'2G-3G'!BX18</f>
        <v>37</v>
      </c>
      <c r="CD63" s="1063">
        <f>'2G-3G'!BY18</f>
        <v>897.4</v>
      </c>
      <c r="CE63" s="1523"/>
      <c r="CF63" s="1523"/>
      <c r="CG63" s="387" t="str">
        <f>IF(OR($BY$3="",$BY$3=""),"",$BY$3)</f>
        <v/>
      </c>
      <c r="CH63" s="387">
        <f>BZ63</f>
        <v/>
      </c>
      <c r="CI63" s="387">
        <f>CA63</f>
        <v/>
      </c>
      <c r="CJ63" s="1527"/>
      <c r="CK63" s="2042"/>
      <c r="CL63" s="206">
        <f>IF(CF63=""," ",IF(ABS(CE63-CF63)&lt;=0.125,"Valid","Not valid"))</f>
        <v/>
      </c>
      <c r="CM63" s="207">
        <f> IF(CE63="","",IF(AND(CE63&lt;&gt;"",CF63=""),IF(CE63&gt;=1,"Medir+Sig Max","No"),IF(CF63&lt;&gt;"",IF(CF63&gt;=1,"Medir+Sig Max","No"),"")))</f>
        <v/>
      </c>
      <c r="CN63" s="1787"/>
      <c r="CO63" s="220">
        <f>IF(CK63="",IF(AND(CE63="",CF63=""),"",IF(CF63="",IF(DE63&gt;1,ROUND(DE63*CE63,3),CE63),IF(DE63&gt;1,ROUND(DE63*CF63,3),CF63))),IF(AND(CE63="",CF63=""),"",IF(CF63="",IF(DE63&gt;1,ROUND(DE63*CE63*(1/(CK63)),3),CE63*(1/(CK63))),IF(DE63&gt;1,ROUND(DE63*CF63*(1/(CK63)),3),CF63*(1/(CK63))))))</f>
        <v/>
      </c>
      <c r="CP63" s="2043">
        <f>$CP$3</f>
        <v/>
      </c>
      <c r="CQ63" s="1472">
        <f>IF(CO63="","",IF(CO63&gt;CP63,"Fail","Pass"))</f>
        <v/>
      </c>
      <c r="CR63" s="1481">
        <f>IF(AND(MAX(CO62:CO69)=CO63,CO63&lt;&gt;0),COUNT($CR$3:CR62)+1,"")</f>
        <v/>
      </c>
      <c r="CS63" s="1565">
        <f>MyTimestamp(CO63)</f>
        <v/>
      </c>
      <c r="CT63" s="1531">
        <f>IF(CE63="",0,15)+IF(CF63="",0,15)</f>
        <v/>
      </c>
      <c r="CU63" s="1532">
        <f>IF(CT63=0,0,2)</f>
        <v/>
      </c>
      <c r="CV63" s="859" t="inlineStr">
        <is>
          <t>S/02</t>
        </is>
      </c>
      <c r="CW63" s="859" t="inlineStr">
        <is>
          <t>Dasy6</t>
        </is>
      </c>
      <c r="CX63" s="2038"/>
      <c r="CY63" s="2044"/>
      <c r="CZ63" s="1543">
        <f>10^(CJ63/20)*100-100</f>
        <v/>
      </c>
      <c r="DA63" s="1319">
        <f>IF('Tune-Up'!$H$12="","",'Tune-Up'!$H$12)</f>
        <v/>
      </c>
      <c r="DB63" s="695">
        <f>'2G-3G'!BZ18</f>
        <v/>
      </c>
      <c r="DC63" s="797">
        <f>IF(DA63="","",10^(DA63/10))</f>
        <v/>
      </c>
      <c r="DD63" s="1363">
        <f>IF(ISNUMBER(DB63)=FALSE,"",10^(DB63/10))</f>
        <v/>
      </c>
      <c r="DE63" s="1543">
        <f>IF(AND(ISNUMBER(DC63),ISNUMBER(DD63)),IF(DC63/DD63&gt;1,ROUND((DC63)/DD63,3),1),1)</f>
        <v/>
      </c>
      <c r="DF63" s="1541"/>
      <c r="DG63" s="1541"/>
      <c r="DH63" s="1541"/>
      <c r="DI63" s="1541"/>
      <c r="DJ63" s="1541"/>
      <c r="DK63" s="1541"/>
      <c r="DL63" s="1541"/>
      <c r="DM63" s="1541"/>
      <c r="DN63" s="1541"/>
      <c r="DO63" s="1541"/>
      <c r="DP63" s="1541"/>
      <c r="DQ63" s="1541"/>
      <c r="DR63" s="1541"/>
    </row>
    <row r="64" ht="12.75" x14ac:dyDescent="0.2">
      <c r="A64" s="1541"/>
      <c r="B64" s="1541"/>
      <c r="C64"/>
      <c r="D64" s="130">
        <f>IF(BX$62="Close to Ear","EN 62209-1","EN 62209-2")</f>
        <v/>
      </c>
      <c r="E64" s="130">
        <f>IF(CG64="Close to Ear","2016","2010/A1:2019")</f>
        <v/>
      </c>
      <c r="F64" s="1488" t="inlineStr">
        <is>
          <t>5.1</t>
        </is>
      </c>
      <c r="G64" s="1497"/>
      <c r="H64" s="120">
        <f>BV64</f>
        <v/>
      </c>
      <c r="I64" s="120">
        <f>BW64</f>
        <v/>
      </c>
      <c r="J64" s="687" t="str">
        <f>BT64</f>
        <v>GSM</v>
      </c>
      <c r="K64" s="194">
        <f>BU64</f>
        <v>900</v>
      </c>
      <c r="L64" s="115"/>
      <c r="M64" s="120">
        <f>BZ64</f>
        <v>0</v>
      </c>
      <c r="N64" s="119"/>
      <c r="O64" s="131"/>
      <c r="P64" s="6597"/>
      <c r="Q64" s="131"/>
      <c r="R64" s="131"/>
      <c r="S64" s="120">
        <f>CG64</f>
        <v>0</v>
      </c>
      <c r="T64" s="120">
        <f>CC64</f>
        <v>37</v>
      </c>
      <c r="U64" s="120">
        <f>CD64</f>
        <v>897.4</v>
      </c>
      <c r="V64" s="119"/>
      <c r="W64" s="197">
        <f>CK64*100</f>
        <v/>
      </c>
      <c r="X64" s="119"/>
      <c r="Y64" s="119"/>
      <c r="Z64" s="119"/>
      <c r="AA64" s="115"/>
      <c r="AB64" s="115"/>
      <c r="AC64" s="689">
        <f>IF(OR(BX$62="Close to Ear",BX$62="Close to Head"),"Head",IF(BX$62="Extremity","Extremity","Body"))</f>
        <v/>
      </c>
      <c r="AD64" s="690">
        <f>CA64</f>
        <v/>
      </c>
      <c r="AE64" s="688">
        <f>CB64</f>
        <v/>
      </c>
      <c r="AF64" s="115"/>
      <c r="AG64" s="808">
        <f>IF(AZ64="","N/A",IF(CQ64="Pass","P","F"))</f>
        <v/>
      </c>
      <c r="AH64" s="129"/>
      <c r="AI64" s="129"/>
      <c r="AJ64" s="129"/>
      <c r="AK64" s="119"/>
      <c r="AL64" s="115"/>
      <c r="AM64" s="119"/>
      <c r="AN64" s="119"/>
      <c r="AO64" s="692"/>
      <c r="AP64" s="692"/>
      <c r="AQ64" s="692"/>
      <c r="AR64" s="692"/>
      <c r="AS64" s="692"/>
      <c r="AT64" s="691">
        <f>CE64</f>
        <v/>
      </c>
      <c r="AU64" s="691">
        <f>CF64</f>
        <v/>
      </c>
      <c r="AV64" s="813"/>
      <c r="AW64" s="813"/>
      <c r="AX64" s="197">
        <f>CZ64</f>
        <v/>
      </c>
      <c r="AY64" s="197">
        <f>DE64</f>
        <v/>
      </c>
      <c r="AZ64" s="3379">
        <f>CO64</f>
        <v/>
      </c>
      <c r="BA64" s="3380"/>
      <c r="BB64" s="197">
        <f>CP64</f>
        <v/>
      </c>
      <c r="BC64" s="813"/>
      <c r="BD64" s="197">
        <f>CR64</f>
        <v/>
      </c>
      <c r="BE64" s="121">
        <f>CS64</f>
        <v/>
      </c>
      <c r="BF64" s="122">
        <f>CT64*60</f>
        <v/>
      </c>
      <c r="BG64" s="121">
        <f>BE64</f>
        <v/>
      </c>
      <c r="BH64" s="122">
        <f>CU64*60</f>
        <v/>
      </c>
      <c r="BI64" s="122">
        <f>CV64</f>
        <v/>
      </c>
      <c r="BJ64" s="117"/>
      <c r="BK64" s="812">
        <f>Overview!$E$7</f>
        <v/>
      </c>
      <c r="BL64" s="117"/>
      <c r="BM64" s="836">
        <f>CW64</f>
        <v/>
      </c>
      <c r="BN64" s="812">
        <f>Overview!$P$153</f>
        <v/>
      </c>
      <c r="BO64" s="117"/>
      <c r="BP64" s="117"/>
      <c r="BQ64" s="115"/>
      <c r="BR64" s="1478" t="inlineStr">
        <is>
          <t>N/A</t>
        </is>
      </c>
      <c r="BS64" s="1548"/>
      <c r="BT64" s="1783" t="inlineStr">
        <is>
          <t>GSM</t>
        </is>
      </c>
      <c r="BU64" s="1783">
        <v>900</v>
      </c>
      <c r="BV64" s="400">
        <f>Overview!$H$29</f>
        <v/>
      </c>
      <c r="BW64" s="2010"/>
      <c r="BX64" s="1783"/>
      <c r="BY64" s="2040"/>
      <c r="BZ64" s="2040"/>
      <c r="CA64" s="1997" t="inlineStr">
        <is>
          <t>Left Edge</t>
        </is>
      </c>
      <c r="CB64" s="200">
        <v>5</v>
      </c>
      <c r="CC64" s="1063">
        <f>'2G-3G'!BX18</f>
        <v>37</v>
      </c>
      <c r="CD64" s="1063">
        <f>'2G-3G'!BY18</f>
        <v>897.4</v>
      </c>
      <c r="CE64" s="1523"/>
      <c r="CF64" s="1523"/>
      <c r="CG64" s="387" t="str">
        <f>IF(OR($BY$3="",$BY$3=""),"",$BY$3)</f>
        <v/>
      </c>
      <c r="CH64" s="387">
        <f>BZ64</f>
        <v/>
      </c>
      <c r="CI64" s="387">
        <f>CA64</f>
        <v/>
      </c>
      <c r="CJ64" s="1527"/>
      <c r="CK64" s="2042"/>
      <c r="CL64" s="206">
        <f>IF(CF64=""," ",IF(ABS(CE64-CF64)&lt;=0.125,"Valid","Not valid"))</f>
        <v/>
      </c>
      <c r="CM64" s="207">
        <f> IF(CE64="","",IF(AND(CE64&lt;&gt;"",CF64=""),IF(CE64&gt;=1,"Medir+Sig Max","No"),IF(CF64&lt;&gt;"",IF(CF64&gt;=1,"Medir+Sig Max","No"),"")))</f>
        <v/>
      </c>
      <c r="CN64" s="1787"/>
      <c r="CO64" s="220">
        <f>IF(CK64="",IF(AND(CE64="",CF64=""),"",IF(CF64="",IF(DE64&gt;1,ROUND(DE64*CE64,3),CE64),IF(DE64&gt;1,ROUND(DE64*CF64,3),CF64))),IF(AND(CE64="",CF64=""),"",IF(CF64="",IF(DE64&gt;1,ROUND(DE64*CE64*(1/(CK64)),3),CE64*(1/(CK64))),IF(DE64&gt;1,ROUND(DE64*CF64*(1/(CK64)),3),CF64*(1/(CK64))))))</f>
        <v/>
      </c>
      <c r="CP64" s="2043">
        <f>$CP$3</f>
        <v/>
      </c>
      <c r="CQ64" s="1472">
        <f>IF(CO64="","",IF(CO64&gt;CP64,"Fail","Pass"))</f>
        <v/>
      </c>
      <c r="CR64" s="1481">
        <f>IF(AND(MAX(CO62:CO69)=CO64,CO64&lt;&gt;0),COUNT($CR$3:CR63)+1,"")</f>
        <v/>
      </c>
      <c r="CS64" s="1565">
        <f>MyTimestamp(CO64)</f>
        <v/>
      </c>
      <c r="CT64" s="1531">
        <f>IF(CE64="",0,15)+IF(CF64="",0,15)</f>
        <v/>
      </c>
      <c r="CU64" s="1532">
        <f>IF(CT64=0,0,2)</f>
        <v/>
      </c>
      <c r="CV64" s="859" t="inlineStr">
        <is>
          <t>S/02</t>
        </is>
      </c>
      <c r="CW64" s="859" t="inlineStr">
        <is>
          <t>Dasy6</t>
        </is>
      </c>
      <c r="CX64" s="2038"/>
      <c r="CY64" s="2044"/>
      <c r="CZ64" s="1543">
        <f>10^(CJ64/20)*100-100</f>
        <v/>
      </c>
      <c r="DA64" s="1319">
        <f>IF('Tune-Up'!$H$12="","",'Tune-Up'!$H$12)</f>
        <v/>
      </c>
      <c r="DB64" s="695">
        <f>'2G-3G'!BZ18</f>
        <v/>
      </c>
      <c r="DC64" s="797">
        <f>IF(DA64="","",10^(DA64/10))</f>
        <v/>
      </c>
      <c r="DD64" s="1363">
        <f>IF(ISNUMBER(DB64)=FALSE,"",10^(DB64/10))</f>
        <v/>
      </c>
      <c r="DE64" s="1543">
        <f>IF(AND(ISNUMBER(DC64),ISNUMBER(DD64)),IF(DC64/DD64&gt;1,ROUND((DC64)/DD64,3),1),1)</f>
        <v/>
      </c>
      <c r="DF64" s="1541"/>
      <c r="DG64" s="1541"/>
      <c r="DH64" s="1541"/>
      <c r="DI64" s="1541"/>
      <c r="DJ64" s="1541"/>
      <c r="DK64" s="1541"/>
      <c r="DL64" s="1541"/>
      <c r="DM64" s="1541"/>
      <c r="DN64" s="1541"/>
      <c r="DO64" s="1541"/>
      <c r="DP64" s="1541"/>
      <c r="DQ64" s="1541"/>
      <c r="DR64" s="1541"/>
    </row>
    <row r="65" ht="12.75" x14ac:dyDescent="0.2">
      <c r="A65" s="1541"/>
      <c r="B65" s="1541"/>
      <c r="C65"/>
      <c r="D65" s="130">
        <f>IF(BX$62="Close to Ear","EN 62209-1","EN 62209-2")</f>
        <v/>
      </c>
      <c r="E65" s="130">
        <f>IF(CG65="Close to Ear","2016","2010/A1:2019")</f>
        <v/>
      </c>
      <c r="F65" s="1488" t="inlineStr">
        <is>
          <t>5.1</t>
        </is>
      </c>
      <c r="G65" s="1497"/>
      <c r="H65" s="120">
        <f>BV65</f>
        <v/>
      </c>
      <c r="I65" s="120">
        <f>BW65</f>
        <v/>
      </c>
      <c r="J65" s="687" t="str">
        <f>BT65</f>
        <v>GSM</v>
      </c>
      <c r="K65" s="194">
        <f>BU65</f>
        <v>900</v>
      </c>
      <c r="L65" s="115"/>
      <c r="M65" s="120">
        <f>BZ65</f>
        <v>0</v>
      </c>
      <c r="N65" s="119"/>
      <c r="O65" s="131"/>
      <c r="P65" s="6597"/>
      <c r="Q65" s="131"/>
      <c r="R65" s="131"/>
      <c r="S65" s="120">
        <f>CG65</f>
        <v>0</v>
      </c>
      <c r="T65" s="120">
        <f>CC65</f>
        <v>37</v>
      </c>
      <c r="U65" s="120">
        <f>CD65</f>
        <v>897.4</v>
      </c>
      <c r="V65" s="119"/>
      <c r="W65" s="197">
        <f>CK65*100</f>
        <v/>
      </c>
      <c r="X65" s="119"/>
      <c r="Y65" s="119"/>
      <c r="Z65" s="119"/>
      <c r="AA65" s="115"/>
      <c r="AB65" s="115"/>
      <c r="AC65" s="689">
        <f>IF(OR(BX$62="Close to Ear",BX$62="Close to Head"),"Head",IF(BX$62="Extremity","Extremity","Body"))</f>
        <v/>
      </c>
      <c r="AD65" s="690">
        <f>CA65</f>
        <v/>
      </c>
      <c r="AE65" s="688">
        <f>CB65</f>
        <v/>
      </c>
      <c r="AF65" s="115"/>
      <c r="AG65" s="808">
        <f>IF(AZ65="","N/A",IF(CQ65="Pass","P","F"))</f>
        <v/>
      </c>
      <c r="AH65" s="129"/>
      <c r="AI65" s="129"/>
      <c r="AJ65" s="129"/>
      <c r="AK65" s="119"/>
      <c r="AL65" s="115"/>
      <c r="AM65" s="119"/>
      <c r="AN65" s="119"/>
      <c r="AO65" s="692"/>
      <c r="AP65" s="692"/>
      <c r="AQ65" s="692"/>
      <c r="AR65" s="692"/>
      <c r="AS65" s="692"/>
      <c r="AT65" s="691">
        <f>CE65</f>
        <v/>
      </c>
      <c r="AU65" s="691">
        <f>CF65</f>
        <v/>
      </c>
      <c r="AV65" s="813"/>
      <c r="AW65" s="813"/>
      <c r="AX65" s="197">
        <f>CZ65</f>
        <v/>
      </c>
      <c r="AY65" s="197">
        <f>DE65</f>
        <v/>
      </c>
      <c r="AZ65" s="3379">
        <f>CO65</f>
        <v/>
      </c>
      <c r="BA65" s="3380"/>
      <c r="BB65" s="197">
        <f>CP65</f>
        <v/>
      </c>
      <c r="BC65" s="813"/>
      <c r="BD65" s="197">
        <f>CR65</f>
        <v/>
      </c>
      <c r="BE65" s="121">
        <f>CS65</f>
        <v/>
      </c>
      <c r="BF65" s="122">
        <f>CT65*60</f>
        <v/>
      </c>
      <c r="BG65" s="121">
        <f>BE65</f>
        <v/>
      </c>
      <c r="BH65" s="122">
        <f>CU65*60</f>
        <v/>
      </c>
      <c r="BI65" s="122">
        <f>CV65</f>
        <v/>
      </c>
      <c r="BJ65" s="117"/>
      <c r="BK65" s="812">
        <f>Overview!$E$7</f>
        <v/>
      </c>
      <c r="BL65" s="117"/>
      <c r="BM65" s="836">
        <f>CW65</f>
        <v/>
      </c>
      <c r="BN65" s="812">
        <f>Overview!$P$153</f>
        <v/>
      </c>
      <c r="BO65" s="117"/>
      <c r="BP65" s="117"/>
      <c r="BQ65" s="115"/>
      <c r="BR65" s="1478" t="inlineStr">
        <is>
          <t>N/A</t>
        </is>
      </c>
      <c r="BS65" s="1548"/>
      <c r="BT65" s="1791" t="inlineStr">
        <is>
          <t>GSM</t>
        </is>
      </c>
      <c r="BU65" s="1791">
        <v>900</v>
      </c>
      <c r="BV65" s="403">
        <f>Overview!$H$29</f>
        <v/>
      </c>
      <c r="BW65" s="2010"/>
      <c r="BX65" s="1791"/>
      <c r="BY65" s="2040"/>
      <c r="BZ65" s="2040"/>
      <c r="CA65" s="1997" t="inlineStr">
        <is>
          <t>Right Edge</t>
        </is>
      </c>
      <c r="CB65" s="200">
        <v>5</v>
      </c>
      <c r="CC65" s="1063">
        <f>'2G-3G'!BX18</f>
        <v>37</v>
      </c>
      <c r="CD65" s="1063">
        <f>'2G-3G'!BY18</f>
        <v>897.4</v>
      </c>
      <c r="CE65" s="1523"/>
      <c r="CF65" s="1523"/>
      <c r="CG65" s="387" t="str">
        <f>IF(OR($BY$3="",$BY$3=""),"",$BY$3)</f>
        <v/>
      </c>
      <c r="CH65" s="387">
        <f>BZ65</f>
        <v/>
      </c>
      <c r="CI65" s="387">
        <f>CA65</f>
        <v/>
      </c>
      <c r="CJ65" s="1527"/>
      <c r="CK65" s="2042"/>
      <c r="CL65" s="206">
        <f>IF(CF65=""," ",IF(ABS(CE65-CF65)&lt;=0.125,"Valid","Not valid"))</f>
        <v/>
      </c>
      <c r="CM65" s="207">
        <f> IF(CE65="","",IF(AND(CE65&lt;&gt;"",CF65=""),IF(CE65&gt;=1,"Medir+Sig Max","No"),IF(CF65&lt;&gt;"",IF(CF65&gt;=1,"Medir+Sig Max","No"),"")))</f>
        <v/>
      </c>
      <c r="CN65" s="1787"/>
      <c r="CO65" s="220">
        <f>IF(CK65="",IF(AND(CE65="",CF65=""),"",IF(CF65="",IF(DE65&gt;1,ROUND(DE65*CE65,3),CE65),IF(DE65&gt;1,ROUND(DE65*CF65,3),CF65))),IF(AND(CE65="",CF65=""),"",IF(CF65="",IF(DE65&gt;1,ROUND(DE65*CE65*(1/(CK65)),3),CE65*(1/(CK65))),IF(DE65&gt;1,ROUND(DE65*CF65*(1/(CK65)),3),CF65*(1/(CK65))))))</f>
        <v/>
      </c>
      <c r="CP65" s="2043">
        <f>$CP$3</f>
        <v/>
      </c>
      <c r="CQ65" s="1472">
        <f>IF(CO65="","",IF(CO65&gt;CP65,"Fail","Pass"))</f>
        <v/>
      </c>
      <c r="CR65" s="1481">
        <f>IF(AND(MAX(CO62:CO69)=CO65,CO65&lt;&gt;0),COUNT($CR$3:CR64)+1,"")</f>
        <v/>
      </c>
      <c r="CS65" s="1565">
        <f>MyTimestamp(CO65)</f>
        <v/>
      </c>
      <c r="CT65" s="1531">
        <f>IF(CE65="",0,15)+IF(CF65="",0,15)</f>
        <v/>
      </c>
      <c r="CU65" s="1532">
        <f>IF(CT65=0,0,2)</f>
        <v/>
      </c>
      <c r="CV65" s="859" t="inlineStr">
        <is>
          <t>S/02</t>
        </is>
      </c>
      <c r="CW65" s="859" t="inlineStr">
        <is>
          <t>Dasy6</t>
        </is>
      </c>
      <c r="CX65" s="2038"/>
      <c r="CY65" s="2044"/>
      <c r="CZ65" s="1543">
        <f>10^(CJ65/20)*100-100</f>
        <v/>
      </c>
      <c r="DA65" s="1319">
        <f>IF('Tune-Up'!$H$12="","",'Tune-Up'!$H$12)</f>
        <v/>
      </c>
      <c r="DB65" s="695">
        <f>'2G-3G'!BZ18</f>
        <v/>
      </c>
      <c r="DC65" s="797">
        <f>IF(DA65="","",10^(DA65/10))</f>
        <v/>
      </c>
      <c r="DD65" s="1363">
        <f>IF(ISNUMBER(DB65)=FALSE,"",10^(DB65/10))</f>
        <v/>
      </c>
      <c r="DE65" s="1543">
        <f>IF(AND(ISNUMBER(DC65),ISNUMBER(DD65)),IF(DC65/DD65&gt;1,ROUND((DC65)/DD65,3),1),1)</f>
        <v/>
      </c>
      <c r="DF65" s="1541"/>
      <c r="DG65" s="1541"/>
      <c r="DH65" s="1541"/>
      <c r="DI65" s="1541"/>
      <c r="DJ65" s="1541"/>
      <c r="DK65" s="1541"/>
      <c r="DL65" s="1541"/>
      <c r="DM65" s="1541"/>
      <c r="DN65" s="1541"/>
      <c r="DO65" s="1541"/>
      <c r="DP65" s="1541"/>
      <c r="DQ65" s="1541"/>
      <c r="DR65" s="1541"/>
    </row>
    <row r="66" ht="12.75" x14ac:dyDescent="0.2">
      <c r="A66" s="1541"/>
      <c r="B66" s="1541"/>
      <c r="C66"/>
      <c r="D66" s="130">
        <f>IF(BX$62="Close to Ear","EN 62209-1","EN 62209-2")</f>
        <v/>
      </c>
      <c r="E66" s="130">
        <f>IF(CG66="Close to Ear","2016","2010/A1:2019")</f>
        <v/>
      </c>
      <c r="F66" s="1488" t="inlineStr">
        <is>
          <t>5.1</t>
        </is>
      </c>
      <c r="G66" s="1497"/>
      <c r="H66" s="120">
        <f>BV66</f>
        <v/>
      </c>
      <c r="I66" s="120">
        <f>BW66</f>
        <v/>
      </c>
      <c r="J66" s="687" t="str">
        <f>BT66</f>
        <v>GSM</v>
      </c>
      <c r="K66" s="194">
        <f>BU66</f>
        <v>900</v>
      </c>
      <c r="L66" s="115"/>
      <c r="M66" s="120">
        <f>BZ66</f>
        <v>0</v>
      </c>
      <c r="N66" s="119"/>
      <c r="O66" s="131"/>
      <c r="P66" s="6597"/>
      <c r="Q66" s="131"/>
      <c r="R66" s="131"/>
      <c r="S66" s="120">
        <f>CG66</f>
        <v>0</v>
      </c>
      <c r="T66" s="120">
        <f>CC66</f>
        <v>37</v>
      </c>
      <c r="U66" s="120">
        <f>CD66</f>
        <v>897.4</v>
      </c>
      <c r="V66" s="119"/>
      <c r="W66" s="197">
        <f>CK66*100</f>
        <v/>
      </c>
      <c r="X66" s="119"/>
      <c r="Y66" s="119"/>
      <c r="Z66" s="119"/>
      <c r="AA66" s="115"/>
      <c r="AB66" s="115"/>
      <c r="AC66" s="689">
        <f>IF(OR(BX$62="Close to Ear",BX$62="Close to Head"),"Head",IF(BX$62="Extremity","Extremity","Body"))</f>
        <v/>
      </c>
      <c r="AD66" s="690">
        <f>CA66</f>
        <v/>
      </c>
      <c r="AE66" s="688">
        <f>CB66</f>
        <v/>
      </c>
      <c r="AF66" s="115"/>
      <c r="AG66" s="808">
        <f>IF(AZ66="","N/A",IF(CQ66="Pass","P","F"))</f>
        <v/>
      </c>
      <c r="AH66" s="129"/>
      <c r="AI66" s="129"/>
      <c r="AJ66" s="129"/>
      <c r="AK66" s="119"/>
      <c r="AL66" s="115"/>
      <c r="AM66" s="119"/>
      <c r="AN66" s="119"/>
      <c r="AO66" s="692"/>
      <c r="AP66" s="692"/>
      <c r="AQ66" s="692"/>
      <c r="AR66" s="692"/>
      <c r="AS66" s="692"/>
      <c r="AT66" s="691">
        <f>CE66</f>
        <v/>
      </c>
      <c r="AU66" s="691">
        <f>CF66</f>
        <v/>
      </c>
      <c r="AV66" s="813"/>
      <c r="AW66" s="813"/>
      <c r="AX66" s="197">
        <f>CZ66</f>
        <v/>
      </c>
      <c r="AY66" s="197">
        <f>DE66</f>
        <v/>
      </c>
      <c r="AZ66" s="3379">
        <f>CO66</f>
        <v/>
      </c>
      <c r="BA66" s="3380"/>
      <c r="BB66" s="197">
        <f>CP66</f>
        <v/>
      </c>
      <c r="BC66" s="813"/>
      <c r="BD66" s="197">
        <f>CR66</f>
        <v/>
      </c>
      <c r="BE66" s="121">
        <f>CS66</f>
        <v/>
      </c>
      <c r="BF66" s="122">
        <f>CT66*60</f>
        <v/>
      </c>
      <c r="BG66" s="121">
        <f>BE66</f>
        <v/>
      </c>
      <c r="BH66" s="122">
        <f>CU66*60</f>
        <v/>
      </c>
      <c r="BI66" s="122">
        <f>CV66</f>
        <v/>
      </c>
      <c r="BJ66" s="117"/>
      <c r="BK66" s="812">
        <f>Overview!$E$7</f>
        <v/>
      </c>
      <c r="BL66" s="117"/>
      <c r="BM66" s="836">
        <f>CW66</f>
        <v/>
      </c>
      <c r="BN66" s="812">
        <f>Overview!$P$153</f>
        <v/>
      </c>
      <c r="BO66" s="117"/>
      <c r="BP66" s="117"/>
      <c r="BQ66" s="115"/>
      <c r="BR66" s="1478" t="inlineStr">
        <is>
          <t>N/A</t>
        </is>
      </c>
      <c r="BS66" s="1548"/>
      <c r="BT66" s="1783" t="inlineStr">
        <is>
          <t>GSM</t>
        </is>
      </c>
      <c r="BU66" s="1783">
        <v>900</v>
      </c>
      <c r="BV66" s="400">
        <f>Overview!$H$29</f>
        <v/>
      </c>
      <c r="BW66" s="2010"/>
      <c r="BX66" s="1783"/>
      <c r="BY66" s="2040"/>
      <c r="BZ66" s="2040"/>
      <c r="CA66" s="1997" t="inlineStr">
        <is>
          <t>Top Edge</t>
        </is>
      </c>
      <c r="CB66" s="200">
        <v>5</v>
      </c>
      <c r="CC66" s="1063">
        <f>'2G-3G'!BX18</f>
        <v>37</v>
      </c>
      <c r="CD66" s="1063">
        <f>'2G-3G'!BY18</f>
        <v>897.4</v>
      </c>
      <c r="CE66" s="1523"/>
      <c r="CF66" s="1523"/>
      <c r="CG66" s="387" t="str">
        <f>IF(OR($BY$3="",$BY$3=""),"",$BY$3)</f>
        <v/>
      </c>
      <c r="CH66" s="387">
        <f>BZ66</f>
        <v/>
      </c>
      <c r="CI66" s="387">
        <f>CA66</f>
        <v/>
      </c>
      <c r="CJ66" s="1527"/>
      <c r="CK66" s="2042"/>
      <c r="CL66" s="206">
        <f>IF(CF66=""," ",IF(ABS(CE66-CF66)&lt;=0.125,"Valid","Not valid"))</f>
        <v/>
      </c>
      <c r="CM66" s="207">
        <f> IF(CE66="","",IF(AND(CE66&lt;&gt;"",CF66=""),IF(CE66&gt;=1,"Medir+Sig Max","No"),IF(CF66&lt;&gt;"",IF(CF66&gt;=1,"Medir+Sig Max","No"),"")))</f>
        <v/>
      </c>
      <c r="CN66" s="1787"/>
      <c r="CO66" s="220">
        <f>IF(CK66="",IF(AND(CE66="",CF66=""),"",IF(CF66="",IF(DE66&gt;1,ROUND(DE66*CE66,3),CE66),IF(DE66&gt;1,ROUND(DE66*CF66,3),CF66))),IF(AND(CE66="",CF66=""),"",IF(CF66="",IF(DE66&gt;1,ROUND(DE66*CE66*(1/(CK66)),3),CE66*(1/(CK66))),IF(DE66&gt;1,ROUND(DE66*CF66*(1/(CK66)),3),CF66*(1/(CK66))))))</f>
        <v/>
      </c>
      <c r="CP66" s="2043">
        <f>$CP$3</f>
        <v/>
      </c>
      <c r="CQ66" s="1472">
        <f>IF(CO66="","",IF(CO66&gt;CP66,"Fail","Pass"))</f>
        <v/>
      </c>
      <c r="CR66" s="1481">
        <f>IF(AND(MAX(CO62:CO69)=CO66,CO66&lt;&gt;0),COUNT($CR$3:CR65)+1,"")</f>
        <v/>
      </c>
      <c r="CS66" s="1565">
        <f>MyTimestamp(CO66)</f>
        <v/>
      </c>
      <c r="CT66" s="1531">
        <f>IF(CE66="",0,15)+IF(CF66="",0,15)</f>
        <v/>
      </c>
      <c r="CU66" s="1532">
        <f>IF(CT66=0,0,2)</f>
        <v/>
      </c>
      <c r="CV66" s="859" t="inlineStr">
        <is>
          <t>S/02</t>
        </is>
      </c>
      <c r="CW66" s="859" t="inlineStr">
        <is>
          <t>Dasy6</t>
        </is>
      </c>
      <c r="CX66" s="2038"/>
      <c r="CY66" s="2044"/>
      <c r="CZ66" s="1543">
        <f>10^(CJ66/20)*100-100</f>
        <v/>
      </c>
      <c r="DA66" s="1319">
        <f>IF('Tune-Up'!$H$12="","",'Tune-Up'!$H$12)</f>
        <v/>
      </c>
      <c r="DB66" s="695">
        <f>'2G-3G'!BZ18</f>
        <v/>
      </c>
      <c r="DC66" s="797">
        <f>IF(DA66="","",10^(DA66/10))</f>
        <v/>
      </c>
      <c r="DD66" s="1363">
        <f>IF(ISNUMBER(DB66)=FALSE,"",10^(DB66/10))</f>
        <v/>
      </c>
      <c r="DE66" s="1543">
        <f>IF(AND(ISNUMBER(DC66),ISNUMBER(DD66)),IF(DC66/DD66&gt;1,ROUND((DC66)/DD66,3),1),1)</f>
        <v/>
      </c>
      <c r="DF66" s="1541"/>
      <c r="DG66" s="1541"/>
      <c r="DH66" s="1541"/>
      <c r="DI66" s="1541"/>
      <c r="DJ66" s="1541"/>
      <c r="DK66" s="1541"/>
      <c r="DL66" s="1541"/>
      <c r="DM66" s="1541"/>
      <c r="DN66" s="1541"/>
      <c r="DO66" s="1541"/>
      <c r="DP66" s="1541"/>
      <c r="DQ66" s="1541"/>
      <c r="DR66" s="1541"/>
    </row>
    <row r="67" ht="12.75" x14ac:dyDescent="0.2">
      <c r="A67" s="1541"/>
      <c r="B67" s="1541"/>
      <c r="C67"/>
      <c r="D67" s="130">
        <f>IF(BX$62="Close to Ear","EN 62209-1","EN 62209-2")</f>
        <v/>
      </c>
      <c r="E67" s="130">
        <f>IF(CG67="Close to Ear","2016","2010/A1:2019")</f>
        <v/>
      </c>
      <c r="F67" s="1488" t="inlineStr">
        <is>
          <t>5.1</t>
        </is>
      </c>
      <c r="G67" s="1497"/>
      <c r="H67" s="120">
        <f>BV67</f>
        <v/>
      </c>
      <c r="I67" s="120">
        <f>BW67</f>
        <v/>
      </c>
      <c r="J67" s="687" t="str">
        <f>BT67</f>
        <v>GSM</v>
      </c>
      <c r="K67" s="194">
        <f>BU67</f>
        <v>900</v>
      </c>
      <c r="L67" s="115"/>
      <c r="M67" s="120">
        <f>BZ67</f>
        <v>0</v>
      </c>
      <c r="N67" s="119"/>
      <c r="O67" s="131"/>
      <c r="P67" s="6597"/>
      <c r="Q67" s="131"/>
      <c r="R67" s="131"/>
      <c r="S67" s="120">
        <f>CG67</f>
        <v>0</v>
      </c>
      <c r="T67" s="120">
        <f>CC67</f>
        <v>37</v>
      </c>
      <c r="U67" s="120">
        <f>CD67</f>
        <v>897.4</v>
      </c>
      <c r="V67" s="119"/>
      <c r="W67" s="197">
        <f>CK67*100</f>
        <v/>
      </c>
      <c r="X67" s="119"/>
      <c r="Y67" s="119"/>
      <c r="Z67" s="119"/>
      <c r="AA67" s="115"/>
      <c r="AB67" s="115"/>
      <c r="AC67" s="689">
        <f>IF(OR(BX$62="Close to Ear",BX$62="Close to Head"),"Head",IF(BX$62="Extremity","Extremity","Body"))</f>
        <v/>
      </c>
      <c r="AD67" s="690">
        <f>CA67</f>
        <v/>
      </c>
      <c r="AE67" s="688">
        <f>CB67</f>
        <v/>
      </c>
      <c r="AF67" s="115"/>
      <c r="AG67" s="808">
        <f>IF(AZ67="","N/A",IF(CQ67="Pass","P","F"))</f>
        <v/>
      </c>
      <c r="AH67" s="129"/>
      <c r="AI67" s="129"/>
      <c r="AJ67" s="129"/>
      <c r="AK67" s="119"/>
      <c r="AL67" s="115"/>
      <c r="AM67" s="119"/>
      <c r="AN67" s="119"/>
      <c r="AO67" s="692"/>
      <c r="AP67" s="692"/>
      <c r="AQ67" s="692"/>
      <c r="AR67" s="692"/>
      <c r="AS67" s="692"/>
      <c r="AT67" s="691">
        <f>CE67</f>
        <v/>
      </c>
      <c r="AU67" s="691">
        <f>CF67</f>
        <v/>
      </c>
      <c r="AV67" s="813"/>
      <c r="AW67" s="813"/>
      <c r="AX67" s="197">
        <f>CZ67</f>
        <v/>
      </c>
      <c r="AY67" s="197">
        <f>DE67</f>
        <v/>
      </c>
      <c r="AZ67" s="3379">
        <f>CO67</f>
        <v/>
      </c>
      <c r="BA67" s="3380"/>
      <c r="BB67" s="197">
        <f>CP67</f>
        <v/>
      </c>
      <c r="BC67" s="813"/>
      <c r="BD67" s="197">
        <f>CR67</f>
        <v/>
      </c>
      <c r="BE67" s="121">
        <f>CS67</f>
        <v/>
      </c>
      <c r="BF67" s="122">
        <f>CT67*60</f>
        <v/>
      </c>
      <c r="BG67" s="121">
        <f>BE67</f>
        <v/>
      </c>
      <c r="BH67" s="122">
        <f>CU67*60</f>
        <v/>
      </c>
      <c r="BI67" s="122">
        <f>CV67</f>
        <v/>
      </c>
      <c r="BJ67" s="117"/>
      <c r="BK67" s="812">
        <f>Overview!$E$7</f>
        <v/>
      </c>
      <c r="BL67" s="117"/>
      <c r="BM67" s="836">
        <f>CW67</f>
        <v/>
      </c>
      <c r="BN67" s="812">
        <f>Overview!$P$153</f>
        <v/>
      </c>
      <c r="BO67" s="117"/>
      <c r="BP67" s="117"/>
      <c r="BQ67" s="115"/>
      <c r="BR67" s="1478" t="inlineStr">
        <is>
          <t>N/A</t>
        </is>
      </c>
      <c r="BS67" s="1548"/>
      <c r="BT67" s="1783" t="inlineStr">
        <is>
          <t>GSM</t>
        </is>
      </c>
      <c r="BU67" s="1783">
        <v>900</v>
      </c>
      <c r="BV67" s="400">
        <f>Overview!$H$29</f>
        <v/>
      </c>
      <c r="BW67" s="2010"/>
      <c r="BX67" s="1783"/>
      <c r="BY67" s="2040"/>
      <c r="BZ67" s="2040"/>
      <c r="CA67" s="1997" t="inlineStr">
        <is>
          <t>Bottom Edge</t>
        </is>
      </c>
      <c r="CB67" s="200">
        <v>5</v>
      </c>
      <c r="CC67" s="1063">
        <f>'2G-3G'!BX18</f>
        <v>37</v>
      </c>
      <c r="CD67" s="1063">
        <f>'2G-3G'!BY18</f>
        <v>897.4</v>
      </c>
      <c r="CE67" s="1523"/>
      <c r="CF67" s="1523"/>
      <c r="CG67" s="387" t="str">
        <f>IF(OR($BY$3="",$BY$3=""),"",$BY$3)</f>
        <v/>
      </c>
      <c r="CH67" s="387">
        <f>BZ67</f>
        <v/>
      </c>
      <c r="CI67" s="387">
        <f>CA67</f>
        <v/>
      </c>
      <c r="CJ67" s="1527"/>
      <c r="CK67" s="2042"/>
      <c r="CL67" s="206">
        <f>IF(CF67=""," ",IF(ABS(CE67-CF67)&lt;=0.125,"Valid","Not valid"))</f>
        <v/>
      </c>
      <c r="CM67" s="207">
        <f> IF(CE67="","",IF(AND(CE67&lt;&gt;"",CF67=""),IF(CE67&gt;=1,"Medir+Sig Max","No"),IF(CF67&lt;&gt;"",IF(CF67&gt;=1,"Medir+Sig Max","No"),"")))</f>
        <v/>
      </c>
      <c r="CN67" s="1787"/>
      <c r="CO67" s="220">
        <f>IF(CK67="",IF(AND(CE67="",CF67=""),"",IF(CF67="",IF(DE67&gt;1,ROUND(DE67*CE67,3),CE67),IF(DE67&gt;1,ROUND(DE67*CF67,3),CF67))),IF(AND(CE67="",CF67=""),"",IF(CF67="",IF(DE67&gt;1,ROUND(DE67*CE67*(1/(CK67)),3),CE67*(1/(CK67))),IF(DE67&gt;1,ROUND(DE67*CF67*(1/(CK67)),3),CF67*(1/(CK67))))))</f>
        <v/>
      </c>
      <c r="CP67" s="2043">
        <f>$CP$3</f>
        <v/>
      </c>
      <c r="CQ67" s="1472">
        <f>IF(CO67="","",IF(CO67&gt;CP67,"Fail","Pass"))</f>
        <v/>
      </c>
      <c r="CR67" s="1481">
        <f>IF(AND(MAX(CO62:CO69)=CO67,CO67&lt;&gt;0),COUNT($CR$3:CR66)+1,"")</f>
        <v/>
      </c>
      <c r="CS67" s="1565">
        <f>MyTimestamp(CO67)</f>
        <v/>
      </c>
      <c r="CT67" s="1531">
        <f>IF(CE67="",0,15)+IF(CF67="",0,15)</f>
        <v/>
      </c>
      <c r="CU67" s="1532">
        <f>IF(CT67=0,0,2)</f>
        <v/>
      </c>
      <c r="CV67" s="859" t="inlineStr">
        <is>
          <t>S/02</t>
        </is>
      </c>
      <c r="CW67" s="859" t="inlineStr">
        <is>
          <t>Dasy6</t>
        </is>
      </c>
      <c r="CX67" s="2038"/>
      <c r="CY67" s="2044"/>
      <c r="CZ67" s="1543">
        <f>10^(CJ67/20)*100-100</f>
        <v/>
      </c>
      <c r="DA67" s="1319">
        <f>IF('Tune-Up'!$H$12="","",'Tune-Up'!$H$12)</f>
        <v/>
      </c>
      <c r="DB67" s="695">
        <f>'2G-3G'!BZ18</f>
        <v/>
      </c>
      <c r="DC67" s="797">
        <f>IF(DA67="","",10^(DA67/10))</f>
        <v/>
      </c>
      <c r="DD67" s="1363">
        <f>IF(ISNUMBER(DB67)=FALSE,"",10^(DB67/10))</f>
        <v/>
      </c>
      <c r="DE67" s="1543">
        <f>IF(AND(ISNUMBER(DC67),ISNUMBER(DD67)),IF(DC67/DD67&gt;1,ROUND((DC67)/DD67,3),1),1)</f>
        <v/>
      </c>
      <c r="DF67" s="1541"/>
      <c r="DG67" s="1541"/>
      <c r="DH67" s="1541"/>
      <c r="DI67" s="1541"/>
      <c r="DJ67" s="1541"/>
      <c r="DK67" s="1541"/>
      <c r="DL67" s="1541"/>
      <c r="DM67" s="1541"/>
      <c r="DN67" s="1541"/>
      <c r="DO67" s="1541"/>
      <c r="DP67" s="1541"/>
      <c r="DQ67" s="1541"/>
      <c r="DR67" s="1541"/>
    </row>
    <row r="68" ht="12.75" x14ac:dyDescent="0.2">
      <c r="A68" s="1541"/>
      <c r="B68" s="1541"/>
      <c r="C68"/>
      <c r="D68" s="130">
        <f>IF(BX$62="Close to Ear","EN 62209-1","EN 62209-2")</f>
        <v/>
      </c>
      <c r="E68" s="130">
        <f>IF(CG68="Close to Ear","2016","2010/A1:2019")</f>
        <v/>
      </c>
      <c r="F68" s="1488" t="inlineStr">
        <is>
          <t>5.1</t>
        </is>
      </c>
      <c r="G68" s="1497"/>
      <c r="H68" s="120">
        <f>BV68</f>
        <v/>
      </c>
      <c r="I68" s="120">
        <f>BW68</f>
        <v/>
      </c>
      <c r="J68" s="687" t="str">
        <f>BT68</f>
        <v>GSM</v>
      </c>
      <c r="K68" s="194">
        <f>BU68</f>
        <v>900</v>
      </c>
      <c r="L68" s="115"/>
      <c r="M68" s="120">
        <f>BZ68</f>
        <v>0</v>
      </c>
      <c r="N68" s="119"/>
      <c r="O68" s="131"/>
      <c r="P68" s="6597"/>
      <c r="Q68" s="131"/>
      <c r="R68" s="131"/>
      <c r="S68" s="120">
        <f>CG68</f>
        <v>0</v>
      </c>
      <c r="T68" s="120">
        <f>CC68</f>
        <v>975</v>
      </c>
      <c r="U68" s="120">
        <f>CD68</f>
        <v>880.2</v>
      </c>
      <c r="V68" s="119"/>
      <c r="W68" s="197">
        <f>CK68*100</f>
        <v/>
      </c>
      <c r="X68" s="119"/>
      <c r="Y68" s="119"/>
      <c r="Z68" s="119"/>
      <c r="AA68" s="115"/>
      <c r="AB68" s="115"/>
      <c r="AC68" s="689">
        <f>IF(OR(BX$62="Close to Ear",BX$62="Close to Head"),"Head",IF(BX$62="Extremity","Extremity","Body"))</f>
        <v/>
      </c>
      <c r="AD68" s="690">
        <f>CA68</f>
        <v/>
      </c>
      <c r="AE68" s="688">
        <f>CB68</f>
        <v/>
      </c>
      <c r="AF68" s="115"/>
      <c r="AG68" s="808">
        <f>IF(AZ68="","N/A",IF(CQ68="Pass","P","F"))</f>
        <v/>
      </c>
      <c r="AH68" s="129"/>
      <c r="AI68" s="129"/>
      <c r="AJ68" s="129"/>
      <c r="AK68" s="119"/>
      <c r="AL68" s="115"/>
      <c r="AM68" s="119"/>
      <c r="AN68" s="119"/>
      <c r="AO68" s="692"/>
      <c r="AP68" s="692"/>
      <c r="AQ68" s="692"/>
      <c r="AR68" s="692"/>
      <c r="AS68" s="692"/>
      <c r="AT68" s="691">
        <f>CE68</f>
        <v/>
      </c>
      <c r="AU68" s="691">
        <f>CF68</f>
        <v/>
      </c>
      <c r="AV68" s="813"/>
      <c r="AW68" s="813"/>
      <c r="AX68" s="197">
        <f>CZ68</f>
        <v/>
      </c>
      <c r="AY68" s="197">
        <f>DE68</f>
        <v/>
      </c>
      <c r="AZ68" s="3379">
        <f>CO68</f>
        <v/>
      </c>
      <c r="BA68" s="3380"/>
      <c r="BB68" s="197">
        <f>CP68</f>
        <v/>
      </c>
      <c r="BC68" s="813"/>
      <c r="BD68" s="197">
        <f>CR68</f>
        <v/>
      </c>
      <c r="BE68" s="121">
        <f>CS68</f>
        <v/>
      </c>
      <c r="BF68" s="122">
        <f>CT68*60</f>
        <v/>
      </c>
      <c r="BG68" s="121">
        <f>BE68</f>
        <v/>
      </c>
      <c r="BH68" s="122">
        <f>CU68*60</f>
        <v/>
      </c>
      <c r="BI68" s="122">
        <f>CV68</f>
        <v/>
      </c>
      <c r="BJ68" s="117"/>
      <c r="BK68" s="812">
        <f>Overview!$E$7</f>
        <v/>
      </c>
      <c r="BL68" s="117"/>
      <c r="BM68" s="836">
        <f>CW68</f>
        <v/>
      </c>
      <c r="BN68" s="812">
        <f>Overview!$P$153</f>
        <v/>
      </c>
      <c r="BO68" s="117"/>
      <c r="BP68" s="117"/>
      <c r="BQ68" s="115"/>
      <c r="BR68" s="1478" t="inlineStr">
        <is>
          <t>N/A</t>
        </is>
      </c>
      <c r="BS68" s="1548"/>
      <c r="BT68" s="1783" t="inlineStr">
        <is>
          <t>GSM</t>
        </is>
      </c>
      <c r="BU68" s="1783">
        <v>900</v>
      </c>
      <c r="BV68" s="400">
        <f>Overview!$H$29</f>
        <v/>
      </c>
      <c r="BW68" s="2010"/>
      <c r="BX68" s="1783"/>
      <c r="BY68" s="2040"/>
      <c r="BZ68" s="2040"/>
      <c r="CA68" s="401" t="str">
        <f>IF(COUNT(CF62:CF67)=0,IF(COUNT(CE62:CE67)=0,"TBD",VLOOKUP(MAX(CE62:CE67),CE62:CI67,5,FALSE)),VLOOKUP(MAX(CF62:CF67),CF62:CI67,4,FALSE))</f>
        <v>TBD</v>
      </c>
      <c r="CB68" s="200">
        <v>5</v>
      </c>
      <c r="CC68" s="1063">
        <f>'2G-3G'!BX19</f>
        <v>975</v>
      </c>
      <c r="CD68" s="1063">
        <f>'2G-3G'!BY19</f>
        <v>880.2</v>
      </c>
      <c r="CE68" s="1523"/>
      <c r="CF68" s="1523"/>
      <c r="CG68" s="387" t="str">
        <f>IF(OR($BY$3="",$BY$3=""),"",$BY$3)</f>
        <v/>
      </c>
      <c r="CH68" s="387">
        <f>BZ68</f>
        <v/>
      </c>
      <c r="CI68" s="387">
        <f>CA68</f>
        <v/>
      </c>
      <c r="CJ68" s="1527"/>
      <c r="CK68" s="2042"/>
      <c r="CL68" s="206">
        <f>IF(CF68=""," ",IF(ABS(CE68-CF68)&lt;=0.125,"Valid","Not valid"))</f>
        <v/>
      </c>
      <c r="CM68" s="207">
        <f> IF(CE68="","",IF(AND(CE68&lt;&gt;"",CF68=""),IF(CE68&gt;=1,"Medir+Sig Max","No"),IF(CF68&lt;&gt;"",IF(CF68&gt;=1,"Medir+Sig Max","No"),"")))</f>
        <v/>
      </c>
      <c r="CN68" s="1787"/>
      <c r="CO68" s="220">
        <f>IF(CK68="",IF(AND(CE68="",CF68=""),"",IF(CF68="",IF(DE68&gt;1,ROUND(DE68*CE68,3),CE68),IF(DE68&gt;1,ROUND(DE68*CF68,3),CF68))),IF(AND(CE68="",CF68=""),"",IF(CF68="",IF(DE68&gt;1,ROUND(DE68*CE68*(1/(CK68)),3),CE68*(1/(CK68))),IF(DE68&gt;1,ROUND(DE68*CF68*(1/(CK68)),3),CF68*(1/(CK68))))))</f>
        <v/>
      </c>
      <c r="CP68" s="2043">
        <f>$CP$3</f>
        <v/>
      </c>
      <c r="CQ68" s="1472">
        <f>IF(CO68="","",IF(CO68&gt;CP68,"Fail","Pass"))</f>
        <v/>
      </c>
      <c r="CR68" s="1481">
        <f>IF(AND(MAX(CO62:CO69)=CO68,CO68&lt;&gt;0),COUNT($CR$3:CR67)+1,"")</f>
        <v/>
      </c>
      <c r="CS68" s="1565">
        <f>MyTimestamp(CO68)</f>
        <v/>
      </c>
      <c r="CT68" s="1531">
        <f>IF(CE68="",0,15)+IF(CF68="",0,15)</f>
        <v/>
      </c>
      <c r="CU68" s="1532">
        <f>IF(CT68=0,0,2)</f>
        <v/>
      </c>
      <c r="CV68" s="859" t="inlineStr">
        <is>
          <t>S/02</t>
        </is>
      </c>
      <c r="CW68" s="859" t="inlineStr">
        <is>
          <t>Dasy6</t>
        </is>
      </c>
      <c r="CX68" s="2038"/>
      <c r="CY68" s="2044"/>
      <c r="CZ68" s="1543">
        <f>10^(CJ68/20)*100-100</f>
        <v/>
      </c>
      <c r="DA68" s="1319">
        <f>IF('Tune-Up'!$H$12="","",'Tune-Up'!$H$12)</f>
        <v/>
      </c>
      <c r="DB68" s="695">
        <f>'2G-3G'!BZ19</f>
        <v/>
      </c>
      <c r="DC68" s="797">
        <f>IF(DA68="","",10^(DA68/10))</f>
        <v/>
      </c>
      <c r="DD68" s="1363">
        <f>IF(ISNUMBER(DB68)=FALSE,"",10^(DB68/10))</f>
        <v/>
      </c>
      <c r="DE68" s="1543">
        <f>IF(AND(ISNUMBER(DC68),ISNUMBER(DD68)),IF(DC68/DD68&gt;1,ROUND((DC68)/DD68,3),1),1)</f>
        <v/>
      </c>
      <c r="DF68" s="1541"/>
      <c r="DG68" s="1541"/>
      <c r="DH68" s="1541"/>
      <c r="DI68" s="1541"/>
      <c r="DJ68" s="1541"/>
      <c r="DK68" s="1541"/>
      <c r="DL68" s="1541"/>
      <c r="DM68" s="1541"/>
      <c r="DN68" s="1541"/>
      <c r="DO68" s="1541"/>
      <c r="DP68" s="1541"/>
      <c r="DQ68" s="1541"/>
      <c r="DR68" s="1541"/>
    </row>
    <row r="69" ht="12.75" x14ac:dyDescent="0.2">
      <c r="A69" s="1541"/>
      <c r="B69" s="1541"/>
      <c r="C69"/>
      <c r="D69" s="130">
        <f>IF(BX$62="Close to Ear","EN 62209-1","EN 62209-2")</f>
        <v/>
      </c>
      <c r="E69" s="130">
        <f>IF(CG69="Close to Ear","2016","2010/A1:2019")</f>
        <v/>
      </c>
      <c r="F69" s="1488" t="inlineStr">
        <is>
          <t>5.1</t>
        </is>
      </c>
      <c r="G69" s="1497"/>
      <c r="H69" s="120">
        <f>BV69</f>
        <v/>
      </c>
      <c r="I69" s="120">
        <f>BW69</f>
        <v/>
      </c>
      <c r="J69" s="687" t="str">
        <f>BT69</f>
        <v>GSM</v>
      </c>
      <c r="K69" s="194">
        <f>BU69</f>
        <v>900</v>
      </c>
      <c r="L69" s="115"/>
      <c r="M69" s="120">
        <f>BZ69</f>
        <v>0</v>
      </c>
      <c r="N69" s="119"/>
      <c r="O69" s="131"/>
      <c r="P69" s="6597"/>
      <c r="Q69" s="131"/>
      <c r="R69" s="131"/>
      <c r="S69" s="120">
        <f>CG69</f>
        <v>0</v>
      </c>
      <c r="T69" s="120">
        <f>CC69</f>
        <v>124</v>
      </c>
      <c r="U69" s="120">
        <f>CD69</f>
        <v>914.8</v>
      </c>
      <c r="V69" s="119"/>
      <c r="W69" s="197">
        <f>CK69*100</f>
        <v/>
      </c>
      <c r="X69" s="119"/>
      <c r="Y69" s="119"/>
      <c r="Z69" s="119"/>
      <c r="AA69" s="115"/>
      <c r="AB69" s="115"/>
      <c r="AC69" s="689">
        <f>IF(OR(BX$62="Close to Ear",BX$62="Close to Head"),"Head",IF(BX$62="Extremity","Extremity","Body"))</f>
        <v/>
      </c>
      <c r="AD69" s="690">
        <f>CA69</f>
        <v/>
      </c>
      <c r="AE69" s="688">
        <f>CB69</f>
        <v/>
      </c>
      <c r="AF69" s="115"/>
      <c r="AG69" s="808">
        <f>IF(AZ69="","N/A",IF(CQ69="Pass","P","F"))</f>
        <v/>
      </c>
      <c r="AH69" s="129"/>
      <c r="AI69" s="129"/>
      <c r="AJ69" s="129"/>
      <c r="AK69" s="119"/>
      <c r="AL69" s="115"/>
      <c r="AM69" s="119"/>
      <c r="AN69" s="119"/>
      <c r="AO69" s="692"/>
      <c r="AP69" s="692"/>
      <c r="AQ69" s="692"/>
      <c r="AR69" s="692"/>
      <c r="AS69" s="692"/>
      <c r="AT69" s="691">
        <f>CE69</f>
        <v/>
      </c>
      <c r="AU69" s="691">
        <f>CF69</f>
        <v/>
      </c>
      <c r="AV69" s="813"/>
      <c r="AW69" s="813"/>
      <c r="AX69" s="197">
        <f>CZ69</f>
        <v/>
      </c>
      <c r="AY69" s="197">
        <f>DE69</f>
        <v/>
      </c>
      <c r="AZ69" s="3379">
        <f>CO69</f>
        <v/>
      </c>
      <c r="BA69" s="3380"/>
      <c r="BB69" s="197">
        <f>CP69</f>
        <v/>
      </c>
      <c r="BC69" s="813"/>
      <c r="BD69" s="197">
        <f>CR69</f>
        <v/>
      </c>
      <c r="BE69" s="121">
        <f>CS69</f>
        <v/>
      </c>
      <c r="BF69" s="122">
        <f>CT69*60</f>
        <v/>
      </c>
      <c r="BG69" s="121">
        <f>BE69</f>
        <v/>
      </c>
      <c r="BH69" s="122">
        <f>CU69*60</f>
        <v/>
      </c>
      <c r="BI69" s="122">
        <f>CV69</f>
        <v/>
      </c>
      <c r="BJ69" s="117"/>
      <c r="BK69" s="812">
        <f>Overview!$E$7</f>
        <v/>
      </c>
      <c r="BL69" s="117"/>
      <c r="BM69" s="836">
        <f>CW69</f>
        <v/>
      </c>
      <c r="BN69" s="812">
        <f>Overview!$P$153</f>
        <v/>
      </c>
      <c r="BO69" s="117"/>
      <c r="BP69" s="117"/>
      <c r="BQ69" s="115"/>
      <c r="BR69" s="1478" t="inlineStr">
        <is>
          <t>N/A</t>
        </is>
      </c>
      <c r="BS69" s="1548"/>
      <c r="BT69" s="1783" t="inlineStr">
        <is>
          <t>GSM</t>
        </is>
      </c>
      <c r="BU69" s="1783">
        <v>900</v>
      </c>
      <c r="BV69" s="400">
        <f>Overview!$H$29</f>
        <v/>
      </c>
      <c r="BW69" s="2010"/>
      <c r="BX69" s="1800"/>
      <c r="BY69" s="2040"/>
      <c r="BZ69" s="2040"/>
      <c r="CA69" s="404" t="str">
        <f>IF(COUNT(CF62:CF67)=0,IF(COUNT(CE62:CE67)=0,"TBD",VLOOKUP(MAX(CE62:CE67),CE62:CI67,5,FALSE)),VLOOKUP(MAX(CF62:CF67),CF62:CI67,4,FALSE))</f>
        <v>TBD</v>
      </c>
      <c r="CB69" s="201">
        <v>5</v>
      </c>
      <c r="CC69" s="1081">
        <f>'2G-3G'!BX20</f>
        <v>124</v>
      </c>
      <c r="CD69" s="1081">
        <f>'2G-3G'!BY20</f>
        <v>914.8</v>
      </c>
      <c r="CE69" s="1874"/>
      <c r="CF69" s="1874"/>
      <c r="CG69" s="388" t="str">
        <f>IF(OR($BY$3="",$BY$3=""),"",$BY$3)</f>
        <v/>
      </c>
      <c r="CH69" s="388">
        <f>BZ69</f>
        <v/>
      </c>
      <c r="CI69" s="388">
        <f>CA69</f>
        <v/>
      </c>
      <c r="CJ69" s="2046"/>
      <c r="CK69" s="2047"/>
      <c r="CL69" s="212">
        <f>IF(CF69=""," ",IF(ABS(CE69-CF69)&lt;=0.125,"Valid","Not valid"))</f>
        <v/>
      </c>
      <c r="CM69" s="213">
        <f> IF(CE69="","",IF(AND(CE69&lt;&gt;"",CF69=""),IF(CE69&gt;=1,"Medir+Sig Max","No"),IF(CF69&lt;&gt;"",IF(CF69&gt;=1,"Medir+Sig Max","No"),"")))</f>
        <v/>
      </c>
      <c r="CN69" s="1794"/>
      <c r="CO69" s="221">
        <f>IF(CK69="",IF(AND(CE69="",CF69=""),"",IF(CF69="",IF(DE69&gt;1,ROUND(DE69*CE69,3),CE69),IF(DE69&gt;1,ROUND(DE69*CF69,3),CF69))),IF(AND(CE69="",CF69=""),"",IF(CF69="",IF(DE69&gt;1,ROUND(DE69*CE69*(1/(CK69)),3),CE69*(1/(CK69))),IF(DE69&gt;1,ROUND(DE69*CF69*(1/(CK69)),3),CF69*(1/(CK69))))))</f>
        <v/>
      </c>
      <c r="CP69" s="2048">
        <f>$CP$3</f>
        <v/>
      </c>
      <c r="CQ69" s="1473">
        <f>IF(CO69="","",IF(CO69&gt;CP69,"Fail","Pass"))</f>
        <v/>
      </c>
      <c r="CR69" s="1482">
        <f>IF(AND(MAX(CO62:CO69)=CO69,CO69&lt;&gt;0),COUNT($CR$3:CR68)+1,"")</f>
        <v/>
      </c>
      <c r="CS69" s="1566">
        <f>MyTimestamp(CO69)</f>
        <v/>
      </c>
      <c r="CT69" s="1535">
        <f>IF(CE69="",0,15)+IF(CF69="",0,15)</f>
        <v/>
      </c>
      <c r="CU69" s="1536">
        <f>IF(CT69=0,0,2)</f>
        <v/>
      </c>
      <c r="CV69" s="861" t="inlineStr">
        <is>
          <t>S/02</t>
        </is>
      </c>
      <c r="CW69" s="861" t="inlineStr">
        <is>
          <t>Dasy6</t>
        </is>
      </c>
      <c r="CX69" s="2038"/>
      <c r="CY69" s="2050"/>
      <c r="CZ69" s="1545">
        <f>10^(CJ69/20)*100-100</f>
        <v/>
      </c>
      <c r="DA69" s="1320">
        <f>IF('Tune-Up'!$H$12="","",'Tune-Up'!$H$12)</f>
        <v/>
      </c>
      <c r="DB69" s="696">
        <f>'2G-3G'!BZ20</f>
        <v/>
      </c>
      <c r="DC69" s="798">
        <f>IF(DA69="","",10^(DA69/10))</f>
        <v/>
      </c>
      <c r="DD69" s="1364">
        <f>IF(ISNUMBER(DB69)=FALSE,"",10^(DB69/10))</f>
        <v/>
      </c>
      <c r="DE69" s="1545">
        <f>IF(AND(ISNUMBER(DC69),ISNUMBER(DD69)),IF(DC69/DD69&gt;1,ROUND((DC69)/DD69,3),1),1)</f>
        <v/>
      </c>
      <c r="DF69" s="1541"/>
      <c r="DG69" s="1541"/>
      <c r="DH69" s="1541"/>
      <c r="DI69" s="1541"/>
      <c r="DJ69" s="1541"/>
      <c r="DK69" s="1541"/>
      <c r="DL69" s="1541"/>
      <c r="DM69" s="1541"/>
      <c r="DN69" s="1541"/>
      <c r="DO69" s="1541"/>
      <c r="DP69" s="1541"/>
      <c r="DQ69" s="1541"/>
      <c r="DR69" s="1541"/>
    </row>
    <row r="70" ht="12.75" x14ac:dyDescent="0.2">
      <c r="A70" s="1541"/>
      <c r="B70" s="1541"/>
      <c r="C70"/>
      <c r="D70" s="130">
        <f>IF(BX$62="Close to Ear","EN 62209-1","EN 62209-2")</f>
        <v/>
      </c>
      <c r="E70" s="130">
        <f>IF(CG70="Close to Ear","2016","2010/A1:2019")</f>
        <v/>
      </c>
      <c r="F70" s="1488" t="inlineStr">
        <is>
          <t>5.1</t>
        </is>
      </c>
      <c r="G70" s="1497"/>
      <c r="H70" s="120">
        <f>BV70</f>
        <v/>
      </c>
      <c r="I70" s="120">
        <f>BW70</f>
        <v/>
      </c>
      <c r="J70" s="687">
        <f>BT70</f>
        <v/>
      </c>
      <c r="K70" s="194">
        <f>BU70</f>
        <v/>
      </c>
      <c r="L70" s="115"/>
      <c r="M70" s="120">
        <f>BZ70</f>
        <v/>
      </c>
      <c r="N70" s="119"/>
      <c r="O70" s="131"/>
      <c r="P70" s="6597"/>
      <c r="Q70" s="131"/>
      <c r="R70" s="131"/>
      <c r="S70" s="120">
        <f>CG70</f>
        <v/>
      </c>
      <c r="T70" s="120">
        <f>CC70</f>
        <v/>
      </c>
      <c r="U70" s="120">
        <f>CD70</f>
        <v/>
      </c>
      <c r="V70" s="119"/>
      <c r="W70" s="197">
        <f>CK70*100</f>
        <v/>
      </c>
      <c r="X70" s="119"/>
      <c r="Y70" s="119"/>
      <c r="Z70" s="119"/>
      <c r="AA70" s="115"/>
      <c r="AB70" s="115"/>
      <c r="AC70" s="689">
        <f>IF(OR(BX$62="Close to Ear",BX$62="Close to Head"),"Head",IF(BX$62="Extremity","Extremity","Body"))</f>
        <v/>
      </c>
      <c r="AD70" s="690">
        <f>CA70</f>
        <v/>
      </c>
      <c r="AE70" s="688">
        <f>CB70</f>
        <v/>
      </c>
      <c r="AF70" s="115"/>
      <c r="AG70" s="808">
        <f>IF(AZ70="","N/A",IF(CQ70="Pass","P","F"))</f>
        <v/>
      </c>
      <c r="AH70" s="129"/>
      <c r="AI70" s="129"/>
      <c r="AJ70" s="129"/>
      <c r="AK70" s="119"/>
      <c r="AL70" s="115"/>
      <c r="AM70" s="119"/>
      <c r="AN70" s="119"/>
      <c r="AO70" s="692"/>
      <c r="AP70" s="692"/>
      <c r="AQ70" s="692"/>
      <c r="AR70" s="692"/>
      <c r="AS70" s="692"/>
      <c r="AT70" s="691">
        <f>CE70</f>
        <v/>
      </c>
      <c r="AU70" s="691">
        <f>CF70</f>
        <v/>
      </c>
      <c r="AV70" s="813"/>
      <c r="AW70" s="813"/>
      <c r="AX70" s="197">
        <f>CZ70</f>
        <v/>
      </c>
      <c r="AY70" s="197">
        <f>DE70</f>
        <v/>
      </c>
      <c r="AZ70" s="3379">
        <f>CO70</f>
        <v/>
      </c>
      <c r="BA70" s="3380"/>
      <c r="BB70" s="197">
        <f>CP70</f>
        <v/>
      </c>
      <c r="BC70" s="813"/>
      <c r="BD70" s="197">
        <f>CR70</f>
        <v/>
      </c>
      <c r="BE70" s="121">
        <f>CS70</f>
        <v/>
      </c>
      <c r="BF70" s="122">
        <f>CT70*60</f>
        <v/>
      </c>
      <c r="BG70" s="121">
        <f>BE70</f>
        <v/>
      </c>
      <c r="BH70" s="122">
        <f>CU70*60</f>
        <v/>
      </c>
      <c r="BI70" s="122">
        <f>CV70</f>
        <v/>
      </c>
      <c r="BJ70" s="117"/>
      <c r="BK70" s="812">
        <f>Overview!$E$7</f>
        <v/>
      </c>
      <c r="BL70" s="117"/>
      <c r="BM70" s="836">
        <f>CW70</f>
        <v/>
      </c>
      <c r="BN70" s="812">
        <f>Overview!$P$153</f>
        <v/>
      </c>
      <c r="BO70" s="117"/>
      <c r="BP70" s="117"/>
      <c r="BQ70" s="115"/>
      <c r="BR70" s="1478" t="inlineStr">
        <is>
          <t>N/A</t>
        </is>
      </c>
      <c r="BS70" s="1548"/>
      <c r="BT70" s="1783" t="inlineStr">
        <is>
          <t>GSM</t>
        </is>
      </c>
      <c r="BU70" s="1783">
        <v>900</v>
      </c>
      <c r="BV70" s="400">
        <f>Overview!$H$29</f>
        <v/>
      </c>
      <c r="BW70" s="2010"/>
      <c r="BX70" s="1800"/>
      <c r="BY70" s="2040"/>
      <c r="BZ70" s="2040"/>
      <c r="CA70" s="404" t="str">
        <f>CONCATENATE(CA68," - Battery check 1")</f>
        <v>TBD - Battery check 1</v>
      </c>
      <c r="CB70" s="201">
        <v>5</v>
      </c>
      <c r="CC70" s="1081">
        <f>IF(COUNT($CO$62:$CO$69)=0,"N/A",INDEX($CC$62:$CC$69,MATCH(MAX($CO$62:$CO$69),$CO$62:$CO$69,0)))</f>
        <v/>
      </c>
      <c r="CD70" s="1081">
        <f>IF(COUNT($CO$62:$CO$69)=0,"N/A",INDEX($CD$62:$CD$69,MATCH(MAX($CO$62:$CO$69),$CO$62:$CO$69,0)))</f>
        <v/>
      </c>
      <c r="CE70" s="1874"/>
      <c r="CF70" s="1874"/>
      <c r="CG70" s="388" t="inlineStr">
        <is>
          <t>N/A</t>
        </is>
      </c>
      <c r="CH70" s="388">
        <f>BZ70</f>
        <v/>
      </c>
      <c r="CI70" s="388">
        <f>CA70</f>
        <v/>
      </c>
      <c r="CJ70" s="2046"/>
      <c r="CK70" s="2047"/>
      <c r="CL70" s="212">
        <f>IF(CF70=""," ",IF(ABS(CE70-CF70)&lt;=0.125,"Valid","Not valid"))</f>
        <v/>
      </c>
      <c r="CM70" s="213">
        <f> IF(CE70="","",IF(AND(CE70&lt;&gt;"",CF70=""),IF(CE70&gt;=1,"Medir+Sig Max","No"),IF(CF70&lt;&gt;"",IF(CF70&gt;=1,"Medir+Sig Max","No"),"")))</f>
        <v/>
      </c>
      <c r="CN70" s="1794"/>
      <c r="CO70" s="221">
        <f>IF(CK70="",IF(AND(CE70="",CF70=""),"",IF(CF70="",IF(DE70&gt;1,ROUND(DE70*CE70,3),CE70),IF(DE70&gt;1,ROUND(DE70*CF70,3),CF70))),IF(AND(CE70="",CF70=""),"",IF(CF70="",IF(DE70&gt;1,ROUND(DE70*CE70*(1/(CK70)),3),CE70*(1/(CK70))),IF(DE70&gt;1,ROUND(DE70*CF70*(1/(CK70)),3),CF70*(1/(CK70))))))</f>
        <v/>
      </c>
      <c r="CP70" s="2048">
        <f>$CP$3</f>
        <v/>
      </c>
      <c r="CQ70" s="1473">
        <f>IF(CO70="","",IF(CO70&gt;CP70,"Fail","Pass"))</f>
        <v/>
      </c>
      <c r="CR70" s="1482">
        <f>IF(CO70&lt;&gt;"",MAX($CR$3:CR69)+1,"")</f>
        <v/>
      </c>
      <c r="CS70" s="1566">
        <f>MyTimestamp(CQ70)</f>
        <v/>
      </c>
      <c r="CT70" s="1535">
        <f>IF(COUNT(CE70:CF70)=1,15,IF(COUNT(CE70:CF70)=0,0,30))</f>
        <v/>
      </c>
      <c r="CU70" s="1536">
        <f>IF(CT70=0,0,2)</f>
        <v/>
      </c>
      <c r="CV70" s="861" t="inlineStr">
        <is>
          <t>S/02</t>
        </is>
      </c>
      <c r="CW70" s="861" t="inlineStr">
        <is>
          <t>Dasy6</t>
        </is>
      </c>
      <c r="CX70" s="2038"/>
      <c r="CY70" s="2050"/>
      <c r="CZ70" s="1545">
        <f>10^(CJ70/20)*100-100</f>
        <v/>
      </c>
      <c r="DA70" s="1320">
        <f>IF('Tune-Up'!$H$12="","",'Tune-Up'!$H$12)</f>
        <v/>
      </c>
      <c r="DB70" s="696">
        <f>IF(COUNT($CO$62:$CO$69)=0,"N/A",IFERROR(INDEX($DB$62:$DB$69,MATCH(MAX($CO$62:$CO$69),$CO$62:$CO$69,0)),"N/A"))</f>
        <v/>
      </c>
      <c r="DC70" s="798">
        <f>IF(DA70="","",10^(DA70/10))</f>
        <v/>
      </c>
      <c r="DD70" s="1364">
        <f>IF(ISNUMBER(DB70)=FALSE,"N/A",10^(DB70/10))</f>
        <v/>
      </c>
      <c r="DE70" s="1545">
        <f>IF(AND(ISNUMBER(DC70),ISNUMBER(DD70)),IF(DC70/DD70&gt;1,ROUND((DC70)/DD70,3),1),1)</f>
        <v/>
      </c>
      <c r="DF70" s="1541"/>
      <c r="DG70" s="1541"/>
      <c r="DH70" s="1541"/>
      <c r="DI70" s="1541"/>
      <c r="DJ70" s="1541"/>
      <c r="DK70" s="1541"/>
      <c r="DL70" s="1541"/>
      <c r="DM70" s="1541"/>
      <c r="DN70" s="1541"/>
      <c r="DO70" s="1541"/>
      <c r="DP70" s="1541"/>
      <c r="DQ70" s="1541"/>
      <c r="DR70" s="1541"/>
    </row>
    <row r="71" ht="12.75" x14ac:dyDescent="0.2">
      <c r="A71" s="1541"/>
      <c r="B71" s="1541"/>
      <c r="C71"/>
      <c r="D71" s="130">
        <f>IF(BX$62="Close to Ear","EN 62209-1","EN 62209-2")</f>
        <v/>
      </c>
      <c r="E71" s="130">
        <f>IF(CG71="Close to Ear","2016","2010/A1:2019")</f>
        <v/>
      </c>
      <c r="F71" s="1488" t="inlineStr">
        <is>
          <t>5.1</t>
        </is>
      </c>
      <c r="G71" s="1497"/>
      <c r="H71" s="120">
        <f>BV71</f>
        <v/>
      </c>
      <c r="I71" s="120">
        <f>BW71</f>
        <v/>
      </c>
      <c r="J71" s="687">
        <f>BT71</f>
        <v/>
      </c>
      <c r="K71" s="194">
        <f>BU71</f>
        <v/>
      </c>
      <c r="L71" s="115"/>
      <c r="M71" s="120">
        <f>BZ71</f>
        <v/>
      </c>
      <c r="N71" s="119"/>
      <c r="O71" s="131"/>
      <c r="P71" s="6597"/>
      <c r="Q71" s="131"/>
      <c r="R71" s="131"/>
      <c r="S71" s="120">
        <f>CG71</f>
        <v/>
      </c>
      <c r="T71" s="120">
        <f>CC71</f>
        <v/>
      </c>
      <c r="U71" s="120">
        <f>CD71</f>
        <v/>
      </c>
      <c r="V71" s="119"/>
      <c r="W71" s="197">
        <f>CK71*100</f>
        <v/>
      </c>
      <c r="X71" s="119"/>
      <c r="Y71" s="119"/>
      <c r="Z71" s="119"/>
      <c r="AA71" s="115"/>
      <c r="AB71" s="115"/>
      <c r="AC71" s="689">
        <f>IF(OR(BX$62="Close to Ear",BX$62="Close to Head"),"Head",IF(BX$62="Extremity","Extremity","Body"))</f>
        <v/>
      </c>
      <c r="AD71" s="690">
        <f>CA71</f>
        <v/>
      </c>
      <c r="AE71" s="688">
        <f>CB71</f>
        <v/>
      </c>
      <c r="AF71" s="115"/>
      <c r="AG71" s="808">
        <f>IF(AZ71="","N/A",IF(CQ71="Pass","P","F"))</f>
        <v/>
      </c>
      <c r="AH71" s="129"/>
      <c r="AI71" s="129"/>
      <c r="AJ71" s="129"/>
      <c r="AK71" s="119"/>
      <c r="AL71" s="115"/>
      <c r="AM71" s="119"/>
      <c r="AN71" s="119"/>
      <c r="AO71" s="692"/>
      <c r="AP71" s="692"/>
      <c r="AQ71" s="692"/>
      <c r="AR71" s="692"/>
      <c r="AS71" s="692"/>
      <c r="AT71" s="691">
        <f>CE71</f>
        <v/>
      </c>
      <c r="AU71" s="691">
        <f>CF71</f>
        <v/>
      </c>
      <c r="AV71" s="813"/>
      <c r="AW71" s="813"/>
      <c r="AX71" s="197">
        <f>CZ71</f>
        <v/>
      </c>
      <c r="AY71" s="197">
        <f>DE71</f>
        <v/>
      </c>
      <c r="AZ71" s="3379">
        <f>CO71</f>
        <v/>
      </c>
      <c r="BA71" s="3380"/>
      <c r="BB71" s="197">
        <f>CP71</f>
        <v/>
      </c>
      <c r="BC71" s="813"/>
      <c r="BD71" s="197">
        <f>CR71</f>
        <v/>
      </c>
      <c r="BE71" s="121">
        <f>CS71</f>
        <v/>
      </c>
      <c r="BF71" s="122">
        <f>CT71*60</f>
        <v/>
      </c>
      <c r="BG71" s="121">
        <f>BE71</f>
        <v/>
      </c>
      <c r="BH71" s="122">
        <f>CU71*60</f>
        <v/>
      </c>
      <c r="BI71" s="122">
        <f>CV71</f>
        <v/>
      </c>
      <c r="BJ71" s="117"/>
      <c r="BK71" s="812">
        <f>Overview!$E$7</f>
        <v/>
      </c>
      <c r="BL71" s="117"/>
      <c r="BM71" s="836">
        <f>CW71</f>
        <v/>
      </c>
      <c r="BN71" s="812">
        <f>Overview!$P$153</f>
        <v/>
      </c>
      <c r="BO71" s="117"/>
      <c r="BP71" s="117"/>
      <c r="BQ71" s="115"/>
      <c r="BR71" s="1478" t="inlineStr">
        <is>
          <t>N/A</t>
        </is>
      </c>
      <c r="BS71" s="1548"/>
      <c r="BT71" s="1783" t="inlineStr">
        <is>
          <t>GSM</t>
        </is>
      </c>
      <c r="BU71" s="1783">
        <v>900</v>
      </c>
      <c r="BV71" s="400">
        <f>Overview!$H$29</f>
        <v/>
      </c>
      <c r="BW71" s="2010"/>
      <c r="BX71" s="1800"/>
      <c r="BY71" s="2040"/>
      <c r="BZ71" s="2040"/>
      <c r="CA71" s="404" t="str">
        <f>CONCATENATE(CA69," - Battery check 2")</f>
        <v>TBD - Battery check 2</v>
      </c>
      <c r="CB71" s="201">
        <v>5</v>
      </c>
      <c r="CC71" s="1081">
        <f>IF(COUNT($CO$62:$CO$69)=0,"N/A",INDEX($CC$62:$CC$69,MATCH(MAX($CO$62:$CO$69),$CO$62:$CO$69,0)))</f>
        <v/>
      </c>
      <c r="CD71" s="1081">
        <f>IF(COUNT($CO$62:$CO$69)=0,"N/A",INDEX($CD$62:$CD$69,MATCH(MAX($CO$62:$CO$69),$CO$62:$CO$69,0)))</f>
        <v/>
      </c>
      <c r="CE71" s="1874"/>
      <c r="CF71" s="1874"/>
      <c r="CG71" s="388" t="inlineStr">
        <is>
          <t>N/A</t>
        </is>
      </c>
      <c r="CH71" s="388">
        <f>BZ71</f>
        <v/>
      </c>
      <c r="CI71" s="388">
        <f>CA71</f>
        <v/>
      </c>
      <c r="CJ71" s="2046"/>
      <c r="CK71" s="2047"/>
      <c r="CL71" s="212">
        <f>IF(CF71=""," ",IF(ABS(CE71-CF71)&lt;=0.125,"Valid","Not valid"))</f>
        <v/>
      </c>
      <c r="CM71" s="213">
        <f> IF(CE71="","",IF(AND(CE71&lt;&gt;"",CF71=""),IF(CE71&gt;=1,"Medir+Sig Max","No"),IF(CF71&lt;&gt;"",IF(CF71&gt;=1,"Medir+Sig Max","No"),"")))</f>
        <v/>
      </c>
      <c r="CN71" s="1794"/>
      <c r="CO71" s="221">
        <f>IF(CK71="",IF(AND(CE71="",CF71=""),"",IF(CF71="",IF(DE71&gt;1,ROUND(DE71*CE71,3),CE71),IF(DE71&gt;1,ROUND(DE71*CF71,3),CF71))),IF(AND(CE71="",CF71=""),"",IF(CF71="",IF(DE71&gt;1,ROUND(DE71*CE71*(1/(CK71)),3),CE71*(1/(CK71))),IF(DE71&gt;1,ROUND(DE71*CF71*(1/(CK71)),3),CF71*(1/(CK71))))))</f>
        <v/>
      </c>
      <c r="CP71" s="2048">
        <f>$CP$3</f>
        <v/>
      </c>
      <c r="CQ71" s="1473">
        <f>IF(CO71="","",IF(CO71&gt;CP71,"Fail","Pass"))</f>
        <v/>
      </c>
      <c r="CR71" s="1482">
        <f>IF(CO71&lt;&gt;"",MAX($CR$3:CR70)+1,"")</f>
        <v/>
      </c>
      <c r="CS71" s="1566">
        <f>MyTimestamp(CQ71)</f>
        <v/>
      </c>
      <c r="CT71" s="1535">
        <f>IF(COUNT(CE71:CF71)=1,15,IF(COUNT(CE71:CF71)=0,0,30))</f>
        <v/>
      </c>
      <c r="CU71" s="1536">
        <f>IF(CT71=0,0,2)</f>
        <v/>
      </c>
      <c r="CV71" s="861" t="inlineStr">
        <is>
          <t>S/02</t>
        </is>
      </c>
      <c r="CW71" s="861" t="inlineStr">
        <is>
          <t>Dasy6</t>
        </is>
      </c>
      <c r="CX71" s="2038"/>
      <c r="CY71" s="2050"/>
      <c r="CZ71" s="1545">
        <f>10^(CJ71/20)*100-100</f>
        <v/>
      </c>
      <c r="DA71" s="1320">
        <f>IF('Tune-Up'!$H$12="","",'Tune-Up'!$H$12)</f>
        <v/>
      </c>
      <c r="DB71" s="696">
        <f>IF(COUNT($CO$62:$CO$69)=0,"N/A",IFERROR(INDEX($DB$62:$DB$69,MATCH(MAX($CO$62:$CO$69),$CO$62:$CO$69,0)),"N/A"))</f>
        <v/>
      </c>
      <c r="DC71" s="798">
        <f>IF(DA71="","",10^(DA71/10))</f>
        <v/>
      </c>
      <c r="DD71" s="1364">
        <f>IF(ISNUMBER(DB71)=FALSE,"N/A",10^(DB71/10))</f>
        <v/>
      </c>
      <c r="DE71" s="1545">
        <f>IF(AND(ISNUMBER(DC71),ISNUMBER(DD71)),IF(DC71/DD71&gt;1,ROUND((DC71)/DD71,3),1),1)</f>
        <v/>
      </c>
      <c r="DF71" s="1541"/>
      <c r="DG71" s="1541"/>
      <c r="DH71" s="1541"/>
      <c r="DI71" s="1541"/>
      <c r="DJ71" s="1541"/>
      <c r="DK71" s="1541"/>
      <c r="DL71" s="1541"/>
      <c r="DM71" s="1541"/>
      <c r="DN71" s="1541"/>
      <c r="DO71" s="1541"/>
      <c r="DP71" s="1541"/>
      <c r="DQ71" s="1541"/>
      <c r="DR71" s="1541"/>
    </row>
    <row r="72" ht="12.75" x14ac:dyDescent="0.2">
      <c r="A72" s="1541"/>
      <c r="B72" s="1541"/>
      <c r="C72"/>
      <c r="D72" s="130">
        <f>IF(BX$62="Close to Ear","EN 62209-1","EN 62209-2")</f>
        <v/>
      </c>
      <c r="E72" s="130">
        <f>IF(CG72="Close to Ear","2016","2010/A1:2019")</f>
        <v/>
      </c>
      <c r="F72" s="1488" t="inlineStr">
        <is>
          <t>5.1</t>
        </is>
      </c>
      <c r="G72" s="1497"/>
      <c r="H72" s="120">
        <f>BV72</f>
        <v/>
      </c>
      <c r="I72" s="120">
        <f>BW72</f>
        <v/>
      </c>
      <c r="J72" s="687">
        <f>BT72</f>
        <v/>
      </c>
      <c r="K72" s="194">
        <f>BU72</f>
        <v/>
      </c>
      <c r="L72" s="115"/>
      <c r="M72" s="120">
        <f>BZ72</f>
        <v/>
      </c>
      <c r="N72" s="119"/>
      <c r="O72" s="131"/>
      <c r="P72" s="6597"/>
      <c r="Q72" s="131"/>
      <c r="R72" s="131"/>
      <c r="S72" s="120">
        <f>CG72</f>
        <v/>
      </c>
      <c r="T72" s="120">
        <f>CC72</f>
        <v/>
      </c>
      <c r="U72" s="120">
        <f>CD72</f>
        <v/>
      </c>
      <c r="V72" s="119"/>
      <c r="W72" s="197">
        <f>CK72*100</f>
        <v/>
      </c>
      <c r="X72" s="119"/>
      <c r="Y72" s="119"/>
      <c r="Z72" s="119"/>
      <c r="AA72" s="115"/>
      <c r="AB72" s="115"/>
      <c r="AC72" s="689">
        <f>IF(OR(BX$62="Close to Ear",BX$62="Close to Head"),"Head",IF(BX$62="Extremity","Extremity","Body"))</f>
        <v/>
      </c>
      <c r="AD72" s="690">
        <f>CA72</f>
        <v/>
      </c>
      <c r="AE72" s="688">
        <f>CB72</f>
        <v/>
      </c>
      <c r="AF72" s="115"/>
      <c r="AG72" s="808">
        <f>IF(AZ72="","N/A",IF(CQ72="Pass","P","F"))</f>
        <v/>
      </c>
      <c r="AH72" s="129"/>
      <c r="AI72" s="129"/>
      <c r="AJ72" s="129"/>
      <c r="AK72" s="119"/>
      <c r="AL72" s="115"/>
      <c r="AM72" s="119"/>
      <c r="AN72" s="119"/>
      <c r="AO72" s="692"/>
      <c r="AP72" s="692"/>
      <c r="AQ72" s="692"/>
      <c r="AR72" s="692"/>
      <c r="AS72" s="692"/>
      <c r="AT72" s="691">
        <f>CE72</f>
        <v/>
      </c>
      <c r="AU72" s="691">
        <f>CF72</f>
        <v/>
      </c>
      <c r="AV72" s="813"/>
      <c r="AW72" s="813"/>
      <c r="AX72" s="197">
        <f>CZ72</f>
        <v/>
      </c>
      <c r="AY72" s="197">
        <f>DE72</f>
        <v/>
      </c>
      <c r="AZ72" s="3379">
        <f>CO72</f>
        <v/>
      </c>
      <c r="BA72" s="3380"/>
      <c r="BB72" s="197">
        <f>CP72</f>
        <v/>
      </c>
      <c r="BC72" s="813"/>
      <c r="BD72" s="197">
        <f>CR72</f>
        <v/>
      </c>
      <c r="BE72" s="121">
        <f>CS72</f>
        <v/>
      </c>
      <c r="BF72" s="122">
        <f>CT72*60</f>
        <v/>
      </c>
      <c r="BG72" s="121">
        <f>BE72</f>
        <v/>
      </c>
      <c r="BH72" s="122">
        <f>CU72*60</f>
        <v/>
      </c>
      <c r="BI72" s="122">
        <f>CV72</f>
        <v/>
      </c>
      <c r="BJ72" s="117"/>
      <c r="BK72" s="812">
        <f>Overview!$E$7</f>
        <v/>
      </c>
      <c r="BL72" s="117"/>
      <c r="BM72" s="836">
        <f>CW72</f>
        <v/>
      </c>
      <c r="BN72" s="812">
        <f>Overview!$P$153</f>
        <v/>
      </c>
      <c r="BO72" s="117"/>
      <c r="BP72" s="117"/>
      <c r="BQ72" s="115"/>
      <c r="BR72" s="1478" t="inlineStr">
        <is>
          <t>N/A</t>
        </is>
      </c>
      <c r="BS72" s="1548"/>
      <c r="BT72" s="1783" t="inlineStr">
        <is>
          <t>GSM</t>
        </is>
      </c>
      <c r="BU72" s="1783">
        <v>900</v>
      </c>
      <c r="BV72" s="400">
        <f>Overview!$H$29</f>
        <v/>
      </c>
      <c r="BW72" s="2010"/>
      <c r="BX72" s="1800"/>
      <c r="BY72" s="2040"/>
      <c r="BZ72" s="2040"/>
      <c r="CA72" s="404" t="inlineStr">
        <is>
          <t>Front Face</t>
        </is>
      </c>
      <c r="CB72" s="201">
        <v>25</v>
      </c>
      <c r="CC72" s="1081">
        <f>IF(COUNT($CO$62:$CO$69)=0,"N/A",INDEX($CC$62:$CC$69,MATCH(MAX($CO$62:$CO$69),$CO$62:$CO$69,0)))</f>
        <v/>
      </c>
      <c r="CD72" s="1081">
        <f>IF(COUNT($CO$62:$CO$69)=0,"N/A",INDEX($CD$62:$CD$69,MATCH(MAX($CO$62:$CO$69),$CO$62:$CO$69,0)))</f>
        <v/>
      </c>
      <c r="CE72" s="1874"/>
      <c r="CF72" s="1874"/>
      <c r="CG72" s="388" t="inlineStr">
        <is>
          <t>N/A</t>
        </is>
      </c>
      <c r="CH72" s="388">
        <f>BZ72</f>
        <v/>
      </c>
      <c r="CI72" s="388">
        <f>CA72</f>
        <v/>
      </c>
      <c r="CJ72" s="2046"/>
      <c r="CK72" s="2047"/>
      <c r="CL72" s="212">
        <f>IF(CF72=""," ",IF(ABS(CE72-CF72)&lt;=0.125,"Valid","Not valid"))</f>
        <v/>
      </c>
      <c r="CM72" s="213">
        <f> IF(CE72="","",IF(AND(CE72&lt;&gt;"",CF72=""),IF(CE72&gt;=1,"Medir+Sig Max","No"),IF(CF72&lt;&gt;"",IF(CF72&gt;=1,"Medir+Sig Max","No"),"")))</f>
        <v/>
      </c>
      <c r="CN72" s="1794"/>
      <c r="CO72" s="221">
        <f>IF(CK72="",IF(AND(CE72="",CF72=""),"",IF(CF72="",IF(DE72&gt;1,ROUND(DE72*CE72,3),CE72),IF(DE72&gt;1,ROUND(DE72*CF72,3),CF72))),IF(AND(CE72="",CF72=""),"",IF(CF72="",IF(DE72&gt;1,ROUND(DE72*CE72*(1/(CK72)),3),CE72*(1/(CK72))),IF(DE72&gt;1,ROUND(DE72*CF72*(1/(CK72)),3),CF72*(1/(CK72))))))</f>
        <v/>
      </c>
      <c r="CP72" s="2048">
        <f>$CP$3</f>
        <v/>
      </c>
      <c r="CQ72" s="1473">
        <f>IF(CO72="","",IF(CO72&gt;CP72,"Fail","Pass"))</f>
        <v/>
      </c>
      <c r="CR72" s="1482">
        <f>IF(CO72&lt;&gt;"",MAX($CR$3:CR71)+1,"")</f>
        <v/>
      </c>
      <c r="CS72" s="1566">
        <f>MyTimestamp(CQ72)</f>
        <v/>
      </c>
      <c r="CT72" s="1535">
        <f>IF(COUNT(CE72:CF72)=1,15,IF(COUNT(CE72:CF72)=0,0,30))</f>
        <v/>
      </c>
      <c r="CU72" s="1536">
        <f>IF(CT72=0,0,2)</f>
        <v/>
      </c>
      <c r="CV72" s="861" t="inlineStr">
        <is>
          <t>S/02</t>
        </is>
      </c>
      <c r="CW72" s="861" t="inlineStr">
        <is>
          <t>Dasy6</t>
        </is>
      </c>
      <c r="CX72" s="2038"/>
      <c r="CY72" s="2050"/>
      <c r="CZ72" s="1545">
        <f>10^(CJ72/20)*100-100</f>
        <v/>
      </c>
      <c r="DA72" s="1320">
        <f>IF('Tune-Up'!$H$12="","",'Tune-Up'!$H$12)</f>
        <v/>
      </c>
      <c r="DB72" s="696">
        <f>IF(COUNT($CO$62:$CO$69)=0,"N/A",IFERROR(INDEX($DB$62:$DB$69,MATCH(MAX($CO$62:$CO$69),$CO$62:$CO$69,0)),"N/A"))</f>
        <v/>
      </c>
      <c r="DC72" s="798">
        <f>IF(DA72="","",10^(DA72/10))</f>
        <v/>
      </c>
      <c r="DD72" s="1364">
        <f>IF(ISNUMBER(DB72)=FALSE,"N/A",10^(DB72/10))</f>
        <v/>
      </c>
      <c r="DE72" s="1545">
        <f>IF(AND(ISNUMBER(DC72),ISNUMBER(DD72)),IF(DC72/DD72&gt;1,ROUND((DC72)/DD72,3),1),1)</f>
        <v/>
      </c>
      <c r="DF72" s="1541"/>
      <c r="DG72" s="1541"/>
      <c r="DH72" s="1541"/>
      <c r="DI72" s="1541"/>
      <c r="DJ72" s="1541"/>
      <c r="DK72" s="1541"/>
      <c r="DL72" s="1541"/>
      <c r="DM72" s="1541"/>
      <c r="DN72" s="1541"/>
      <c r="DO72" s="1541"/>
      <c r="DP72" s="1541"/>
      <c r="DQ72" s="1541"/>
      <c r="DR72" s="1541"/>
    </row>
    <row r="73" ht="12.75" x14ac:dyDescent="0.2">
      <c r="A73" s="1541"/>
      <c r="B73" s="1541"/>
      <c r="C73"/>
      <c r="D73" s="130">
        <f>IF(BX$62="Close to Ear","EN 62209-1","EN 62209-2")</f>
        <v/>
      </c>
      <c r="E73" s="130">
        <f>IF(CG73="Close to Ear","2016","2010/A1:2019")</f>
        <v/>
      </c>
      <c r="F73" s="1488" t="inlineStr">
        <is>
          <t>5.1</t>
        </is>
      </c>
      <c r="G73" s="1497"/>
      <c r="H73" s="120">
        <f>BV73</f>
        <v/>
      </c>
      <c r="I73" s="120">
        <f>BW73</f>
        <v/>
      </c>
      <c r="J73" s="687">
        <f>BT73</f>
        <v/>
      </c>
      <c r="K73" s="194">
        <f>BU73</f>
        <v/>
      </c>
      <c r="L73" s="115"/>
      <c r="M73" s="120">
        <f>BZ73</f>
        <v/>
      </c>
      <c r="N73" s="119"/>
      <c r="O73" s="131"/>
      <c r="P73" s="6597"/>
      <c r="Q73" s="131"/>
      <c r="R73" s="131"/>
      <c r="S73" s="120">
        <f>CG73</f>
        <v/>
      </c>
      <c r="T73" s="120">
        <f>CC73</f>
        <v/>
      </c>
      <c r="U73" s="120">
        <f>CD73</f>
        <v/>
      </c>
      <c r="V73" s="119"/>
      <c r="W73" s="197">
        <f>CK73*100</f>
        <v/>
      </c>
      <c r="X73" s="119"/>
      <c r="Y73" s="119"/>
      <c r="Z73" s="119"/>
      <c r="AA73" s="115"/>
      <c r="AB73" s="115"/>
      <c r="AC73" s="689">
        <f>IF(OR(BX$62="Close to Ear",BX$62="Close to Head"),"Head",IF(BX$62="Extremity","Extremity","Body"))</f>
        <v/>
      </c>
      <c r="AD73" s="690">
        <f>CA73</f>
        <v/>
      </c>
      <c r="AE73" s="688">
        <f>CB73</f>
        <v/>
      </c>
      <c r="AF73" s="115"/>
      <c r="AG73" s="808">
        <f>IF(AZ73="","N/A",IF(CQ73="Pass","P","F"))</f>
        <v/>
      </c>
      <c r="AH73" s="129"/>
      <c r="AI73" s="129"/>
      <c r="AJ73" s="129"/>
      <c r="AK73" s="119"/>
      <c r="AL73" s="115"/>
      <c r="AM73" s="119"/>
      <c r="AN73" s="119"/>
      <c r="AO73" s="692"/>
      <c r="AP73" s="692"/>
      <c r="AQ73" s="692"/>
      <c r="AR73" s="692"/>
      <c r="AS73" s="692"/>
      <c r="AT73" s="691">
        <f>CE73</f>
        <v/>
      </c>
      <c r="AU73" s="691">
        <f>CF73</f>
        <v/>
      </c>
      <c r="AV73" s="813"/>
      <c r="AW73" s="813"/>
      <c r="AX73" s="197">
        <f>CZ73</f>
        <v/>
      </c>
      <c r="AY73" s="197">
        <f>DE73</f>
        <v/>
      </c>
      <c r="AZ73" s="3379">
        <f>CO73</f>
        <v/>
      </c>
      <c r="BA73" s="3380"/>
      <c r="BB73" s="197">
        <f>CP73</f>
        <v/>
      </c>
      <c r="BC73" s="813"/>
      <c r="BD73" s="197">
        <f>CR73</f>
        <v/>
      </c>
      <c r="BE73" s="121">
        <f>CS73</f>
        <v/>
      </c>
      <c r="BF73" s="122">
        <f>CT73*60</f>
        <v/>
      </c>
      <c r="BG73" s="121">
        <f>BE73</f>
        <v/>
      </c>
      <c r="BH73" s="122">
        <f>CU73*60</f>
        <v/>
      </c>
      <c r="BI73" s="122">
        <f>CV73</f>
        <v/>
      </c>
      <c r="BJ73" s="117"/>
      <c r="BK73" s="812">
        <f>Overview!$E$7</f>
        <v/>
      </c>
      <c r="BL73" s="117"/>
      <c r="BM73" s="836">
        <f>CW73</f>
        <v/>
      </c>
      <c r="BN73" s="812">
        <f>Overview!$P$153</f>
        <v/>
      </c>
      <c r="BO73" s="117"/>
      <c r="BP73" s="117"/>
      <c r="BQ73" s="115"/>
      <c r="BR73" s="1478" t="inlineStr">
        <is>
          <t>N/A</t>
        </is>
      </c>
      <c r="BS73" s="1548"/>
      <c r="BT73" s="1783" t="inlineStr">
        <is>
          <t>GSM</t>
        </is>
      </c>
      <c r="BU73" s="1783">
        <v>900</v>
      </c>
      <c r="BV73" s="400">
        <f>Overview!$H$29</f>
        <v/>
      </c>
      <c r="BW73" s="2010"/>
      <c r="BX73" s="1800"/>
      <c r="BY73" s="2040"/>
      <c r="BZ73" s="2040"/>
      <c r="CA73" s="404" t="inlineStr">
        <is>
          <t>Accesorio 1: Funda</t>
        </is>
      </c>
      <c r="CB73" s="201">
        <v>0</v>
      </c>
      <c r="CC73" s="1081">
        <f>IF(COUNT($CO$62:$CO$69)=0,"N/A",INDEX($CC$62:$CC$69,MATCH(MAX($CO$62:$CO$69),$CO$62:$CO$69,0)))</f>
        <v/>
      </c>
      <c r="CD73" s="1081">
        <f>IF(COUNT($CO$62:$CO$69)=0,"N/A",INDEX($CD$62:$CD$69,MATCH(MAX($CO$62:$CO$69),$CO$62:$CO$69,0)))</f>
        <v/>
      </c>
      <c r="CE73" s="1874"/>
      <c r="CF73" s="1874"/>
      <c r="CG73" s="388" t="inlineStr">
        <is>
          <t>N/A</t>
        </is>
      </c>
      <c r="CH73" s="388">
        <f>BZ73</f>
        <v/>
      </c>
      <c r="CI73" s="388">
        <f>CA73</f>
        <v/>
      </c>
      <c r="CJ73" s="2046"/>
      <c r="CK73" s="2047"/>
      <c r="CL73" s="212">
        <f>IF(CF73=""," ",IF(ABS(CE73-CF73)&lt;=0.125,"Valid","Not valid"))</f>
        <v/>
      </c>
      <c r="CM73" s="213">
        <f> IF(CE73="","",IF(AND(CE73&lt;&gt;"",CF73=""),IF(CE73&gt;=1,"Medir+Sig Max","No"),IF(CF73&lt;&gt;"",IF(CF73&gt;=1,"Medir+Sig Max","No"),"")))</f>
        <v/>
      </c>
      <c r="CN73" s="1794"/>
      <c r="CO73" s="221">
        <f>IF(CK73="",IF(AND(CE73="",CF73=""),"",IF(CF73="",IF(DE73&gt;1,ROUND(DE73*CE73,3),CE73),IF(DE73&gt;1,ROUND(DE73*CF73,3),CF73))),IF(AND(CE73="",CF73=""),"",IF(CF73="",IF(DE73&gt;1,ROUND(DE73*CE73*(1/(CK73)),3),CE73*(1/(CK73))),IF(DE73&gt;1,ROUND(DE73*CF73*(1/(CK73)),3),CF73*(1/(CK73))))))</f>
        <v/>
      </c>
      <c r="CP73" s="2048">
        <f>$CP$3</f>
        <v/>
      </c>
      <c r="CQ73" s="1473">
        <f>IF(CO73="","",IF(CO73&gt;CP73,"Fail","Pass"))</f>
        <v/>
      </c>
      <c r="CR73" s="1482">
        <f>IF(CO73&lt;&gt;"",MAX($CR$3:CR72)+1,"")</f>
        <v/>
      </c>
      <c r="CS73" s="1566">
        <f>MyTimestamp(CQ73)</f>
        <v/>
      </c>
      <c r="CT73" s="1535">
        <f>IF(COUNT(CE73:CF73)=1,15,IF(COUNT(CE73:CF73)=0,0,30))</f>
        <v/>
      </c>
      <c r="CU73" s="1536">
        <f>IF(CT73=0,0,2)</f>
        <v/>
      </c>
      <c r="CV73" s="861" t="inlineStr">
        <is>
          <t>S/02</t>
        </is>
      </c>
      <c r="CW73" s="861" t="inlineStr">
        <is>
          <t>Dasy6</t>
        </is>
      </c>
      <c r="CX73" s="2038"/>
      <c r="CY73" s="2050"/>
      <c r="CZ73" s="1545">
        <f>10^(CJ73/20)*100-100</f>
        <v/>
      </c>
      <c r="DA73" s="1320">
        <f>IF('Tune-Up'!$H$12="","",'Tune-Up'!$H$12)</f>
        <v/>
      </c>
      <c r="DB73" s="696">
        <f>IF(COUNT($CO$62:$CO$69)=0,"N/A",IFERROR(INDEX($DB$62:$DB$69,MATCH(MAX($CO$62:$CO$69),$CO$62:$CO$69,0)),"N/A"))</f>
        <v/>
      </c>
      <c r="DC73" s="798">
        <f>IF(DA73="","",10^(DA73/10))</f>
        <v/>
      </c>
      <c r="DD73" s="1364">
        <f>IF(ISNUMBER(DB73)=FALSE,"N/A",10^(DB73/10))</f>
        <v/>
      </c>
      <c r="DE73" s="1545">
        <f>IF(AND(ISNUMBER(DC73),ISNUMBER(DD73)),IF(DC73/DD73&gt;1,ROUND((DC73)/DD73,3),1),1)</f>
        <v/>
      </c>
      <c r="DF73" s="1541"/>
      <c r="DG73" s="1541"/>
      <c r="DH73" s="1541"/>
      <c r="DI73" s="1541"/>
      <c r="DJ73" s="1541"/>
      <c r="DK73" s="1541"/>
      <c r="DL73" s="1541"/>
      <c r="DM73" s="1541"/>
      <c r="DN73" s="1541"/>
      <c r="DO73" s="1541"/>
      <c r="DP73" s="1541"/>
      <c r="DQ73" s="1541"/>
      <c r="DR73" s="1541"/>
    </row>
    <row r="74" ht="12.75" x14ac:dyDescent="0.2">
      <c r="A74" s="1541"/>
      <c r="B74" s="1541"/>
      <c r="C74"/>
      <c r="D74" s="130">
        <f>IF(BX$62="Close to Ear","EN 62209-1","EN 62209-2")</f>
        <v/>
      </c>
      <c r="E74" s="130">
        <f>IF(CG74="Close to Ear","2016","2010/A1:2019")</f>
        <v/>
      </c>
      <c r="F74" s="1488" t="inlineStr">
        <is>
          <t>5.1</t>
        </is>
      </c>
      <c r="G74" s="1497"/>
      <c r="H74" s="120">
        <f>BV74</f>
        <v/>
      </c>
      <c r="I74" s="120">
        <f>BW74</f>
        <v/>
      </c>
      <c r="J74" s="687">
        <f>BT74</f>
        <v/>
      </c>
      <c r="K74" s="194">
        <f>BU74</f>
        <v/>
      </c>
      <c r="L74" s="115"/>
      <c r="M74" s="120">
        <f>BZ74</f>
        <v/>
      </c>
      <c r="N74" s="119"/>
      <c r="O74" s="131"/>
      <c r="P74" s="6597"/>
      <c r="Q74" s="131"/>
      <c r="R74" s="131"/>
      <c r="S74" s="120">
        <f>CG74</f>
        <v/>
      </c>
      <c r="T74" s="120">
        <f>CC74</f>
        <v/>
      </c>
      <c r="U74" s="120">
        <f>CD74</f>
        <v/>
      </c>
      <c r="V74" s="119"/>
      <c r="W74" s="197">
        <f>CK74*100</f>
        <v/>
      </c>
      <c r="X74" s="119"/>
      <c r="Y74" s="119"/>
      <c r="Z74" s="119"/>
      <c r="AA74" s="115"/>
      <c r="AB74" s="115"/>
      <c r="AC74" s="689">
        <f>IF(OR(BX$62="Close to Ear",BX$62="Close to Head"),"Head",IF(BX$62="Extremity","Extremity","Body"))</f>
        <v/>
      </c>
      <c r="AD74" s="690">
        <f>CA74</f>
        <v/>
      </c>
      <c r="AE74" s="688">
        <f>CB74</f>
        <v/>
      </c>
      <c r="AF74" s="115"/>
      <c r="AG74" s="808">
        <f>IF(AZ74="","N/A",IF(CQ74="Pass","P","F"))</f>
        <v/>
      </c>
      <c r="AH74" s="129"/>
      <c r="AI74" s="129"/>
      <c r="AJ74" s="129"/>
      <c r="AK74" s="119"/>
      <c r="AL74" s="115"/>
      <c r="AM74" s="119"/>
      <c r="AN74" s="119"/>
      <c r="AO74" s="692"/>
      <c r="AP74" s="692"/>
      <c r="AQ74" s="692"/>
      <c r="AR74" s="692"/>
      <c r="AS74" s="692"/>
      <c r="AT74" s="691">
        <f>CE74</f>
        <v/>
      </c>
      <c r="AU74" s="691">
        <f>CF74</f>
        <v/>
      </c>
      <c r="AV74" s="813"/>
      <c r="AW74" s="813"/>
      <c r="AX74" s="197">
        <f>CZ74</f>
        <v/>
      </c>
      <c r="AY74" s="197">
        <f>DE74</f>
        <v/>
      </c>
      <c r="AZ74" s="3379">
        <f>CO74</f>
        <v/>
      </c>
      <c r="BA74" s="3380"/>
      <c r="BB74" s="197">
        <f>CP74</f>
        <v/>
      </c>
      <c r="BC74" s="813"/>
      <c r="BD74" s="197">
        <f>CR74</f>
        <v/>
      </c>
      <c r="BE74" s="121">
        <f>CS74</f>
        <v/>
      </c>
      <c r="BF74" s="122">
        <f>CT74*60</f>
        <v/>
      </c>
      <c r="BG74" s="121">
        <f>BE74</f>
        <v/>
      </c>
      <c r="BH74" s="122">
        <f>CU74*60</f>
        <v/>
      </c>
      <c r="BI74" s="122">
        <f>CV74</f>
        <v/>
      </c>
      <c r="BJ74" s="117"/>
      <c r="BK74" s="812">
        <f>Overview!$E$7</f>
        <v/>
      </c>
      <c r="BL74" s="117"/>
      <c r="BM74" s="836">
        <f>CW74</f>
        <v/>
      </c>
      <c r="BN74" s="812">
        <f>Overview!$P$153</f>
        <v/>
      </c>
      <c r="BO74" s="117"/>
      <c r="BP74" s="117"/>
      <c r="BQ74" s="115"/>
      <c r="BR74" s="1478" t="inlineStr">
        <is>
          <t>N/A</t>
        </is>
      </c>
      <c r="BS74" s="1548"/>
      <c r="BT74" s="1783" t="inlineStr">
        <is>
          <t>GSM</t>
        </is>
      </c>
      <c r="BU74" s="1783">
        <v>900</v>
      </c>
      <c r="BV74" s="400">
        <f>Overview!$H$29</f>
        <v/>
      </c>
      <c r="BW74" s="2010"/>
      <c r="BX74" s="1800"/>
      <c r="BY74" s="2040"/>
      <c r="BZ74" s="2040"/>
      <c r="CA74" s="404" t="inlineStr">
        <is>
          <t>Accesorio 2: Clip</t>
        </is>
      </c>
      <c r="CB74" s="201">
        <v>0</v>
      </c>
      <c r="CC74" s="1081">
        <f>IF(COUNT($CO$62:$CO$69)=0,"N/A",INDEX($CC$62:$CC$69,MATCH(MAX($CO$62:$CO$69),$CO$62:$CO$69,0)))</f>
        <v/>
      </c>
      <c r="CD74" s="1081">
        <f>IF(COUNT($CO$62:$CO$69)=0,"N/A",INDEX($CD$62:$CD$69,MATCH(MAX($CO$62:$CO$69),$CO$62:$CO$69,0)))</f>
        <v/>
      </c>
      <c r="CE74" s="1874"/>
      <c r="CF74" s="1874"/>
      <c r="CG74" s="388" t="inlineStr">
        <is>
          <t>N/A</t>
        </is>
      </c>
      <c r="CH74" s="388">
        <f>BZ74</f>
        <v/>
      </c>
      <c r="CI74" s="388">
        <f>CA74</f>
        <v/>
      </c>
      <c r="CJ74" s="2046"/>
      <c r="CK74" s="2047"/>
      <c r="CL74" s="212">
        <f>IF(CF74=""," ",IF(ABS(CE74-CF74)&lt;=0.125,"Valid","Not valid"))</f>
        <v/>
      </c>
      <c r="CM74" s="213">
        <f> IF(CE74="","",IF(AND(CE74&lt;&gt;"",CF74=""),IF(CE74&gt;=1,"Medir+Sig Max","No"),IF(CF74&lt;&gt;"",IF(CF74&gt;=1,"Medir+Sig Max","No"),"")))</f>
        <v/>
      </c>
      <c r="CN74" s="1794"/>
      <c r="CO74" s="221">
        <f>IF(CK74="",IF(AND(CE74="",CF74=""),"",IF(CF74="",IF(DE74&gt;1,ROUND(DE74*CE74,3),CE74),IF(DE74&gt;1,ROUND(DE74*CF74,3),CF74))),IF(AND(CE74="",CF74=""),"",IF(CF74="",IF(DE74&gt;1,ROUND(DE74*CE74*(1/(CK74)),3),CE74*(1/(CK74))),IF(DE74&gt;1,ROUND(DE74*CF74*(1/(CK74)),3),CF74*(1/(CK74))))))</f>
        <v/>
      </c>
      <c r="CP74" s="2048">
        <f>$CP$3</f>
        <v/>
      </c>
      <c r="CQ74" s="1473">
        <f>IF(CO74="","",IF(CO74&gt;CP74,"Fail","Pass"))</f>
        <v/>
      </c>
      <c r="CR74" s="1482">
        <f>IF(CO74&lt;&gt;"",MAX($CR$3:CR73)+1,"")</f>
        <v/>
      </c>
      <c r="CS74" s="1566">
        <f>MyTimestamp(CQ74)</f>
        <v/>
      </c>
      <c r="CT74" s="1535">
        <f>IF(COUNT(CE74:CF74)=1,15,IF(COUNT(CE74:CF74)=0,0,30))</f>
        <v/>
      </c>
      <c r="CU74" s="1536">
        <f>IF(CT74=0,0,2)</f>
        <v/>
      </c>
      <c r="CV74" s="861" t="inlineStr">
        <is>
          <t>S/02</t>
        </is>
      </c>
      <c r="CW74" s="861" t="inlineStr">
        <is>
          <t>Dasy6</t>
        </is>
      </c>
      <c r="CX74" s="2038"/>
      <c r="CY74" s="2050"/>
      <c r="CZ74" s="1545">
        <f>10^(CJ74/20)*100-100</f>
        <v/>
      </c>
      <c r="DA74" s="1320">
        <f>IF('Tune-Up'!$H$12="","",'Tune-Up'!$H$12)</f>
        <v/>
      </c>
      <c r="DB74" s="696">
        <f>IF(COUNT($CO$62:$CO$69)=0,"N/A",IFERROR(INDEX($DB$62:$DB$69,MATCH(MAX($CO$62:$CO$69),$CO$62:$CO$69,0)),"N/A"))</f>
        <v/>
      </c>
      <c r="DC74" s="798">
        <f>IF(DA74="","",10^(DA74/10))</f>
        <v/>
      </c>
      <c r="DD74" s="1364">
        <f>IF(ISNUMBER(DB74)=FALSE,"N/A",10^(DB74/10))</f>
        <v/>
      </c>
      <c r="DE74" s="1545">
        <f>IF(AND(ISNUMBER(DC74),ISNUMBER(DD74)),IF(DC74/DD74&gt;1,ROUND((DC74)/DD74,3),1),1)</f>
        <v/>
      </c>
      <c r="DF74" s="1541"/>
      <c r="DG74" s="1541"/>
      <c r="DH74" s="1541"/>
      <c r="DI74" s="1541"/>
      <c r="DJ74" s="1541"/>
      <c r="DK74" s="1541"/>
      <c r="DL74" s="1541"/>
      <c r="DM74" s="1541"/>
      <c r="DN74" s="1541"/>
      <c r="DO74" s="1541"/>
      <c r="DP74" s="1541"/>
      <c r="DQ74" s="1541"/>
      <c r="DR74" s="1541"/>
    </row>
    <row r="75" ht="12.75" x14ac:dyDescent="0.2">
      <c r="A75" s="1541"/>
      <c r="B75" s="1541"/>
      <c r="C75"/>
      <c r="D75" s="130">
        <f>IF(BX$75="Close to Ear","EN 62209-1","EN 62209-2")</f>
        <v/>
      </c>
      <c r="E75" s="130">
        <f>IF(CG75="Close to Ear","2016","2010/A1:2019")</f>
        <v/>
      </c>
      <c r="F75" s="1488" t="inlineStr">
        <is>
          <t>5.1</t>
        </is>
      </c>
      <c r="G75" s="1497"/>
      <c r="H75" s="120">
        <f>BV75</f>
        <v/>
      </c>
      <c r="I75" s="120">
        <f>BW75</f>
        <v/>
      </c>
      <c r="J75" s="687" t="str">
        <f>BT75</f>
        <v>GSM</v>
      </c>
      <c r="K75" s="194">
        <f>BU75</f>
        <v>900</v>
      </c>
      <c r="L75" s="115"/>
      <c r="M75" s="120">
        <f>BZ75</f>
        <v>0</v>
      </c>
      <c r="N75" s="119"/>
      <c r="O75" s="131"/>
      <c r="P75" s="6597"/>
      <c r="Q75" s="131"/>
      <c r="R75" s="131"/>
      <c r="S75" s="120">
        <f>CG75</f>
        <v>0</v>
      </c>
      <c r="T75" s="120">
        <f>CC75</f>
        <v>37</v>
      </c>
      <c r="U75" s="120">
        <f>CD75</f>
        <v>897.4</v>
      </c>
      <c r="V75" s="119"/>
      <c r="W75" s="197">
        <f>CK75*100</f>
        <v/>
      </c>
      <c r="X75" s="119"/>
      <c r="Y75" s="119"/>
      <c r="Z75" s="119"/>
      <c r="AA75" s="115"/>
      <c r="AB75" s="115"/>
      <c r="AC75" s="689">
        <f>IF(OR(BX$75="Close to Ear",BX$75="Close to Head"),"Head",IF(BX$75="Extremity","Extremity","Body"))</f>
        <v/>
      </c>
      <c r="AD75" s="690">
        <f>CA75</f>
        <v/>
      </c>
      <c r="AE75" s="688">
        <f>CB75</f>
        <v/>
      </c>
      <c r="AF75" s="115"/>
      <c r="AG75" s="808">
        <f>IF(AZ75="","N/A",IF(CQ75="Pass","P","F"))</f>
        <v/>
      </c>
      <c r="AH75" s="129"/>
      <c r="AI75" s="129"/>
      <c r="AJ75" s="129"/>
      <c r="AK75" s="119"/>
      <c r="AL75" s="115"/>
      <c r="AM75" s="119"/>
      <c r="AN75" s="119"/>
      <c r="AO75" s="692"/>
      <c r="AP75" s="692"/>
      <c r="AQ75" s="692"/>
      <c r="AR75" s="692"/>
      <c r="AS75" s="692"/>
      <c r="AT75" s="691">
        <f>CE75</f>
        <v/>
      </c>
      <c r="AU75" s="691">
        <f>CF75</f>
        <v/>
      </c>
      <c r="AV75" s="813"/>
      <c r="AW75" s="813"/>
      <c r="AX75" s="197">
        <f>CZ75</f>
        <v/>
      </c>
      <c r="AY75" s="197">
        <f>DE75</f>
        <v/>
      </c>
      <c r="AZ75" s="3379">
        <f>CO75</f>
        <v/>
      </c>
      <c r="BA75" s="3380"/>
      <c r="BB75" s="197">
        <f>CP75</f>
        <v/>
      </c>
      <c r="BC75" s="813"/>
      <c r="BD75" s="197">
        <f>CR75</f>
        <v/>
      </c>
      <c r="BE75" s="121">
        <f>CS75</f>
        <v/>
      </c>
      <c r="BF75" s="122">
        <f>CT75*60</f>
        <v/>
      </c>
      <c r="BG75" s="121">
        <f>BE75</f>
        <v/>
      </c>
      <c r="BH75" s="122">
        <f>CU75*60</f>
        <v/>
      </c>
      <c r="BI75" s="122">
        <f>CV75</f>
        <v/>
      </c>
      <c r="BJ75" s="117"/>
      <c r="BK75" s="812">
        <f>Overview!$E$7</f>
        <v/>
      </c>
      <c r="BL75" s="117"/>
      <c r="BM75" s="836">
        <f>CW75</f>
        <v/>
      </c>
      <c r="BN75" s="812">
        <f>Overview!$P$153</f>
        <v/>
      </c>
      <c r="BO75" s="117"/>
      <c r="BP75" s="117"/>
      <c r="BQ75" s="115"/>
      <c r="BR75" s="1478" t="inlineStr">
        <is>
          <t>N/A</t>
        </is>
      </c>
      <c r="BS75" s="1548"/>
      <c r="BT75" s="1783" t="inlineStr">
        <is>
          <t>GSM</t>
        </is>
      </c>
      <c r="BU75" s="1783">
        <v>900</v>
      </c>
      <c r="BV75" s="400">
        <f>Overview!$H$29</f>
        <v/>
      </c>
      <c r="BW75" s="2010"/>
      <c r="BX75" s="7673" t="inlineStr">
        <is>
          <t>Extremity</t>
        </is>
      </c>
      <c r="BY75" s="2040"/>
      <c r="BZ75" s="2040"/>
      <c r="CA75" s="1996" t="inlineStr">
        <is>
          <t>Front Face</t>
        </is>
      </c>
      <c r="CB75" s="200">
        <v>5</v>
      </c>
      <c r="CC75" s="1062">
        <f>'2G-3G'!BX18</f>
        <v>37</v>
      </c>
      <c r="CD75" s="1062">
        <f>'2G-3G'!BY18</f>
        <v>897.4</v>
      </c>
      <c r="CE75" s="2051"/>
      <c r="CF75" s="2051"/>
      <c r="CG75" s="389" t="str">
        <f>IF(OR($BY$3="",$BY$3=""),"",$BY$3)</f>
        <v/>
      </c>
      <c r="CH75" s="389">
        <f>BZ75</f>
        <v/>
      </c>
      <c r="CI75" s="389">
        <f>CA75</f>
        <v/>
      </c>
      <c r="CJ75" s="2052"/>
      <c r="CK75" s="2036"/>
      <c r="CL75" s="203">
        <f>IF(CF75=""," ",IF(ABS(CE75-CF75)&lt;=0.25,"Valid","Not valid"))</f>
        <v/>
      </c>
      <c r="CM75" s="204">
        <f> IF(CE75="","",IF(AND(CE75&lt;&gt;"",CF75=""),IF(CE75&gt;=2,"Medir+Sig Max","No"),IF(CF75&lt;&gt;"",IF(CF75&gt;=2,"Medir+Sig Max","No"),"")))</f>
        <v/>
      </c>
      <c r="CN75" s="1798"/>
      <c r="CO75" s="222">
        <f>IF(CK75="",IF(AND(CE75="",CF75=""),"",IF(CF75="",IF(DE75&gt;1,ROUND(DE75*CE75,3),CE75),IF(DE75&gt;1,ROUND(DE75*CF75,3),CF75))),IF(AND(CE75="",CF75=""),"",IF(CF75="",IF(DE75&gt;1,ROUND(DE75*CE75*(1/(CK75)),3),CE75*(1/(CK75))),IF(DE75&gt;1,ROUND(DE75*CF75*(1/(CK75)),3),CF75*(1/(CK75))))))</f>
        <v/>
      </c>
      <c r="CP75" s="2053">
        <f>$CP$34</f>
        <v/>
      </c>
      <c r="CQ75" s="1474">
        <f>IF(CO75="","",IF(CO75&gt;CP75,"Fail","Pass"))</f>
        <v/>
      </c>
      <c r="CR75" s="1480">
        <f>IF(AND(MAX(CO75:CO82)=CO75,CO75&lt;&gt;0),COUNT($CR$3:CR69)+1,"")</f>
        <v/>
      </c>
      <c r="CS75" s="2054">
        <f>MyTimestamp(CO75)</f>
        <v/>
      </c>
      <c r="CT75" s="1537">
        <f>IF(CE75="",0,15)+IF(CF75="",0,15)</f>
        <v/>
      </c>
      <c r="CU75" s="1538">
        <f>IF(CT75=0,0,2)</f>
        <v/>
      </c>
      <c r="CV75" s="2055" t="inlineStr">
        <is>
          <t>S/02</t>
        </is>
      </c>
      <c r="CW75" s="2055" t="inlineStr">
        <is>
          <t>Dasy6</t>
        </is>
      </c>
      <c r="CX75" s="2038"/>
      <c r="CY75" s="2056"/>
      <c r="CZ75" s="1546">
        <f>10^(CJ75/20)*100-100</f>
        <v/>
      </c>
      <c r="DA75" s="1318">
        <f>IF('Tune-Up'!$H$12="","",'Tune-Up'!$H$12)</f>
        <v/>
      </c>
      <c r="DB75" s="694">
        <f>'2G-3G'!BZ18</f>
        <v/>
      </c>
      <c r="DC75" s="796">
        <f>IF(DA75="","",10^(DA75/10))</f>
        <v/>
      </c>
      <c r="DD75" s="1362">
        <f>IF(ISNUMBER(DB75)=FALSE,"",10^(DB75/10))</f>
        <v/>
      </c>
      <c r="DE75" s="1546">
        <f>IF(AND(ISNUMBER(DC75),ISNUMBER(DD75)),IF(DC75/DD75&gt;1,ROUND((DC75)/DD75,3),1),1)</f>
        <v/>
      </c>
      <c r="DF75" s="1541"/>
      <c r="DG75" s="1541"/>
      <c r="DH75" s="1541"/>
      <c r="DI75" s="1541"/>
      <c r="DJ75" s="1541"/>
      <c r="DK75" s="1541"/>
      <c r="DL75" s="1541"/>
      <c r="DM75" s="1541"/>
      <c r="DN75" s="1541"/>
      <c r="DO75" s="1541"/>
      <c r="DP75" s="1541"/>
      <c r="DQ75" s="1541"/>
      <c r="DR75" s="1541"/>
    </row>
    <row r="76" ht="12.75" x14ac:dyDescent="0.2">
      <c r="A76" s="1541"/>
      <c r="B76" s="1541"/>
      <c r="C76"/>
      <c r="D76" s="130">
        <f>IF(BX$75="Close to Ear","EN 62209-1","EN 62209-2")</f>
        <v/>
      </c>
      <c r="E76" s="130">
        <f>IF(CG76="Close to Ear","2016","2010/A1:2019")</f>
        <v/>
      </c>
      <c r="F76" s="1488" t="inlineStr">
        <is>
          <t>5.1</t>
        </is>
      </c>
      <c r="G76" s="1497"/>
      <c r="H76" s="120">
        <f>BV76</f>
        <v/>
      </c>
      <c r="I76" s="120">
        <f>BW76</f>
        <v/>
      </c>
      <c r="J76" s="687" t="str">
        <f>BT76</f>
        <v>GSM</v>
      </c>
      <c r="K76" s="194">
        <f>BU76</f>
        <v>900</v>
      </c>
      <c r="L76" s="115"/>
      <c r="M76" s="120">
        <f>BZ76</f>
        <v>0</v>
      </c>
      <c r="N76" s="119"/>
      <c r="O76" s="131"/>
      <c r="P76" s="6597"/>
      <c r="Q76" s="131"/>
      <c r="R76" s="131"/>
      <c r="S76" s="120">
        <f>CG76</f>
        <v>0</v>
      </c>
      <c r="T76" s="120">
        <f>CC76</f>
        <v>37</v>
      </c>
      <c r="U76" s="120">
        <f>CD76</f>
        <v>897.4</v>
      </c>
      <c r="V76" s="119"/>
      <c r="W76" s="197">
        <f>CK76*100</f>
        <v/>
      </c>
      <c r="X76" s="119"/>
      <c r="Y76" s="119"/>
      <c r="Z76" s="119"/>
      <c r="AA76" s="115"/>
      <c r="AB76" s="115"/>
      <c r="AC76" s="689">
        <f>IF(OR(BX$75="Close to Ear",BX$75="Close to Head"),"Head",IF(BX$75="Extremity","Extremity","Body"))</f>
        <v/>
      </c>
      <c r="AD76" s="690">
        <f>CA76</f>
        <v/>
      </c>
      <c r="AE76" s="688">
        <f>CB76</f>
        <v/>
      </c>
      <c r="AF76" s="115"/>
      <c r="AG76" s="808">
        <f>IF(AZ76="","N/A",IF(CQ76="Pass","P","F"))</f>
        <v/>
      </c>
      <c r="AH76" s="129"/>
      <c r="AI76" s="129"/>
      <c r="AJ76" s="129"/>
      <c r="AK76" s="119"/>
      <c r="AL76" s="115"/>
      <c r="AM76" s="119"/>
      <c r="AN76" s="119"/>
      <c r="AO76" s="692"/>
      <c r="AP76" s="692"/>
      <c r="AQ76" s="692"/>
      <c r="AR76" s="692"/>
      <c r="AS76" s="692"/>
      <c r="AT76" s="691">
        <f>CE76</f>
        <v/>
      </c>
      <c r="AU76" s="691">
        <f>CF76</f>
        <v/>
      </c>
      <c r="AV76" s="813"/>
      <c r="AW76" s="813"/>
      <c r="AX76" s="197">
        <f>CZ76</f>
        <v/>
      </c>
      <c r="AY76" s="197">
        <f>DE76</f>
        <v/>
      </c>
      <c r="AZ76" s="3379">
        <f>CO76</f>
        <v/>
      </c>
      <c r="BA76" s="3380"/>
      <c r="BB76" s="197">
        <f>CP76</f>
        <v/>
      </c>
      <c r="BC76" s="813"/>
      <c r="BD76" s="197">
        <f>CR76</f>
        <v/>
      </c>
      <c r="BE76" s="121">
        <f>CS76</f>
        <v/>
      </c>
      <c r="BF76" s="122">
        <f>CT76*60</f>
        <v/>
      </c>
      <c r="BG76" s="121">
        <f>BE76</f>
        <v/>
      </c>
      <c r="BH76" s="122">
        <f>CU76*60</f>
        <v/>
      </c>
      <c r="BI76" s="122">
        <f>CV76</f>
        <v/>
      </c>
      <c r="BJ76" s="117"/>
      <c r="BK76" s="812">
        <f>Overview!$E$7</f>
        <v/>
      </c>
      <c r="BL76" s="117"/>
      <c r="BM76" s="836">
        <f>CW76</f>
        <v/>
      </c>
      <c r="BN76" s="812">
        <f>Overview!$P$153</f>
        <v/>
      </c>
      <c r="BO76" s="117"/>
      <c r="BP76" s="117"/>
      <c r="BQ76" s="115"/>
      <c r="BR76" s="1478" t="inlineStr">
        <is>
          <t>N/A</t>
        </is>
      </c>
      <c r="BS76" s="1548"/>
      <c r="BT76" s="1783" t="inlineStr">
        <is>
          <t>GSM</t>
        </is>
      </c>
      <c r="BU76" s="1783">
        <v>900</v>
      </c>
      <c r="BV76" s="400">
        <f>Overview!$H$29</f>
        <v/>
      </c>
      <c r="BW76" s="2010"/>
      <c r="BX76" s="1783"/>
      <c r="BY76" s="2040"/>
      <c r="BZ76" s="2040"/>
      <c r="CA76" s="1997" t="inlineStr">
        <is>
          <t>Back Face</t>
        </is>
      </c>
      <c r="CB76" s="200">
        <v>5</v>
      </c>
      <c r="CC76" s="1063">
        <f>'2G-3G'!BX18</f>
        <v>37</v>
      </c>
      <c r="CD76" s="1063">
        <f>'2G-3G'!BY18</f>
        <v>897.4</v>
      </c>
      <c r="CE76" s="1523"/>
      <c r="CF76" s="1523"/>
      <c r="CG76" s="387" t="str">
        <f>IF(OR($BY$3="",$BY$3=""),"",$BY$3)</f>
        <v/>
      </c>
      <c r="CH76" s="387">
        <f>BZ76</f>
        <v/>
      </c>
      <c r="CI76" s="387">
        <f>CA76</f>
        <v/>
      </c>
      <c r="CJ76" s="1527"/>
      <c r="CK76" s="2042"/>
      <c r="CL76" s="206">
        <f>IF(CF76=""," ",IF(ABS(CE76-CF76)&lt;=0.25,"Valid","Not valid"))</f>
        <v/>
      </c>
      <c r="CM76" s="207">
        <f> IF(CE76="","",IF(AND(CE76&lt;&gt;"",CF76=""),IF(CE76&gt;=2,"Medir+Sig Max","No"),IF(CF76&lt;&gt;"",IF(CF76&gt;=2,"Medir+Sig Max","No"),"")))</f>
        <v/>
      </c>
      <c r="CN76" s="1787"/>
      <c r="CO76" s="220">
        <f>IF(CK76="",IF(AND(CE76="",CF76=""),"",IF(CF76="",IF(DE76&gt;1,ROUND(DE76*CE76,3),CE76),IF(DE76&gt;1,ROUND(DE76*CF76,3),CF76))),IF(AND(CE76="",CF76=""),"",IF(CF76="",IF(DE76&gt;1,ROUND(DE76*CE76*(1/(CK76)),3),CE76*(1/(CK76))),IF(DE76&gt;1,ROUND(DE76*CF76*(1/(CK76)),3),CF76*(1/(CK76))))))</f>
        <v/>
      </c>
      <c r="CP76" s="2043">
        <f>$CP$34</f>
        <v/>
      </c>
      <c r="CQ76" s="1472">
        <f>IF(CO76="","",IF(CO76&gt;CP76,"Fail","Pass"))</f>
        <v/>
      </c>
      <c r="CR76" s="1481">
        <f>IF(AND(MAX(CO75:CO82)=CO76,CO76&lt;&gt;0),COUNT($CR$3:CR75)+1,"")</f>
        <v/>
      </c>
      <c r="CS76" s="1565">
        <f>MyTimestamp(CO76)</f>
        <v/>
      </c>
      <c r="CT76" s="1531">
        <f>IF(CE76="",0,15)+IF(CF76="",0,15)</f>
        <v/>
      </c>
      <c r="CU76" s="1532">
        <f>IF(CT76=0,0,2)</f>
        <v/>
      </c>
      <c r="CV76" s="859" t="inlineStr">
        <is>
          <t>S/02</t>
        </is>
      </c>
      <c r="CW76" s="859" t="inlineStr">
        <is>
          <t>Dasy6</t>
        </is>
      </c>
      <c r="CX76" s="2038"/>
      <c r="CY76" s="2044"/>
      <c r="CZ76" s="1543">
        <f>10^(CJ76/20)*100-100</f>
        <v/>
      </c>
      <c r="DA76" s="1319">
        <f>IF('Tune-Up'!$H$12="","",'Tune-Up'!$H$12)</f>
        <v/>
      </c>
      <c r="DB76" s="695">
        <f>'2G-3G'!BZ18</f>
        <v/>
      </c>
      <c r="DC76" s="797">
        <f>IF(DA76="","",10^(DA76/10))</f>
        <v/>
      </c>
      <c r="DD76" s="1363">
        <f>IF(ISNUMBER(DB76)=FALSE,"",10^(DB76/10))</f>
        <v/>
      </c>
      <c r="DE76" s="1543">
        <f>IF(AND(ISNUMBER(DC76),ISNUMBER(DD76)),IF(DC76/DD76&gt;1,ROUND((DC76)/DD76,3),1),1)</f>
        <v/>
      </c>
      <c r="DF76" s="1541"/>
      <c r="DG76" s="1541"/>
      <c r="DH76" s="1541"/>
      <c r="DI76" s="1541"/>
      <c r="DJ76" s="1541"/>
      <c r="DK76" s="1541"/>
      <c r="DL76" s="1541"/>
      <c r="DM76" s="1541"/>
      <c r="DN76" s="1541"/>
      <c r="DO76" s="1541"/>
      <c r="DP76" s="1541"/>
      <c r="DQ76" s="1541"/>
      <c r="DR76" s="1541"/>
    </row>
    <row r="77" ht="12.75" x14ac:dyDescent="0.2">
      <c r="A77" s="1541"/>
      <c r="B77" s="1541"/>
      <c r="C77"/>
      <c r="D77" s="130">
        <f>IF(BX$75="Close to Ear","EN 62209-1","EN 62209-2")</f>
        <v/>
      </c>
      <c r="E77" s="130">
        <f>IF(CG77="Close to Ear","2016","2010/A1:2019")</f>
        <v/>
      </c>
      <c r="F77" s="1488" t="inlineStr">
        <is>
          <t>5.1</t>
        </is>
      </c>
      <c r="G77" s="1497"/>
      <c r="H77" s="120">
        <f>BV77</f>
        <v/>
      </c>
      <c r="I77" s="120">
        <f>BW77</f>
        <v/>
      </c>
      <c r="J77" s="687" t="str">
        <f>BT77</f>
        <v>GSM</v>
      </c>
      <c r="K77" s="194">
        <f>BU77</f>
        <v>900</v>
      </c>
      <c r="L77" s="115"/>
      <c r="M77" s="120">
        <f>BZ77</f>
        <v>0</v>
      </c>
      <c r="N77" s="119"/>
      <c r="O77" s="131"/>
      <c r="P77" s="6597"/>
      <c r="Q77" s="131"/>
      <c r="R77" s="131"/>
      <c r="S77" s="120">
        <f>CG77</f>
        <v>0</v>
      </c>
      <c r="T77" s="120">
        <f>CC77</f>
        <v>37</v>
      </c>
      <c r="U77" s="120">
        <f>CD77</f>
        <v>897.4</v>
      </c>
      <c r="V77" s="119"/>
      <c r="W77" s="197">
        <f>CK77*100</f>
        <v/>
      </c>
      <c r="X77" s="119"/>
      <c r="Y77" s="119"/>
      <c r="Z77" s="119"/>
      <c r="AA77" s="115"/>
      <c r="AB77" s="115"/>
      <c r="AC77" s="689">
        <f>IF(OR(BX$75="Close to Ear",BX$75="Close to Head"),"Head",IF(BX$75="Extremity","Extremity","Body"))</f>
        <v/>
      </c>
      <c r="AD77" s="690">
        <f>CA77</f>
        <v/>
      </c>
      <c r="AE77" s="688">
        <f>CB77</f>
        <v/>
      </c>
      <c r="AF77" s="115"/>
      <c r="AG77" s="808">
        <f>IF(AZ77="","N/A",IF(CQ77="Pass","P","F"))</f>
        <v/>
      </c>
      <c r="AH77" s="129"/>
      <c r="AI77" s="129"/>
      <c r="AJ77" s="129"/>
      <c r="AK77" s="119"/>
      <c r="AL77" s="115"/>
      <c r="AM77" s="119"/>
      <c r="AN77" s="119"/>
      <c r="AO77" s="692"/>
      <c r="AP77" s="692"/>
      <c r="AQ77" s="692"/>
      <c r="AR77" s="692"/>
      <c r="AS77" s="692"/>
      <c r="AT77" s="691">
        <f>CE77</f>
        <v/>
      </c>
      <c r="AU77" s="691">
        <f>CF77</f>
        <v/>
      </c>
      <c r="AV77" s="813"/>
      <c r="AW77" s="813"/>
      <c r="AX77" s="197">
        <f>CZ77</f>
        <v/>
      </c>
      <c r="AY77" s="197">
        <f>DE77</f>
        <v/>
      </c>
      <c r="AZ77" s="3379">
        <f>CO77</f>
        <v/>
      </c>
      <c r="BA77" s="3380"/>
      <c r="BB77" s="197">
        <f>CP77</f>
        <v/>
      </c>
      <c r="BC77" s="813"/>
      <c r="BD77" s="197">
        <f>CR77</f>
        <v/>
      </c>
      <c r="BE77" s="121">
        <f>CS77</f>
        <v/>
      </c>
      <c r="BF77" s="122">
        <f>CT77*60</f>
        <v/>
      </c>
      <c r="BG77" s="121">
        <f>BE77</f>
        <v/>
      </c>
      <c r="BH77" s="122">
        <f>CU77*60</f>
        <v/>
      </c>
      <c r="BI77" s="122">
        <f>CV77</f>
        <v/>
      </c>
      <c r="BJ77" s="117"/>
      <c r="BK77" s="812">
        <f>Overview!$E$7</f>
        <v/>
      </c>
      <c r="BL77" s="117"/>
      <c r="BM77" s="836">
        <f>CW77</f>
        <v/>
      </c>
      <c r="BN77" s="812">
        <f>Overview!$P$153</f>
        <v/>
      </c>
      <c r="BO77" s="117"/>
      <c r="BP77" s="117"/>
      <c r="BQ77" s="115"/>
      <c r="BR77" s="1478" t="inlineStr">
        <is>
          <t>N/A</t>
        </is>
      </c>
      <c r="BS77" s="1548"/>
      <c r="BT77" s="1783" t="inlineStr">
        <is>
          <t>GSM</t>
        </is>
      </c>
      <c r="BU77" s="1783">
        <v>900</v>
      </c>
      <c r="BV77" s="400">
        <f>Overview!$H$29</f>
        <v/>
      </c>
      <c r="BW77" s="2010"/>
      <c r="BX77" s="1783"/>
      <c r="BY77" s="2040"/>
      <c r="BZ77" s="2040"/>
      <c r="CA77" s="1997" t="inlineStr">
        <is>
          <t>Left Edge</t>
        </is>
      </c>
      <c r="CB77" s="200">
        <v>5</v>
      </c>
      <c r="CC77" s="1063">
        <f>'2G-3G'!BX18</f>
        <v>37</v>
      </c>
      <c r="CD77" s="1063">
        <f>'2G-3G'!BY18</f>
        <v>897.4</v>
      </c>
      <c r="CE77" s="1523"/>
      <c r="CF77" s="1523"/>
      <c r="CG77" s="387" t="str">
        <f>IF(OR($BY$3="",$BY$3=""),"",$BY$3)</f>
        <v/>
      </c>
      <c r="CH77" s="387">
        <f>BZ77</f>
        <v/>
      </c>
      <c r="CI77" s="387">
        <f>CA77</f>
        <v/>
      </c>
      <c r="CJ77" s="1527"/>
      <c r="CK77" s="2042"/>
      <c r="CL77" s="206">
        <f>IF(CF77=""," ",IF(ABS(CE77-CF77)&lt;=0.25,"Valid","Not valid"))</f>
        <v/>
      </c>
      <c r="CM77" s="207">
        <f> IF(CE77="","",IF(AND(CE77&lt;&gt;"",CF77=""),IF(CE77&gt;=2,"Medir+Sig Max","No"),IF(CF77&lt;&gt;"",IF(CF77&gt;=2,"Medir+Sig Max","No"),"")))</f>
        <v/>
      </c>
      <c r="CN77" s="1787"/>
      <c r="CO77" s="220">
        <f>IF(CK77="",IF(AND(CE77="",CF77=""),"",IF(CF77="",IF(DE77&gt;1,ROUND(DE77*CE77,3),CE77),IF(DE77&gt;1,ROUND(DE77*CF77,3),CF77))),IF(AND(CE77="",CF77=""),"",IF(CF77="",IF(DE77&gt;1,ROUND(DE77*CE77*(1/(CK77)),3),CE77*(1/(CK77))),IF(DE77&gt;1,ROUND(DE77*CF77*(1/(CK77)),3),CF77*(1/(CK77))))))</f>
        <v/>
      </c>
      <c r="CP77" s="2043">
        <f>$CP$34</f>
        <v/>
      </c>
      <c r="CQ77" s="1472">
        <f>IF(CO77="","",IF(CO77&gt;CP77,"Fail","Pass"))</f>
        <v/>
      </c>
      <c r="CR77" s="1481">
        <f>IF(AND(MAX(CO75:CO82)=CO77,CO77&lt;&gt;0),COUNT($CR$3:CR76)+1,"")</f>
        <v/>
      </c>
      <c r="CS77" s="1565">
        <f>MyTimestamp(CO77)</f>
        <v/>
      </c>
      <c r="CT77" s="1531">
        <f>IF(CE77="",0,15)+IF(CF77="",0,15)</f>
        <v/>
      </c>
      <c r="CU77" s="1532">
        <f>IF(CT77=0,0,2)</f>
        <v/>
      </c>
      <c r="CV77" s="859" t="inlineStr">
        <is>
          <t>S/02</t>
        </is>
      </c>
      <c r="CW77" s="859" t="inlineStr">
        <is>
          <t>Dasy6</t>
        </is>
      </c>
      <c r="CX77" s="2038"/>
      <c r="CY77" s="2044"/>
      <c r="CZ77" s="1543">
        <f>10^(CJ77/20)*100-100</f>
        <v/>
      </c>
      <c r="DA77" s="1319">
        <f>IF('Tune-Up'!$H$12="","",'Tune-Up'!$H$12)</f>
        <v/>
      </c>
      <c r="DB77" s="695">
        <f>'2G-3G'!BZ18</f>
        <v/>
      </c>
      <c r="DC77" s="797">
        <f>IF(DA77="","",10^(DA77/10))</f>
        <v/>
      </c>
      <c r="DD77" s="1363">
        <f>IF(ISNUMBER(DB77)=FALSE,"",10^(DB77/10))</f>
        <v/>
      </c>
      <c r="DE77" s="1543">
        <f>IF(AND(ISNUMBER(DC77),ISNUMBER(DD77)),IF(DC77/DD77&gt;1,ROUND((DC77)/DD77,3),1),1)</f>
        <v/>
      </c>
      <c r="DF77" s="1541"/>
      <c r="DG77" s="1541"/>
      <c r="DH77" s="1541"/>
      <c r="DI77" s="1541"/>
      <c r="DJ77" s="1541"/>
      <c r="DK77" s="1541"/>
      <c r="DL77" s="1541"/>
      <c r="DM77" s="1541"/>
      <c r="DN77" s="1541"/>
      <c r="DO77" s="1541"/>
      <c r="DP77" s="1541"/>
      <c r="DQ77" s="1541"/>
      <c r="DR77" s="1541"/>
    </row>
    <row r="78" ht="12.75" x14ac:dyDescent="0.2">
      <c r="A78" s="1541"/>
      <c r="B78" s="1541"/>
      <c r="C78"/>
      <c r="D78" s="130">
        <f>IF(BX$75="Close to Ear","EN 62209-1","EN 62209-2")</f>
        <v/>
      </c>
      <c r="E78" s="130">
        <f>IF(CG78="Close to Ear","2016","2010/A1:2019")</f>
        <v/>
      </c>
      <c r="F78" s="1488" t="inlineStr">
        <is>
          <t>5.1</t>
        </is>
      </c>
      <c r="G78" s="1497"/>
      <c r="H78" s="120">
        <f>BV78</f>
        <v/>
      </c>
      <c r="I78" s="120">
        <f>BW78</f>
        <v/>
      </c>
      <c r="J78" s="687" t="str">
        <f>BT78</f>
        <v>GSM</v>
      </c>
      <c r="K78" s="194">
        <f>BU78</f>
        <v>900</v>
      </c>
      <c r="L78" s="115"/>
      <c r="M78" s="120">
        <f>BZ78</f>
        <v>0</v>
      </c>
      <c r="N78" s="119"/>
      <c r="O78" s="131"/>
      <c r="P78" s="6597"/>
      <c r="Q78" s="131"/>
      <c r="R78" s="131"/>
      <c r="S78" s="120">
        <f>CG78</f>
        <v>0</v>
      </c>
      <c r="T78" s="120">
        <f>CC78</f>
        <v>37</v>
      </c>
      <c r="U78" s="120">
        <f>CD78</f>
        <v>897.4</v>
      </c>
      <c r="V78" s="119"/>
      <c r="W78" s="197">
        <f>CK78*100</f>
        <v/>
      </c>
      <c r="X78" s="119"/>
      <c r="Y78" s="119"/>
      <c r="Z78" s="119"/>
      <c r="AA78" s="115"/>
      <c r="AB78" s="115"/>
      <c r="AC78" s="689">
        <f>IF(OR(BX$75="Close to Ear",BX$75="Close to Head"),"Head",IF(BX$75="Extremity","Extremity","Body"))</f>
        <v/>
      </c>
      <c r="AD78" s="690">
        <f>CA78</f>
        <v/>
      </c>
      <c r="AE78" s="688">
        <f>CB78</f>
        <v/>
      </c>
      <c r="AF78" s="115"/>
      <c r="AG78" s="808">
        <f>IF(AZ78="","N/A",IF(CQ78="Pass","P","F"))</f>
        <v/>
      </c>
      <c r="AH78" s="129"/>
      <c r="AI78" s="129"/>
      <c r="AJ78" s="129"/>
      <c r="AK78" s="119"/>
      <c r="AL78" s="115"/>
      <c r="AM78" s="119"/>
      <c r="AN78" s="119"/>
      <c r="AO78" s="692"/>
      <c r="AP78" s="692"/>
      <c r="AQ78" s="692"/>
      <c r="AR78" s="692"/>
      <c r="AS78" s="692"/>
      <c r="AT78" s="691">
        <f>CE78</f>
        <v/>
      </c>
      <c r="AU78" s="691">
        <f>CF78</f>
        <v/>
      </c>
      <c r="AV78" s="813"/>
      <c r="AW78" s="813"/>
      <c r="AX78" s="197">
        <f>CZ78</f>
        <v/>
      </c>
      <c r="AY78" s="197">
        <f>DE78</f>
        <v/>
      </c>
      <c r="AZ78" s="3379">
        <f>CO78</f>
        <v/>
      </c>
      <c r="BA78" s="3380"/>
      <c r="BB78" s="197">
        <f>CP78</f>
        <v/>
      </c>
      <c r="BC78" s="813"/>
      <c r="BD78" s="197">
        <f>CR78</f>
        <v/>
      </c>
      <c r="BE78" s="121">
        <f>CS78</f>
        <v/>
      </c>
      <c r="BF78" s="122">
        <f>CT78*60</f>
        <v/>
      </c>
      <c r="BG78" s="121">
        <f>BE78</f>
        <v/>
      </c>
      <c r="BH78" s="122">
        <f>CU78*60</f>
        <v/>
      </c>
      <c r="BI78" s="122">
        <f>CV78</f>
        <v/>
      </c>
      <c r="BJ78" s="117"/>
      <c r="BK78" s="812">
        <f>Overview!$E$7</f>
        <v/>
      </c>
      <c r="BL78" s="117"/>
      <c r="BM78" s="836">
        <f>CW78</f>
        <v/>
      </c>
      <c r="BN78" s="812">
        <f>Overview!$P$153</f>
        <v/>
      </c>
      <c r="BO78" s="117"/>
      <c r="BP78" s="117"/>
      <c r="BQ78" s="115"/>
      <c r="BR78" s="1478" t="inlineStr">
        <is>
          <t>N/A</t>
        </is>
      </c>
      <c r="BS78" s="1548"/>
      <c r="BT78" s="1791" t="inlineStr">
        <is>
          <t>GSM</t>
        </is>
      </c>
      <c r="BU78" s="1791">
        <v>900</v>
      </c>
      <c r="BV78" s="403">
        <f>Overview!$H$29</f>
        <v/>
      </c>
      <c r="BW78" s="2010"/>
      <c r="BX78" s="1791"/>
      <c r="BY78" s="2040"/>
      <c r="BZ78" s="2040"/>
      <c r="CA78" s="1997" t="inlineStr">
        <is>
          <t>Right Edge</t>
        </is>
      </c>
      <c r="CB78" s="200">
        <v>5</v>
      </c>
      <c r="CC78" s="1063">
        <f>'2G-3G'!BX18</f>
        <v>37</v>
      </c>
      <c r="CD78" s="1063">
        <f>'2G-3G'!BY18</f>
        <v>897.4</v>
      </c>
      <c r="CE78" s="1523"/>
      <c r="CF78" s="1523"/>
      <c r="CG78" s="387" t="str">
        <f>IF(OR($BY$3="",$BY$3=""),"",$BY$3)</f>
        <v/>
      </c>
      <c r="CH78" s="387">
        <f>BZ78</f>
        <v/>
      </c>
      <c r="CI78" s="387">
        <f>CA78</f>
        <v/>
      </c>
      <c r="CJ78" s="1527"/>
      <c r="CK78" s="2042"/>
      <c r="CL78" s="206">
        <f>IF(CF78=""," ",IF(ABS(CE78-CF78)&lt;=0.25,"Valid","Not valid"))</f>
        <v/>
      </c>
      <c r="CM78" s="207">
        <f> IF(CE78="","",IF(AND(CE78&lt;&gt;"",CF78=""),IF(CE78&gt;=2,"Medir+Sig Max","No"),IF(CF78&lt;&gt;"",IF(CF78&gt;=2,"Medir+Sig Max","No"),"")))</f>
        <v/>
      </c>
      <c r="CN78" s="1787"/>
      <c r="CO78" s="220">
        <f>IF(CK78="",IF(AND(CE78="",CF78=""),"",IF(CF78="",IF(DE78&gt;1,ROUND(DE78*CE78,3),CE78),IF(DE78&gt;1,ROUND(DE78*CF78,3),CF78))),IF(AND(CE78="",CF78=""),"",IF(CF78="",IF(DE78&gt;1,ROUND(DE78*CE78*(1/(CK78)),3),CE78*(1/(CK78))),IF(DE78&gt;1,ROUND(DE78*CF78*(1/(CK78)),3),CF78*(1/(CK78))))))</f>
        <v/>
      </c>
      <c r="CP78" s="2043">
        <f>$CP$34</f>
        <v/>
      </c>
      <c r="CQ78" s="1472">
        <f>IF(CO78="","",IF(CO78&gt;CP78,"Fail","Pass"))</f>
        <v/>
      </c>
      <c r="CR78" s="1481">
        <f>IF(AND(MAX(CO75:CO82)=CO78,CO78&lt;&gt;0),COUNT($CR$3:CR77)+1,"")</f>
        <v/>
      </c>
      <c r="CS78" s="1565">
        <f>MyTimestamp(CO78)</f>
        <v/>
      </c>
      <c r="CT78" s="1531">
        <f>IF(CE78="",0,15)+IF(CF78="",0,15)</f>
        <v/>
      </c>
      <c r="CU78" s="1532">
        <f>IF(CT78=0,0,2)</f>
        <v/>
      </c>
      <c r="CV78" s="859" t="inlineStr">
        <is>
          <t>S/02</t>
        </is>
      </c>
      <c r="CW78" s="859" t="inlineStr">
        <is>
          <t>Dasy6</t>
        </is>
      </c>
      <c r="CX78" s="2038"/>
      <c r="CY78" s="2044"/>
      <c r="CZ78" s="1543">
        <f>10^(CJ78/20)*100-100</f>
        <v/>
      </c>
      <c r="DA78" s="1319">
        <f>IF('Tune-Up'!$H$12="","",'Tune-Up'!$H$12)</f>
        <v/>
      </c>
      <c r="DB78" s="695">
        <f>'2G-3G'!BZ18</f>
        <v/>
      </c>
      <c r="DC78" s="797">
        <f>IF(DA78="","",10^(DA78/10))</f>
        <v/>
      </c>
      <c r="DD78" s="1363">
        <f>IF(ISNUMBER(DB78)=FALSE,"",10^(DB78/10))</f>
        <v/>
      </c>
      <c r="DE78" s="1543">
        <f>IF(AND(ISNUMBER(DC78),ISNUMBER(DD78)),IF(DC78/DD78&gt;1,ROUND((DC78)/DD78,3),1),1)</f>
        <v/>
      </c>
      <c r="DF78" s="1541"/>
      <c r="DG78" s="1541"/>
      <c r="DH78" s="1541"/>
      <c r="DI78" s="1541"/>
      <c r="DJ78" s="1541"/>
      <c r="DK78" s="1541"/>
      <c r="DL78" s="1541"/>
      <c r="DM78" s="1541"/>
      <c r="DN78" s="1541"/>
      <c r="DO78" s="1541"/>
      <c r="DP78" s="1541"/>
      <c r="DQ78" s="1541"/>
      <c r="DR78" s="1541"/>
    </row>
    <row r="79" ht="12.75" x14ac:dyDescent="0.2">
      <c r="A79" s="1541"/>
      <c r="B79" s="1541"/>
      <c r="C79"/>
      <c r="D79" s="130">
        <f>IF(BX$75="Close to Ear","EN 62209-1","EN 62209-2")</f>
        <v/>
      </c>
      <c r="E79" s="130">
        <f>IF(CG79="Close to Ear","2016","2010/A1:2019")</f>
        <v/>
      </c>
      <c r="F79" s="1488" t="inlineStr">
        <is>
          <t>5.1</t>
        </is>
      </c>
      <c r="G79" s="1497"/>
      <c r="H79" s="120">
        <f>BV79</f>
        <v/>
      </c>
      <c r="I79" s="120">
        <f>BW79</f>
        <v/>
      </c>
      <c r="J79" s="687" t="str">
        <f>BT79</f>
        <v>GSM</v>
      </c>
      <c r="K79" s="194">
        <f>BU79</f>
        <v>900</v>
      </c>
      <c r="L79" s="115"/>
      <c r="M79" s="120">
        <f>BZ79</f>
        <v>0</v>
      </c>
      <c r="N79" s="119"/>
      <c r="O79" s="131"/>
      <c r="P79" s="6597"/>
      <c r="Q79" s="131"/>
      <c r="R79" s="131"/>
      <c r="S79" s="120">
        <f>CG79</f>
        <v>0</v>
      </c>
      <c r="T79" s="120">
        <f>CC79</f>
        <v>37</v>
      </c>
      <c r="U79" s="120">
        <f>CD79</f>
        <v>897.4</v>
      </c>
      <c r="V79" s="119"/>
      <c r="W79" s="197">
        <f>CK79*100</f>
        <v/>
      </c>
      <c r="X79" s="119"/>
      <c r="Y79" s="119"/>
      <c r="Z79" s="119"/>
      <c r="AA79" s="115"/>
      <c r="AB79" s="115"/>
      <c r="AC79" s="689">
        <f>IF(OR(BX$75="Close to Ear",BX$75="Close to Head"),"Head",IF(BX$75="Extremity","Extremity","Body"))</f>
        <v/>
      </c>
      <c r="AD79" s="690">
        <f>CA79</f>
        <v/>
      </c>
      <c r="AE79" s="688">
        <f>CB79</f>
        <v/>
      </c>
      <c r="AF79" s="115"/>
      <c r="AG79" s="808">
        <f>IF(AZ79="","N/A",IF(CQ79="Pass","P","F"))</f>
        <v/>
      </c>
      <c r="AH79" s="129"/>
      <c r="AI79" s="129"/>
      <c r="AJ79" s="129"/>
      <c r="AK79" s="119"/>
      <c r="AL79" s="115"/>
      <c r="AM79" s="119"/>
      <c r="AN79" s="119"/>
      <c r="AO79" s="692"/>
      <c r="AP79" s="692"/>
      <c r="AQ79" s="692"/>
      <c r="AR79" s="692"/>
      <c r="AS79" s="692"/>
      <c r="AT79" s="691">
        <f>CE79</f>
        <v/>
      </c>
      <c r="AU79" s="691">
        <f>CF79</f>
        <v/>
      </c>
      <c r="AV79" s="813"/>
      <c r="AW79" s="813"/>
      <c r="AX79" s="197">
        <f>CZ79</f>
        <v/>
      </c>
      <c r="AY79" s="197">
        <f>DE79</f>
        <v/>
      </c>
      <c r="AZ79" s="3379">
        <f>CO79</f>
        <v/>
      </c>
      <c r="BA79" s="3380"/>
      <c r="BB79" s="197">
        <f>CP79</f>
        <v/>
      </c>
      <c r="BC79" s="813"/>
      <c r="BD79" s="197">
        <f>CR79</f>
        <v/>
      </c>
      <c r="BE79" s="121">
        <f>CS79</f>
        <v/>
      </c>
      <c r="BF79" s="122">
        <f>CT79*60</f>
        <v/>
      </c>
      <c r="BG79" s="121">
        <f>BE79</f>
        <v/>
      </c>
      <c r="BH79" s="122">
        <f>CU79*60</f>
        <v/>
      </c>
      <c r="BI79" s="122">
        <f>CV79</f>
        <v/>
      </c>
      <c r="BJ79" s="117"/>
      <c r="BK79" s="812">
        <f>Overview!$E$7</f>
        <v/>
      </c>
      <c r="BL79" s="117"/>
      <c r="BM79" s="836">
        <f>CW79</f>
        <v/>
      </c>
      <c r="BN79" s="812">
        <f>Overview!$P$153</f>
        <v/>
      </c>
      <c r="BO79" s="117"/>
      <c r="BP79" s="117"/>
      <c r="BQ79" s="115"/>
      <c r="BR79" s="1478" t="inlineStr">
        <is>
          <t>N/A</t>
        </is>
      </c>
      <c r="BS79" s="1548"/>
      <c r="BT79" s="1783" t="inlineStr">
        <is>
          <t>GSM</t>
        </is>
      </c>
      <c r="BU79" s="1783">
        <v>900</v>
      </c>
      <c r="BV79" s="400">
        <f>Overview!$H$29</f>
        <v/>
      </c>
      <c r="BW79" s="2010"/>
      <c r="BX79" s="1783"/>
      <c r="BY79" s="2040"/>
      <c r="BZ79" s="2040"/>
      <c r="CA79" s="1997" t="inlineStr">
        <is>
          <t>Top Edge</t>
        </is>
      </c>
      <c r="CB79" s="200">
        <v>5</v>
      </c>
      <c r="CC79" s="1063">
        <f>'2G-3G'!BX18</f>
        <v>37</v>
      </c>
      <c r="CD79" s="1063">
        <f>'2G-3G'!BY18</f>
        <v>897.4</v>
      </c>
      <c r="CE79" s="1523"/>
      <c r="CF79" s="1523"/>
      <c r="CG79" s="387" t="str">
        <f>IF(OR($BY$3="",$BY$3=""),"",$BY$3)</f>
        <v/>
      </c>
      <c r="CH79" s="387">
        <f>BZ79</f>
        <v/>
      </c>
      <c r="CI79" s="387">
        <f>CA79</f>
        <v/>
      </c>
      <c r="CJ79" s="1527"/>
      <c r="CK79" s="2042"/>
      <c r="CL79" s="206">
        <f>IF(CF79=""," ",IF(ABS(CE79-CF79)&lt;=0.25,"Valid","Not valid"))</f>
        <v/>
      </c>
      <c r="CM79" s="207">
        <f> IF(CE79="","",IF(AND(CE79&lt;&gt;"",CF79=""),IF(CE79&gt;=2,"Medir+Sig Max","No"),IF(CF79&lt;&gt;"",IF(CF79&gt;=2,"Medir+Sig Max","No"),"")))</f>
        <v/>
      </c>
      <c r="CN79" s="1787"/>
      <c r="CO79" s="220">
        <f>IF(CK79="",IF(AND(CE79="",CF79=""),"",IF(CF79="",IF(DE79&gt;1,ROUND(DE79*CE79,3),CE79),IF(DE79&gt;1,ROUND(DE79*CF79,3),CF79))),IF(AND(CE79="",CF79=""),"",IF(CF79="",IF(DE79&gt;1,ROUND(DE79*CE79*(1/(CK79)),3),CE79*(1/(CK79))),IF(DE79&gt;1,ROUND(DE79*CF79*(1/(CK79)),3),CF79*(1/(CK79))))))</f>
        <v/>
      </c>
      <c r="CP79" s="2043">
        <f>$CP$34</f>
        <v/>
      </c>
      <c r="CQ79" s="1472">
        <f>IF(CO79="","",IF(CO79&gt;CP79,"Fail","Pass"))</f>
        <v/>
      </c>
      <c r="CR79" s="1481">
        <f>IF(AND(MAX(CO75:CO82)=CO79,CO79&lt;&gt;0),COUNT($CR$3:CR78)+1,"")</f>
        <v/>
      </c>
      <c r="CS79" s="1565">
        <f>MyTimestamp(CO79)</f>
        <v/>
      </c>
      <c r="CT79" s="1531">
        <f>IF(CE79="",0,15)+IF(CF79="",0,15)</f>
        <v/>
      </c>
      <c r="CU79" s="1532">
        <f>IF(CT79=0,0,2)</f>
        <v/>
      </c>
      <c r="CV79" s="859" t="inlineStr">
        <is>
          <t>S/02</t>
        </is>
      </c>
      <c r="CW79" s="859" t="inlineStr">
        <is>
          <t>Dasy6</t>
        </is>
      </c>
      <c r="CX79" s="2038"/>
      <c r="CY79" s="2044"/>
      <c r="CZ79" s="1543">
        <f>10^(CJ79/20)*100-100</f>
        <v/>
      </c>
      <c r="DA79" s="1319">
        <f>IF('Tune-Up'!$H$12="","",'Tune-Up'!$H$12)</f>
        <v/>
      </c>
      <c r="DB79" s="695">
        <f>'2G-3G'!BZ18</f>
        <v/>
      </c>
      <c r="DC79" s="797">
        <f>IF(DA79="","",10^(DA79/10))</f>
        <v/>
      </c>
      <c r="DD79" s="1363">
        <f>IF(ISNUMBER(DB79)=FALSE,"",10^(DB79/10))</f>
        <v/>
      </c>
      <c r="DE79" s="1543">
        <f>IF(AND(ISNUMBER(DC79),ISNUMBER(DD79)),IF(DC79/DD79&gt;1,ROUND((DC79)/DD79,3),1),1)</f>
        <v/>
      </c>
      <c r="DF79" s="1541"/>
      <c r="DG79" s="1541"/>
      <c r="DH79" s="1541"/>
      <c r="DI79" s="1541"/>
      <c r="DJ79" s="1541"/>
      <c r="DK79" s="1541"/>
      <c r="DL79" s="1541"/>
      <c r="DM79" s="1541"/>
      <c r="DN79" s="1541"/>
      <c r="DO79" s="1541"/>
      <c r="DP79" s="1541"/>
      <c r="DQ79" s="1541"/>
      <c r="DR79" s="1541"/>
    </row>
    <row r="80" ht="12.75" x14ac:dyDescent="0.2">
      <c r="A80" s="1541"/>
      <c r="B80" s="1541"/>
      <c r="C80"/>
      <c r="D80" s="130">
        <f>IF(BX$75="Close to Ear","EN 62209-1","EN 62209-2")</f>
        <v/>
      </c>
      <c r="E80" s="130">
        <f>IF(CG80="Close to Ear","2016","2010/A1:2019")</f>
        <v/>
      </c>
      <c r="F80" s="1488" t="inlineStr">
        <is>
          <t>5.1</t>
        </is>
      </c>
      <c r="G80" s="1497"/>
      <c r="H80" s="120">
        <f>BV80</f>
        <v/>
      </c>
      <c r="I80" s="120">
        <f>BW80</f>
        <v/>
      </c>
      <c r="J80" s="687" t="str">
        <f>BT80</f>
        <v>GSM</v>
      </c>
      <c r="K80" s="194">
        <f>BU80</f>
        <v>900</v>
      </c>
      <c r="L80" s="115"/>
      <c r="M80" s="120">
        <f>BZ80</f>
        <v>0</v>
      </c>
      <c r="N80" s="119"/>
      <c r="O80" s="131"/>
      <c r="P80" s="6597"/>
      <c r="Q80" s="131"/>
      <c r="R80" s="131"/>
      <c r="S80" s="120">
        <f>CG80</f>
        <v>0</v>
      </c>
      <c r="T80" s="120">
        <f>CC80</f>
        <v>37</v>
      </c>
      <c r="U80" s="120">
        <f>CD80</f>
        <v>897.4</v>
      </c>
      <c r="V80" s="119"/>
      <c r="W80" s="197">
        <f>CK80*100</f>
        <v/>
      </c>
      <c r="X80" s="119"/>
      <c r="Y80" s="119"/>
      <c r="Z80" s="119"/>
      <c r="AA80" s="115"/>
      <c r="AB80" s="115"/>
      <c r="AC80" s="689">
        <f>IF(OR(BX$75="Close to Ear",BX$75="Close to Head"),"Head",IF(BX$75="Extremity","Extremity","Body"))</f>
        <v/>
      </c>
      <c r="AD80" s="690">
        <f>CA80</f>
        <v/>
      </c>
      <c r="AE80" s="688">
        <f>CB80</f>
        <v/>
      </c>
      <c r="AF80" s="115"/>
      <c r="AG80" s="808">
        <f>IF(AZ80="","N/A",IF(CQ80="Pass","P","F"))</f>
        <v/>
      </c>
      <c r="AH80" s="129"/>
      <c r="AI80" s="129"/>
      <c r="AJ80" s="129"/>
      <c r="AK80" s="119"/>
      <c r="AL80" s="115"/>
      <c r="AM80" s="119"/>
      <c r="AN80" s="119"/>
      <c r="AO80" s="692"/>
      <c r="AP80" s="692"/>
      <c r="AQ80" s="692"/>
      <c r="AR80" s="692"/>
      <c r="AS80" s="692"/>
      <c r="AT80" s="691">
        <f>CE80</f>
        <v/>
      </c>
      <c r="AU80" s="691">
        <f>CF80</f>
        <v/>
      </c>
      <c r="AV80" s="813"/>
      <c r="AW80" s="813"/>
      <c r="AX80" s="197">
        <f>CZ80</f>
        <v/>
      </c>
      <c r="AY80" s="197">
        <f>DE80</f>
        <v/>
      </c>
      <c r="AZ80" s="3379">
        <f>CO80</f>
        <v/>
      </c>
      <c r="BA80" s="3380"/>
      <c r="BB80" s="197">
        <f>CP80</f>
        <v/>
      </c>
      <c r="BC80" s="813"/>
      <c r="BD80" s="197">
        <f>CR80</f>
        <v/>
      </c>
      <c r="BE80" s="121">
        <f>CS80</f>
        <v/>
      </c>
      <c r="BF80" s="122">
        <f>CT80*60</f>
        <v/>
      </c>
      <c r="BG80" s="121">
        <f>BE80</f>
        <v/>
      </c>
      <c r="BH80" s="122">
        <f>CU80*60</f>
        <v/>
      </c>
      <c r="BI80" s="122">
        <f>CV80</f>
        <v/>
      </c>
      <c r="BJ80" s="117"/>
      <c r="BK80" s="812">
        <f>Overview!$E$7</f>
        <v/>
      </c>
      <c r="BL80" s="117"/>
      <c r="BM80" s="836">
        <f>CW80</f>
        <v/>
      </c>
      <c r="BN80" s="812">
        <f>Overview!$P$153</f>
        <v/>
      </c>
      <c r="BO80" s="117"/>
      <c r="BP80" s="117"/>
      <c r="BQ80" s="115"/>
      <c r="BR80" s="1478" t="inlineStr">
        <is>
          <t>N/A</t>
        </is>
      </c>
      <c r="BS80" s="1548"/>
      <c r="BT80" s="1783" t="inlineStr">
        <is>
          <t>GSM</t>
        </is>
      </c>
      <c r="BU80" s="1783">
        <v>900</v>
      </c>
      <c r="BV80" s="400">
        <f>Overview!$H$29</f>
        <v/>
      </c>
      <c r="BW80" s="2010"/>
      <c r="BX80" s="1783"/>
      <c r="BY80" s="2040"/>
      <c r="BZ80" s="2040"/>
      <c r="CA80" s="1997" t="inlineStr">
        <is>
          <t>Bottom Edge</t>
        </is>
      </c>
      <c r="CB80" s="200">
        <v>5</v>
      </c>
      <c r="CC80" s="1063">
        <f>'2G-3G'!BX18</f>
        <v>37</v>
      </c>
      <c r="CD80" s="1063">
        <f>'2G-3G'!BY18</f>
        <v>897.4</v>
      </c>
      <c r="CE80" s="1523"/>
      <c r="CF80" s="1523"/>
      <c r="CG80" s="387" t="str">
        <f>IF(OR($BY$3="",$BY$3=""),"",$BY$3)</f>
        <v/>
      </c>
      <c r="CH80" s="387">
        <f>BZ80</f>
        <v/>
      </c>
      <c r="CI80" s="387">
        <f>CA80</f>
        <v/>
      </c>
      <c r="CJ80" s="1527"/>
      <c r="CK80" s="2042"/>
      <c r="CL80" s="206">
        <f>IF(CF80=""," ",IF(ABS(CE80-CF80)&lt;=0.25,"Valid","Not valid"))</f>
        <v/>
      </c>
      <c r="CM80" s="207">
        <f> IF(CE80="","",IF(AND(CE80&lt;&gt;"",CF80=""),IF(CE80&gt;=2,"Medir+Sig Max","No"),IF(CF80&lt;&gt;"",IF(CF80&gt;=2,"Medir+Sig Max","No"),"")))</f>
        <v/>
      </c>
      <c r="CN80" s="1787"/>
      <c r="CO80" s="220">
        <f>IF(CK80="",IF(AND(CE80="",CF80=""),"",IF(CF80="",IF(DE80&gt;1,ROUND(DE80*CE80,3),CE80),IF(DE80&gt;1,ROUND(DE80*CF80,3),CF80))),IF(AND(CE80="",CF80=""),"",IF(CF80="",IF(DE80&gt;1,ROUND(DE80*CE80*(1/(CK80)),3),CE80*(1/(CK80))),IF(DE80&gt;1,ROUND(DE80*CF80*(1/(CK80)),3),CF80*(1/(CK80))))))</f>
        <v/>
      </c>
      <c r="CP80" s="2043">
        <f>$CP$34</f>
        <v/>
      </c>
      <c r="CQ80" s="1472">
        <f>IF(CO80="","",IF(CO80&gt;CP80,"Fail","Pass"))</f>
        <v/>
      </c>
      <c r="CR80" s="1481">
        <f>IF(AND(MAX(CO75:CO82)=CO80,CO80&lt;&gt;0),COUNT($CR$3:CR79)+1,"")</f>
        <v/>
      </c>
      <c r="CS80" s="1565">
        <f>MyTimestamp(CO80)</f>
        <v/>
      </c>
      <c r="CT80" s="1531">
        <f>IF(CE80="",0,15)+IF(CF80="",0,15)</f>
        <v/>
      </c>
      <c r="CU80" s="1532">
        <f>IF(CT80=0,0,2)</f>
        <v/>
      </c>
      <c r="CV80" s="859" t="inlineStr">
        <is>
          <t>S/02</t>
        </is>
      </c>
      <c r="CW80" s="859" t="inlineStr">
        <is>
          <t>Dasy6</t>
        </is>
      </c>
      <c r="CX80" s="2038"/>
      <c r="CY80" s="2044"/>
      <c r="CZ80" s="1543">
        <f>10^(CJ80/20)*100-100</f>
        <v/>
      </c>
      <c r="DA80" s="1319">
        <f>IF('Tune-Up'!$H$12="","",'Tune-Up'!$H$12)</f>
        <v/>
      </c>
      <c r="DB80" s="695">
        <f>'2G-3G'!BZ18</f>
        <v/>
      </c>
      <c r="DC80" s="797">
        <f>IF(DA80="","",10^(DA80/10))</f>
        <v/>
      </c>
      <c r="DD80" s="1363">
        <f>IF(ISNUMBER(DB80)=FALSE,"",10^(DB80/10))</f>
        <v/>
      </c>
      <c r="DE80" s="1543">
        <f>IF(AND(ISNUMBER(DC80),ISNUMBER(DD80)),IF(DC80/DD80&gt;1,ROUND((DC80)/DD80,3),1),1)</f>
        <v/>
      </c>
      <c r="DF80" s="1541"/>
      <c r="DG80" s="1541"/>
      <c r="DH80" s="1541"/>
      <c r="DI80" s="1541"/>
      <c r="DJ80" s="1541"/>
      <c r="DK80" s="1541"/>
      <c r="DL80" s="1541"/>
      <c r="DM80" s="1541"/>
      <c r="DN80" s="1541"/>
      <c r="DO80" s="1541"/>
      <c r="DP80" s="1541"/>
      <c r="DQ80" s="1541"/>
      <c r="DR80" s="1541"/>
    </row>
    <row r="81" ht="12.75" x14ac:dyDescent="0.2">
      <c r="A81" s="1541"/>
      <c r="B81" s="1541"/>
      <c r="C81"/>
      <c r="D81" s="130">
        <f>IF(BX$75="Close to Ear","EN 62209-1","EN 62209-2")</f>
        <v/>
      </c>
      <c r="E81" s="130">
        <f>IF(CG81="Close to Ear","2016","2010/A1:2019")</f>
        <v/>
      </c>
      <c r="F81" s="1488" t="inlineStr">
        <is>
          <t>5.1</t>
        </is>
      </c>
      <c r="G81" s="1497"/>
      <c r="H81" s="120">
        <f>BV81</f>
        <v/>
      </c>
      <c r="I81" s="120">
        <f>BW81</f>
        <v/>
      </c>
      <c r="J81" s="687" t="str">
        <f>BT81</f>
        <v>GSM</v>
      </c>
      <c r="K81" s="194">
        <f>BU81</f>
        <v>900</v>
      </c>
      <c r="L81" s="115"/>
      <c r="M81" s="120">
        <f>BZ81</f>
        <v>0</v>
      </c>
      <c r="N81" s="119"/>
      <c r="O81" s="131"/>
      <c r="P81" s="6597"/>
      <c r="Q81" s="131"/>
      <c r="R81" s="131"/>
      <c r="S81" s="120">
        <f>CG81</f>
        <v>0</v>
      </c>
      <c r="T81" s="120">
        <f>CC81</f>
        <v>975</v>
      </c>
      <c r="U81" s="120">
        <f>CD81</f>
        <v>880.2</v>
      </c>
      <c r="V81" s="119"/>
      <c r="W81" s="197">
        <f>CK81*100</f>
        <v/>
      </c>
      <c r="X81" s="119"/>
      <c r="Y81" s="119"/>
      <c r="Z81" s="119"/>
      <c r="AA81" s="115"/>
      <c r="AB81" s="115"/>
      <c r="AC81" s="689">
        <f>IF(OR(BX$75="Close to Ear",BX$75="Close to Head"),"Head",IF(BX$75="Extremity","Extremity","Body"))</f>
        <v/>
      </c>
      <c r="AD81" s="690">
        <f>CA81</f>
        <v/>
      </c>
      <c r="AE81" s="688">
        <f>CB81</f>
        <v/>
      </c>
      <c r="AF81" s="115"/>
      <c r="AG81" s="808">
        <f>IF(AZ81="","N/A",IF(CQ81="Pass","P","F"))</f>
        <v/>
      </c>
      <c r="AH81" s="129"/>
      <c r="AI81" s="129"/>
      <c r="AJ81" s="129"/>
      <c r="AK81" s="119"/>
      <c r="AL81" s="115"/>
      <c r="AM81" s="119"/>
      <c r="AN81" s="119"/>
      <c r="AO81" s="692"/>
      <c r="AP81" s="692"/>
      <c r="AQ81" s="692"/>
      <c r="AR81" s="692"/>
      <c r="AS81" s="692"/>
      <c r="AT81" s="691">
        <f>CE81</f>
        <v/>
      </c>
      <c r="AU81" s="691">
        <f>CF81</f>
        <v/>
      </c>
      <c r="AV81" s="813"/>
      <c r="AW81" s="813"/>
      <c r="AX81" s="197">
        <f>CZ81</f>
        <v/>
      </c>
      <c r="AY81" s="197">
        <f>DE81</f>
        <v/>
      </c>
      <c r="AZ81" s="3379">
        <f>CO81</f>
        <v/>
      </c>
      <c r="BA81" s="3380"/>
      <c r="BB81" s="197">
        <f>CP81</f>
        <v/>
      </c>
      <c r="BC81" s="813"/>
      <c r="BD81" s="197">
        <f>CR81</f>
        <v/>
      </c>
      <c r="BE81" s="121">
        <f>CS81</f>
        <v/>
      </c>
      <c r="BF81" s="122">
        <f>CT81*60</f>
        <v/>
      </c>
      <c r="BG81" s="121">
        <f>BE81</f>
        <v/>
      </c>
      <c r="BH81" s="122">
        <f>CU81*60</f>
        <v/>
      </c>
      <c r="BI81" s="122">
        <f>CV81</f>
        <v/>
      </c>
      <c r="BJ81" s="117"/>
      <c r="BK81" s="812">
        <f>Overview!$E$7</f>
        <v/>
      </c>
      <c r="BL81" s="117"/>
      <c r="BM81" s="836">
        <f>CW81</f>
        <v/>
      </c>
      <c r="BN81" s="812">
        <f>Overview!$P$153</f>
        <v/>
      </c>
      <c r="BO81" s="117"/>
      <c r="BP81" s="117"/>
      <c r="BQ81" s="115"/>
      <c r="BR81" s="1478" t="inlineStr">
        <is>
          <t>N/A</t>
        </is>
      </c>
      <c r="BS81" s="1548"/>
      <c r="BT81" s="1783" t="inlineStr">
        <is>
          <t>GSM</t>
        </is>
      </c>
      <c r="BU81" s="1783">
        <v>900</v>
      </c>
      <c r="BV81" s="400">
        <f>Overview!$H$29</f>
        <v/>
      </c>
      <c r="BW81" s="2010"/>
      <c r="BX81" s="1783"/>
      <c r="BY81" s="2040"/>
      <c r="BZ81" s="2040"/>
      <c r="CA81" s="401" t="str">
        <f>IF(COUNT(CF75:CF80)=0,IF(COUNT(CE75:CE80)=0,"TBD",VLOOKUP(MAX(CE75:CE80),CE75:CI80,5,FALSE)),VLOOKUP(MAX(CF75:CF80),CF75:CI80,4,FALSE))</f>
        <v>TBD</v>
      </c>
      <c r="CB81" s="200">
        <v>5</v>
      </c>
      <c r="CC81" s="1063">
        <f>'2G-3G'!BX19</f>
        <v>975</v>
      </c>
      <c r="CD81" s="1063">
        <f>'2G-3G'!BY19</f>
        <v>880.2</v>
      </c>
      <c r="CE81" s="1523"/>
      <c r="CF81" s="1523"/>
      <c r="CG81" s="387" t="str">
        <f>IF(OR($BY$3="",$BY$3=""),"",$BY$3)</f>
        <v/>
      </c>
      <c r="CH81" s="387">
        <f>BZ81</f>
        <v/>
      </c>
      <c r="CI81" s="387">
        <f>CA81</f>
        <v/>
      </c>
      <c r="CJ81" s="1527"/>
      <c r="CK81" s="2042"/>
      <c r="CL81" s="206">
        <f>IF(CF81=""," ",IF(ABS(CE81-CF81)&lt;=0.25,"Valid","Not valid"))</f>
        <v/>
      </c>
      <c r="CM81" s="207">
        <f> IF(CE81="","",IF(AND(CE81&lt;&gt;"",CF81=""),IF(CE81&gt;=2,"Medir+Sig Max","No"),IF(CF81&lt;&gt;"",IF(CF81&gt;=2,"Medir+Sig Max","No"),"")))</f>
        <v/>
      </c>
      <c r="CN81" s="1787"/>
      <c r="CO81" s="220">
        <f>IF(CK81="",IF(AND(CE81="",CF81=""),"",IF(CF81="",IF(DE81&gt;1,ROUND(DE81*CE81,3),CE81),IF(DE81&gt;1,ROUND(DE81*CF81,3),CF81))),IF(AND(CE81="",CF81=""),"",IF(CF81="",IF(DE81&gt;1,ROUND(DE81*CE81*(1/(CK81)),3),CE81*(1/(CK81))),IF(DE81&gt;1,ROUND(DE81*CF81*(1/(CK81)),3),CF81*(1/(CK81))))))</f>
        <v/>
      </c>
      <c r="CP81" s="2043">
        <f>$CP$34</f>
        <v/>
      </c>
      <c r="CQ81" s="1472">
        <f>IF(CO81="","",IF(CO81&gt;CP81,"Fail","Pass"))</f>
        <v/>
      </c>
      <c r="CR81" s="1481">
        <f>IF(AND(MAX(CO75:CO82)=CO81,CO81&lt;&gt;0),COUNT($CR$3:CR80)+1,"")</f>
        <v/>
      </c>
      <c r="CS81" s="1565">
        <f>MyTimestamp(CO81)</f>
        <v/>
      </c>
      <c r="CT81" s="1531">
        <f>IF(CE81="",0,15)+IF(CF81="",0,15)</f>
        <v/>
      </c>
      <c r="CU81" s="1532">
        <f>IF(CT81=0,0,2)</f>
        <v/>
      </c>
      <c r="CV81" s="859" t="inlineStr">
        <is>
          <t>S/02</t>
        </is>
      </c>
      <c r="CW81" s="859" t="inlineStr">
        <is>
          <t>Dasy6</t>
        </is>
      </c>
      <c r="CX81" s="2038"/>
      <c r="CY81" s="2044"/>
      <c r="CZ81" s="1543">
        <f>10^(CJ81/20)*100-100</f>
        <v/>
      </c>
      <c r="DA81" s="1319">
        <f>IF('Tune-Up'!$H$12="","",'Tune-Up'!$H$12)</f>
        <v/>
      </c>
      <c r="DB81" s="695">
        <f>'2G-3G'!BZ19</f>
        <v/>
      </c>
      <c r="DC81" s="797">
        <f>IF(DA81="","",10^(DA81/10))</f>
        <v/>
      </c>
      <c r="DD81" s="1363">
        <f>IF(ISNUMBER(DB81)=FALSE,"",10^(DB81/10))</f>
        <v/>
      </c>
      <c r="DE81" s="1543">
        <f>IF(AND(ISNUMBER(DC81),ISNUMBER(DD81)),IF(DC81/DD81&gt;1,ROUND((DC81)/DD81,3),1),1)</f>
        <v/>
      </c>
      <c r="DF81" s="1541"/>
      <c r="DG81" s="1541"/>
      <c r="DH81" s="1541"/>
      <c r="DI81" s="1541"/>
      <c r="DJ81" s="1541"/>
      <c r="DK81" s="1541"/>
      <c r="DL81" s="1541"/>
      <c r="DM81" s="1541"/>
      <c r="DN81" s="1541"/>
      <c r="DO81" s="1541"/>
      <c r="DP81" s="1541"/>
      <c r="DQ81" s="1541"/>
      <c r="DR81" s="1541"/>
    </row>
    <row r="82" ht="12.75" x14ac:dyDescent="0.2">
      <c r="A82" s="1541"/>
      <c r="B82" s="1541"/>
      <c r="C82"/>
      <c r="D82" s="130">
        <f>IF(BX$75="Close to Ear","EN 62209-1","EN 62209-2")</f>
        <v/>
      </c>
      <c r="E82" s="130">
        <f>IF(CG82="Close to Ear","2016","2010/A1:2019")</f>
        <v/>
      </c>
      <c r="F82" s="1488" t="inlineStr">
        <is>
          <t>5.1</t>
        </is>
      </c>
      <c r="G82" s="1497"/>
      <c r="H82" s="120">
        <f>BV82</f>
        <v/>
      </c>
      <c r="I82" s="120">
        <f>BW82</f>
        <v/>
      </c>
      <c r="J82" s="687" t="str">
        <f>BT82</f>
        <v>GSM</v>
      </c>
      <c r="K82" s="194">
        <f>BU82</f>
        <v>900</v>
      </c>
      <c r="L82" s="115"/>
      <c r="M82" s="120">
        <f>BZ82</f>
        <v>0</v>
      </c>
      <c r="N82" s="119"/>
      <c r="O82" s="131"/>
      <c r="P82" s="6597"/>
      <c r="Q82" s="131"/>
      <c r="R82" s="131"/>
      <c r="S82" s="120">
        <f>CG82</f>
        <v>0</v>
      </c>
      <c r="T82" s="120">
        <f>CC82</f>
        <v>124</v>
      </c>
      <c r="U82" s="120">
        <f>CD82</f>
        <v>914.8</v>
      </c>
      <c r="V82" s="119"/>
      <c r="W82" s="197">
        <f>CK82*100</f>
        <v/>
      </c>
      <c r="X82" s="119"/>
      <c r="Y82" s="119"/>
      <c r="Z82" s="119"/>
      <c r="AA82" s="115"/>
      <c r="AB82" s="115"/>
      <c r="AC82" s="689">
        <f>IF(OR(BX$75="Close to Ear",BX$75="Close to Head"),"Head",IF(BX$75="Extremity","Extremity","Body"))</f>
        <v/>
      </c>
      <c r="AD82" s="690">
        <f>CA82</f>
        <v/>
      </c>
      <c r="AE82" s="688">
        <f>CB82</f>
        <v/>
      </c>
      <c r="AF82" s="115"/>
      <c r="AG82" s="808">
        <f>IF(AZ82="","N/A",IF(CQ82="Pass","P","F"))</f>
        <v/>
      </c>
      <c r="AH82" s="129"/>
      <c r="AI82" s="129"/>
      <c r="AJ82" s="129"/>
      <c r="AK82" s="119"/>
      <c r="AL82" s="115"/>
      <c r="AM82" s="119"/>
      <c r="AN82" s="119"/>
      <c r="AO82" s="692"/>
      <c r="AP82" s="692"/>
      <c r="AQ82" s="692"/>
      <c r="AR82" s="692"/>
      <c r="AS82" s="692"/>
      <c r="AT82" s="691">
        <f>CE82</f>
        <v/>
      </c>
      <c r="AU82" s="691">
        <f>CF82</f>
        <v/>
      </c>
      <c r="AV82" s="813"/>
      <c r="AW82" s="813"/>
      <c r="AX82" s="197">
        <f>CZ82</f>
        <v/>
      </c>
      <c r="AY82" s="197">
        <f>DE82</f>
        <v/>
      </c>
      <c r="AZ82" s="3379">
        <f>CO82</f>
        <v/>
      </c>
      <c r="BA82" s="3380"/>
      <c r="BB82" s="197">
        <f>CP82</f>
        <v/>
      </c>
      <c r="BC82" s="813"/>
      <c r="BD82" s="197">
        <f>CR82</f>
        <v/>
      </c>
      <c r="BE82" s="121">
        <f>CS82</f>
        <v/>
      </c>
      <c r="BF82" s="122">
        <f>CT82*60</f>
        <v/>
      </c>
      <c r="BG82" s="121">
        <f>BE82</f>
        <v/>
      </c>
      <c r="BH82" s="122">
        <f>CU82*60</f>
        <v/>
      </c>
      <c r="BI82" s="122">
        <f>CV82</f>
        <v/>
      </c>
      <c r="BJ82" s="117"/>
      <c r="BK82" s="812">
        <f>Overview!$E$7</f>
        <v/>
      </c>
      <c r="BL82" s="117"/>
      <c r="BM82" s="836">
        <f>CW82</f>
        <v/>
      </c>
      <c r="BN82" s="812">
        <f>Overview!$P$153</f>
        <v/>
      </c>
      <c r="BO82" s="117"/>
      <c r="BP82" s="117"/>
      <c r="BQ82" s="115"/>
      <c r="BR82" s="1478" t="inlineStr">
        <is>
          <t>N/A</t>
        </is>
      </c>
      <c r="BS82" s="1548"/>
      <c r="BT82" s="1800" t="inlineStr">
        <is>
          <t>GSM</t>
        </is>
      </c>
      <c r="BU82" s="1800">
        <v>900</v>
      </c>
      <c r="BV82" s="406">
        <f>Overview!$H$29</f>
        <v/>
      </c>
      <c r="BW82" s="2016"/>
      <c r="BX82" s="1800"/>
      <c r="BY82" s="2057"/>
      <c r="BZ82" s="2040"/>
      <c r="CA82" s="404" t="str">
        <f>IF(COUNT(CF75:CF80)=0,IF(COUNT(CE75:CE80)=0,"TBD",VLOOKUP(MAX(CE75:CE80),CE75:CI80,5,FALSE)),VLOOKUP(MAX(CF75:CF80),CF75:CI80,4,FALSE))</f>
        <v>TBD</v>
      </c>
      <c r="CB82" s="201">
        <v>5</v>
      </c>
      <c r="CC82" s="1081">
        <f>'2G-3G'!BX20</f>
        <v>124</v>
      </c>
      <c r="CD82" s="1081">
        <f>'2G-3G'!BY20</f>
        <v>914.8</v>
      </c>
      <c r="CE82" s="1874"/>
      <c r="CF82" s="1874"/>
      <c r="CG82" s="388" t="str">
        <f>IF(OR($BY$3="",$BY$3=""),"",$BY$3)</f>
        <v/>
      </c>
      <c r="CH82" s="388">
        <f>BZ82</f>
        <v/>
      </c>
      <c r="CI82" s="388">
        <f>CA82</f>
        <v/>
      </c>
      <c r="CJ82" s="2046"/>
      <c r="CK82" s="2047"/>
      <c r="CL82" s="212">
        <f>IF(CF82=""," ",IF(ABS(CE82-CF82)&lt;=0.25,"Valid","Not valid"))</f>
        <v/>
      </c>
      <c r="CM82" s="213">
        <f> IF(CE82="","",IF(AND(CE82&lt;&gt;"",CF82=""),IF(CE82&gt;=2,"Medir+Sig Max","No"),IF(CF82&lt;&gt;"",IF(CF82&gt;=2,"Medir+Sig Max","No"),"")))</f>
        <v/>
      </c>
      <c r="CN82" s="1794"/>
      <c r="CO82" s="221">
        <f>IF(CK82="",IF(AND(CE82="",CF82=""),"",IF(CF82="",IF(DE82&gt;1,ROUND(DE82*CE82,3),CE82),IF(DE82&gt;1,ROUND(DE82*CF82,3),CF82))),IF(AND(CE82="",CF82=""),"",IF(CF82="",IF(DE82&gt;1,ROUND(DE82*CE82*(1/(CK82)),3),CE82*(1/(CK82))),IF(DE82&gt;1,ROUND(DE82*CF82*(1/(CK82)),3),CF82*(1/(CK82))))))</f>
        <v/>
      </c>
      <c r="CP82" s="2048">
        <f>$CP$34</f>
        <v/>
      </c>
      <c r="CQ82" s="1473">
        <f>IF(CO82="","",IF(CO82&gt;CP82,"Fail","Pass"))</f>
        <v/>
      </c>
      <c r="CR82" s="1482">
        <f>IF(AND(MAX(CO75:CO82)=CO82,CO82&lt;&gt;0),COUNT($CR$3:CR81)+1,"")</f>
        <v/>
      </c>
      <c r="CS82" s="1566">
        <f>MyTimestamp(CO82)</f>
        <v/>
      </c>
      <c r="CT82" s="1535">
        <f>IF(CE82="",0,15)+IF(CF82="",0,15)</f>
        <v/>
      </c>
      <c r="CU82" s="1536">
        <f>IF(CT82=0,0,2)</f>
        <v/>
      </c>
      <c r="CV82" s="861" t="inlineStr">
        <is>
          <t>S/02</t>
        </is>
      </c>
      <c r="CW82" s="861" t="inlineStr">
        <is>
          <t>Dasy6</t>
        </is>
      </c>
      <c r="CX82" s="2038"/>
      <c r="CY82" s="2050"/>
      <c r="CZ82" s="1545">
        <f>10^(CJ82/20)*100-100</f>
        <v/>
      </c>
      <c r="DA82" s="1320">
        <f>IF('Tune-Up'!$H$12="","",'Tune-Up'!$H$12)</f>
        <v/>
      </c>
      <c r="DB82" s="696">
        <f>'2G-3G'!BZ20</f>
        <v/>
      </c>
      <c r="DC82" s="798">
        <f>IF(DA82="","",10^(DA82/10))</f>
        <v/>
      </c>
      <c r="DD82" s="1364">
        <f>IF(ISNUMBER(DB82)=FALSE,"",10^(DB82/10))</f>
        <v/>
      </c>
      <c r="DE82" s="1545">
        <f>IF(AND(ISNUMBER(DC82),ISNUMBER(DD82)),IF(DC82/DD82&gt;1,ROUND((DC82)/DD82,3),1),1)</f>
        <v/>
      </c>
      <c r="DF82" s="1541"/>
      <c r="DG82" s="1541"/>
      <c r="DH82" s="1541"/>
      <c r="DI82" s="1541"/>
      <c r="DJ82" s="1541"/>
      <c r="DK82" s="1541"/>
      <c r="DL82" s="1541"/>
      <c r="DM82" s="1541"/>
      <c r="DN82" s="1541"/>
      <c r="DO82" s="1541"/>
      <c r="DP82" s="1541"/>
      <c r="DQ82" s="1541"/>
      <c r="DR82" s="1541"/>
    </row>
    <row r="83" ht="12.75" x14ac:dyDescent="0.2">
      <c r="A83" s="1541"/>
      <c r="B83" s="1541"/>
      <c r="C83"/>
      <c r="D83" s="130">
        <f>IF(BX$75="Close to Ear","EN 62209-1","EN 62209-2")</f>
        <v/>
      </c>
      <c r="E83" s="130">
        <f>IF(CG83="Close to Ear","2016","2010/A1:2019")</f>
        <v/>
      </c>
      <c r="F83" s="1488" t="inlineStr">
        <is>
          <t>5.1</t>
        </is>
      </c>
      <c r="G83" s="1497"/>
      <c r="H83" s="120">
        <f>BV83</f>
        <v/>
      </c>
      <c r="I83" s="120">
        <f>BW83</f>
        <v/>
      </c>
      <c r="J83" s="687">
        <f>BT83</f>
        <v/>
      </c>
      <c r="K83" s="194">
        <f>BU83</f>
        <v/>
      </c>
      <c r="L83" s="115"/>
      <c r="M83" s="120">
        <f>BZ83</f>
        <v/>
      </c>
      <c r="N83" s="119"/>
      <c r="O83" s="131"/>
      <c r="P83" s="6597"/>
      <c r="Q83" s="131"/>
      <c r="R83" s="131"/>
      <c r="S83" s="120">
        <f>CG83</f>
        <v/>
      </c>
      <c r="T83" s="120">
        <f>CC83</f>
        <v/>
      </c>
      <c r="U83" s="120">
        <f>CD83</f>
        <v/>
      </c>
      <c r="V83" s="119"/>
      <c r="W83" s="197">
        <f>CK83*100</f>
        <v/>
      </c>
      <c r="X83" s="119"/>
      <c r="Y83" s="119"/>
      <c r="Z83" s="119"/>
      <c r="AA83" s="115"/>
      <c r="AB83" s="115"/>
      <c r="AC83" s="689">
        <f>IF(OR(BX$75="Close to Ear",BX$75="Close to Head"),"Head",IF(BX$75="Extremity","Extremity","Body"))</f>
        <v/>
      </c>
      <c r="AD83" s="690">
        <f>CA83</f>
        <v/>
      </c>
      <c r="AE83" s="688">
        <f>CB83</f>
        <v/>
      </c>
      <c r="AF83" s="115"/>
      <c r="AG83" s="808">
        <f>IF(AZ83="","N/A",IF(CQ83="Pass","P","F"))</f>
        <v/>
      </c>
      <c r="AH83" s="129"/>
      <c r="AI83" s="129"/>
      <c r="AJ83" s="129"/>
      <c r="AK83" s="119"/>
      <c r="AL83" s="115"/>
      <c r="AM83" s="119"/>
      <c r="AN83" s="119"/>
      <c r="AO83" s="692"/>
      <c r="AP83" s="692"/>
      <c r="AQ83" s="692"/>
      <c r="AR83" s="692"/>
      <c r="AS83" s="692"/>
      <c r="AT83" s="691">
        <f>CE83</f>
        <v/>
      </c>
      <c r="AU83" s="691">
        <f>CF83</f>
        <v/>
      </c>
      <c r="AV83" s="813"/>
      <c r="AW83" s="813"/>
      <c r="AX83" s="197">
        <f>CZ83</f>
        <v/>
      </c>
      <c r="AY83" s="197">
        <f>DE83</f>
        <v/>
      </c>
      <c r="AZ83" s="3379">
        <f>CO83</f>
        <v/>
      </c>
      <c r="BA83" s="3380"/>
      <c r="BB83" s="197">
        <f>CP83</f>
        <v/>
      </c>
      <c r="BC83" s="813"/>
      <c r="BD83" s="197">
        <f>CR83</f>
        <v/>
      </c>
      <c r="BE83" s="121">
        <f>CS83</f>
        <v/>
      </c>
      <c r="BF83" s="122">
        <f>CT83*60</f>
        <v/>
      </c>
      <c r="BG83" s="121">
        <f>BE83</f>
        <v/>
      </c>
      <c r="BH83" s="122">
        <f>CU83*60</f>
        <v/>
      </c>
      <c r="BI83" s="122">
        <f>CV83</f>
        <v/>
      </c>
      <c r="BJ83" s="117"/>
      <c r="BK83" s="812">
        <f>Overview!$E$7</f>
        <v/>
      </c>
      <c r="BL83" s="117"/>
      <c r="BM83" s="836">
        <f>CW83</f>
        <v/>
      </c>
      <c r="BN83" s="812">
        <f>Overview!$P$153</f>
        <v/>
      </c>
      <c r="BO83" s="117"/>
      <c r="BP83" s="117"/>
      <c r="BQ83" s="115"/>
      <c r="BR83" s="1478" t="inlineStr">
        <is>
          <t>N/A</t>
        </is>
      </c>
      <c r="BS83" s="1548"/>
      <c r="BT83" s="1800" t="inlineStr">
        <is>
          <t>GSM</t>
        </is>
      </c>
      <c r="BU83" s="1800">
        <v>900</v>
      </c>
      <c r="BV83" s="406">
        <f>Overview!$H$29</f>
        <v/>
      </c>
      <c r="BW83" s="2016"/>
      <c r="BX83" s="1800"/>
      <c r="BY83" s="2057"/>
      <c r="BZ83" s="2040"/>
      <c r="CA83" s="404" t="str">
        <f>CONCATENATE(CA81," - Battery check 1")</f>
        <v>TBD - Battery check 1</v>
      </c>
      <c r="CB83" s="201">
        <v>5</v>
      </c>
      <c r="CC83" s="1081">
        <f>IF(COUNT($CO$75:$CO$82)=0,"N/A",INDEX($CC$75:$CC$82,MATCH(MAX($CO$75:$CO$82),$CO$75:$CO$82,0)))</f>
        <v/>
      </c>
      <c r="CD83" s="1081">
        <f>IF(COUNT($CO$75:$CO$82)=0,"N/A",INDEX($CD$75:$CD$82,MATCH(MAX($CO$75:$CO$82),$CO$75:$CO$82,0)))</f>
        <v/>
      </c>
      <c r="CE83" s="1874"/>
      <c r="CF83" s="1874"/>
      <c r="CG83" s="388" t="inlineStr">
        <is>
          <t>N/A</t>
        </is>
      </c>
      <c r="CH83" s="388">
        <f>BZ83</f>
        <v/>
      </c>
      <c r="CI83" s="388">
        <f>CA83</f>
        <v/>
      </c>
      <c r="CJ83" s="2046"/>
      <c r="CK83" s="2047"/>
      <c r="CL83" s="212">
        <f>IF(CF83=""," ",IF(ABS(CE83-CF83)&lt;=0.25,"Valid","Not valid"))</f>
        <v/>
      </c>
      <c r="CM83" s="213">
        <f> IF(CE83="","",IF(AND(CE83&lt;&gt;"",CF83=""),IF(CE83&gt;=2,"Medir+Sig Max","No"),IF(CF83&lt;&gt;"",IF(CF83&gt;=2,"Medir+Sig Max","No"),"")))</f>
        <v/>
      </c>
      <c r="CN83" s="1794"/>
      <c r="CO83" s="221">
        <f>IF(CK83="",IF(AND(CE83="",CF83=""),"",IF(CF83="",IF(DE83&gt;1,ROUND(DE83*CE83,3),CE83),IF(DE83&gt;1,ROUND(DE83*CF83,3),CF83))),IF(AND(CE83="",CF83=""),"",IF(CF83="",IF(DE83&gt;1,ROUND(DE83*CE83*(1/(CK83)),3),CE83*(1/(CK83))),IF(DE83&gt;1,ROUND(DE83*CF83*(1/(CK83)),3),CF83*(1/(CK83))))))</f>
        <v/>
      </c>
      <c r="CP83" s="2048">
        <f>$CP$34</f>
        <v/>
      </c>
      <c r="CQ83" s="1473">
        <f>IF(CO83="","",IF(CO83&gt;CP83,"Fail","Pass"))</f>
        <v/>
      </c>
      <c r="CR83" s="1482">
        <f>IF(CO83&lt;&gt;"",MAX($CR$3:CR82)+1,"")</f>
        <v/>
      </c>
      <c r="CS83" s="1566">
        <f>MyTimestamp(CQ83)</f>
        <v/>
      </c>
      <c r="CT83" s="1535">
        <f>IF(COUNT(CE83:CF83)=1,15,IF(COUNT(CE83:CF83)=0,0,30))</f>
        <v/>
      </c>
      <c r="CU83" s="1536">
        <f>IF(CT83=0,0,2)</f>
        <v/>
      </c>
      <c r="CV83" s="861" t="inlineStr">
        <is>
          <t>S/02</t>
        </is>
      </c>
      <c r="CW83" s="861" t="inlineStr">
        <is>
          <t>Dasy6</t>
        </is>
      </c>
      <c r="CX83" s="2038"/>
      <c r="CY83" s="2050"/>
      <c r="CZ83" s="1545">
        <f>10^(CJ83/20)*100-100</f>
        <v/>
      </c>
      <c r="DA83" s="1320">
        <f>IF('Tune-Up'!$H$12="","",'Tune-Up'!$H$12)</f>
        <v/>
      </c>
      <c r="DB83" s="696">
        <f>IF(COUNT($CO$75:$CO$82)=0,"N/A",IFERROR(INDEX($DB$75:$DB$82,MATCH(MAX($CO$75:$CO$82),$CO$75:$CO$82,0)),"N/A"))</f>
        <v/>
      </c>
      <c r="DC83" s="798">
        <f>IF(DA83="","",10^(DA83/10))</f>
        <v/>
      </c>
      <c r="DD83" s="1364">
        <f>IF(ISNUMBER(DB83)=FALSE,"N/A",10^(DB83/10))</f>
        <v/>
      </c>
      <c r="DE83" s="1545">
        <f>IF(AND(ISNUMBER(DC83),ISNUMBER(DD83)),IF(DC83/DD83&gt;1,ROUND((DC83)/DD83,3),1),1)</f>
        <v/>
      </c>
      <c r="DF83" s="1541"/>
      <c r="DG83" s="1541"/>
      <c r="DH83" s="1541"/>
      <c r="DI83" s="1541"/>
      <c r="DJ83" s="1541"/>
      <c r="DK83" s="1541"/>
      <c r="DL83" s="1541"/>
      <c r="DM83" s="1541"/>
      <c r="DN83" s="1541"/>
      <c r="DO83" s="1541"/>
      <c r="DP83" s="1541"/>
      <c r="DQ83" s="1541"/>
      <c r="DR83" s="1541"/>
    </row>
    <row r="84" ht="12.75" x14ac:dyDescent="0.2">
      <c r="A84" s="1541"/>
      <c r="B84" s="1541"/>
      <c r="C84"/>
      <c r="D84" s="130">
        <f>IF(BX$75="Close to Ear","EN 62209-1","EN 62209-2")</f>
        <v/>
      </c>
      <c r="E84" s="130">
        <f>IF(CG84="Close to Ear","2016","2010/A1:2019")</f>
        <v/>
      </c>
      <c r="F84" s="1488" t="inlineStr">
        <is>
          <t>5.1</t>
        </is>
      </c>
      <c r="G84" s="1497"/>
      <c r="H84" s="120">
        <f>BV84</f>
        <v/>
      </c>
      <c r="I84" s="120">
        <f>BW84</f>
        <v/>
      </c>
      <c r="J84" s="687">
        <f>BT84</f>
        <v/>
      </c>
      <c r="K84" s="194">
        <f>BU84</f>
        <v/>
      </c>
      <c r="L84" s="115"/>
      <c r="M84" s="120">
        <f>BZ84</f>
        <v/>
      </c>
      <c r="N84" s="119"/>
      <c r="O84" s="131"/>
      <c r="P84" s="6597"/>
      <c r="Q84" s="131"/>
      <c r="R84" s="131"/>
      <c r="S84" s="120">
        <f>CG84</f>
        <v/>
      </c>
      <c r="T84" s="120">
        <f>CC84</f>
        <v/>
      </c>
      <c r="U84" s="120">
        <f>CD84</f>
        <v/>
      </c>
      <c r="V84" s="119"/>
      <c r="W84" s="197">
        <f>CK84*100</f>
        <v/>
      </c>
      <c r="X84" s="119"/>
      <c r="Y84" s="119"/>
      <c r="Z84" s="119"/>
      <c r="AA84" s="115"/>
      <c r="AB84" s="115"/>
      <c r="AC84" s="689">
        <f>IF(OR(BX$75="Close to Ear",BX$75="Close to Head"),"Head",IF(BX$75="Extremity","Extremity","Body"))</f>
        <v/>
      </c>
      <c r="AD84" s="690">
        <f>CA84</f>
        <v/>
      </c>
      <c r="AE84" s="688">
        <f>CB84</f>
        <v/>
      </c>
      <c r="AF84" s="115"/>
      <c r="AG84" s="808">
        <f>IF(AZ84="","N/A",IF(CQ84="Pass","P","F"))</f>
        <v/>
      </c>
      <c r="AH84" s="129"/>
      <c r="AI84" s="129"/>
      <c r="AJ84" s="129"/>
      <c r="AK84" s="119"/>
      <c r="AL84" s="115"/>
      <c r="AM84" s="119"/>
      <c r="AN84" s="119"/>
      <c r="AO84" s="692"/>
      <c r="AP84" s="692"/>
      <c r="AQ84" s="692"/>
      <c r="AR84" s="692"/>
      <c r="AS84" s="692"/>
      <c r="AT84" s="691">
        <f>CE84</f>
        <v/>
      </c>
      <c r="AU84" s="691">
        <f>CF84</f>
        <v/>
      </c>
      <c r="AV84" s="813"/>
      <c r="AW84" s="813"/>
      <c r="AX84" s="197">
        <f>CZ84</f>
        <v/>
      </c>
      <c r="AY84" s="197">
        <f>DE84</f>
        <v/>
      </c>
      <c r="AZ84" s="3379">
        <f>CO84</f>
        <v/>
      </c>
      <c r="BA84" s="3380"/>
      <c r="BB84" s="197">
        <f>CP84</f>
        <v/>
      </c>
      <c r="BC84" s="813"/>
      <c r="BD84" s="197">
        <f>CR84</f>
        <v/>
      </c>
      <c r="BE84" s="121">
        <f>CS84</f>
        <v/>
      </c>
      <c r="BF84" s="122">
        <f>CT84*60</f>
        <v/>
      </c>
      <c r="BG84" s="121">
        <f>BE84</f>
        <v/>
      </c>
      <c r="BH84" s="122">
        <f>CU84*60</f>
        <v/>
      </c>
      <c r="BI84" s="122">
        <f>CV84</f>
        <v/>
      </c>
      <c r="BJ84" s="117"/>
      <c r="BK84" s="812">
        <f>Overview!$E$7</f>
        <v/>
      </c>
      <c r="BL84" s="117"/>
      <c r="BM84" s="836">
        <f>CW84</f>
        <v/>
      </c>
      <c r="BN84" s="812">
        <f>Overview!$P$153</f>
        <v/>
      </c>
      <c r="BO84" s="117"/>
      <c r="BP84" s="117"/>
      <c r="BQ84" s="115"/>
      <c r="BR84" s="1478" t="inlineStr">
        <is>
          <t>N/A</t>
        </is>
      </c>
      <c r="BS84" s="1548"/>
      <c r="BT84" s="1800" t="inlineStr">
        <is>
          <t>GSM</t>
        </is>
      </c>
      <c r="BU84" s="1800">
        <v>900</v>
      </c>
      <c r="BV84" s="406">
        <f>Overview!$H$29</f>
        <v/>
      </c>
      <c r="BW84" s="2016"/>
      <c r="BX84" s="1800"/>
      <c r="BY84" s="2057"/>
      <c r="BZ84" s="2040"/>
      <c r="CA84" s="404" t="str">
        <f>CONCATENATE(CA82," - Battery check 2")</f>
        <v>TBD - Battery check 2</v>
      </c>
      <c r="CB84" s="201">
        <v>5</v>
      </c>
      <c r="CC84" s="1081">
        <f>IF(COUNT($CO$75:$CO$82)=0,"N/A",INDEX($CC$75:$CC$82,MATCH(MAX($CO$75:$CO$82),$CO$75:$CO$82,0)))</f>
        <v/>
      </c>
      <c r="CD84" s="1081">
        <f>IF(COUNT($CO$75:$CO$82)=0,"N/A",INDEX($CD$75:$CD$82,MATCH(MAX($CO$75:$CO$82),$CO$75:$CO$82,0)))</f>
        <v/>
      </c>
      <c r="CE84" s="1874"/>
      <c r="CF84" s="1874"/>
      <c r="CG84" s="388" t="inlineStr">
        <is>
          <t>N/A</t>
        </is>
      </c>
      <c r="CH84" s="388">
        <f>BZ84</f>
        <v/>
      </c>
      <c r="CI84" s="388">
        <f>CA84</f>
        <v/>
      </c>
      <c r="CJ84" s="2046"/>
      <c r="CK84" s="2047"/>
      <c r="CL84" s="212">
        <f>IF(CF84=""," ",IF(ABS(CE84-CF84)&lt;=0.25,"Valid","Not valid"))</f>
        <v/>
      </c>
      <c r="CM84" s="213">
        <f> IF(CE84="","",IF(AND(CE84&lt;&gt;"",CF84=""),IF(CE84&gt;=2,"Medir+Sig Max","No"),IF(CF84&lt;&gt;"",IF(CF84&gt;=2,"Medir+Sig Max","No"),"")))</f>
        <v/>
      </c>
      <c r="CN84" s="1794"/>
      <c r="CO84" s="221">
        <f>IF(CK84="",IF(AND(CE84="",CF84=""),"",IF(CF84="",IF(DE84&gt;1,ROUND(DE84*CE84,3),CE84),IF(DE84&gt;1,ROUND(DE84*CF84,3),CF84))),IF(AND(CE84="",CF84=""),"",IF(CF84="",IF(DE84&gt;1,ROUND(DE84*CE84*(1/(CK84)),3),CE84*(1/(CK84))),IF(DE84&gt;1,ROUND(DE84*CF84*(1/(CK84)),3),CF84*(1/(CK84))))))</f>
        <v/>
      </c>
      <c r="CP84" s="2048">
        <f>$CP$34</f>
        <v/>
      </c>
      <c r="CQ84" s="1473">
        <f>IF(CO84="","",IF(CO84&gt;CP84,"Fail","Pass"))</f>
        <v/>
      </c>
      <c r="CR84" s="1482">
        <f>IF(CO84&lt;&gt;"",MAX($CR$3:CR83)+1,"")</f>
        <v/>
      </c>
      <c r="CS84" s="1566">
        <f>MyTimestamp(CQ84)</f>
        <v/>
      </c>
      <c r="CT84" s="1535">
        <f>IF(COUNT(CE84:CF84)=1,15,IF(COUNT(CE84:CF84)=0,0,30))</f>
        <v/>
      </c>
      <c r="CU84" s="1536">
        <f>IF(CT84=0,0,2)</f>
        <v/>
      </c>
      <c r="CV84" s="861" t="inlineStr">
        <is>
          <t>S/02</t>
        </is>
      </c>
      <c r="CW84" s="861" t="inlineStr">
        <is>
          <t>Dasy6</t>
        </is>
      </c>
      <c r="CX84" s="2038"/>
      <c r="CY84" s="2050"/>
      <c r="CZ84" s="1545">
        <f>10^(CJ84/20)*100-100</f>
        <v/>
      </c>
      <c r="DA84" s="1320">
        <f>IF('Tune-Up'!$H$12="","",'Tune-Up'!$H$12)</f>
        <v/>
      </c>
      <c r="DB84" s="696">
        <f>IF(COUNT($CO$75:$CO$82)=0,"N/A",IFERROR(INDEX($DB$75:$DB$82,MATCH(MAX($CO$75:$CO$82),$CO$75:$CO$82,0)),"N/A"))</f>
        <v/>
      </c>
      <c r="DC84" s="798">
        <f>IF(DA84="","",10^(DA84/10))</f>
        <v/>
      </c>
      <c r="DD84" s="1364">
        <f>IF(ISNUMBER(DB84)=FALSE,"N/A",10^(DB84/10))</f>
        <v/>
      </c>
      <c r="DE84" s="1545">
        <f>IF(AND(ISNUMBER(DC84),ISNUMBER(DD84)),IF(DC84/DD84&gt;1,ROUND((DC84)/DD84,3),1),1)</f>
        <v/>
      </c>
      <c r="DF84" s="1541"/>
      <c r="DG84" s="1541"/>
      <c r="DH84" s="1541"/>
      <c r="DI84" s="1541"/>
      <c r="DJ84" s="1541"/>
      <c r="DK84" s="1541"/>
      <c r="DL84" s="1541"/>
      <c r="DM84" s="1541"/>
      <c r="DN84" s="1541"/>
      <c r="DO84" s="1541"/>
      <c r="DP84" s="1541"/>
      <c r="DQ84" s="1541"/>
      <c r="DR84" s="1541"/>
    </row>
    <row r="85" ht="12.75" x14ac:dyDescent="0.2">
      <c r="A85" s="1541"/>
      <c r="B85" s="1541"/>
      <c r="C85"/>
      <c r="D85" s="130">
        <f>IF(BX$85="Close to Ear","EN 62209-1","EN 62209-2")</f>
        <v/>
      </c>
      <c r="E85" s="130">
        <f>IF(CG85="Close to Ear","2016","2010/A1:2019")</f>
        <v/>
      </c>
      <c r="F85" s="1488" t="inlineStr">
        <is>
          <t>5.1</t>
        </is>
      </c>
      <c r="G85" s="1497"/>
      <c r="H85" s="120">
        <f>BV85</f>
        <v/>
      </c>
      <c r="I85" s="120">
        <f>BW85</f>
        <v/>
      </c>
      <c r="J85" s="687" t="str">
        <f>BT85</f>
        <v>GSM</v>
      </c>
      <c r="K85" s="194">
        <f>BU85</f>
        <v>900</v>
      </c>
      <c r="L85" s="115"/>
      <c r="M85" s="120">
        <f>BZ85</f>
        <v>0</v>
      </c>
      <c r="N85" s="119"/>
      <c r="O85" s="131"/>
      <c r="P85" s="6597"/>
      <c r="Q85" s="131"/>
      <c r="R85" s="131"/>
      <c r="S85" s="120">
        <f>CG85</f>
        <v>0</v>
      </c>
      <c r="T85" s="120">
        <f>CC85</f>
        <v>37</v>
      </c>
      <c r="U85" s="120">
        <f>CD85</f>
        <v>897.4</v>
      </c>
      <c r="V85" s="119"/>
      <c r="W85" s="197">
        <f>CK85*100</f>
        <v/>
      </c>
      <c r="X85" s="119"/>
      <c r="Y85" s="119"/>
      <c r="Z85" s="119"/>
      <c r="AA85" s="115"/>
      <c r="AB85" s="115"/>
      <c r="AC85" s="689">
        <f>IF(OR(BX$85="Close to Ear",BX$85="Close to Head"),"Head",IF(BX$85="Extremity","Extremity","Body"))</f>
        <v/>
      </c>
      <c r="AD85" s="690">
        <f>CA85</f>
        <v/>
      </c>
      <c r="AE85" s="688">
        <f>CB85</f>
        <v/>
      </c>
      <c r="AF85" s="115"/>
      <c r="AG85" s="808">
        <f>IF(AZ85="","N/A",IF(CQ85="Pass","P","F"))</f>
        <v/>
      </c>
      <c r="AH85" s="129"/>
      <c r="AI85" s="129"/>
      <c r="AJ85" s="129"/>
      <c r="AK85" s="119"/>
      <c r="AL85" s="115"/>
      <c r="AM85" s="119"/>
      <c r="AN85" s="119"/>
      <c r="AO85" s="692"/>
      <c r="AP85" s="692"/>
      <c r="AQ85" s="692"/>
      <c r="AR85" s="692"/>
      <c r="AS85" s="692"/>
      <c r="AT85" s="691">
        <f>CE85</f>
        <v/>
      </c>
      <c r="AU85" s="691">
        <f>CF85</f>
        <v/>
      </c>
      <c r="AV85" s="813"/>
      <c r="AW85" s="813"/>
      <c r="AX85" s="197">
        <f>CZ85</f>
        <v/>
      </c>
      <c r="AY85" s="197">
        <f>DE85</f>
        <v/>
      </c>
      <c r="AZ85" s="3379">
        <f>CO85</f>
        <v/>
      </c>
      <c r="BA85" s="3380"/>
      <c r="BB85" s="197">
        <f>CP85</f>
        <v/>
      </c>
      <c r="BC85" s="813"/>
      <c r="BD85" s="197">
        <f>CR85</f>
        <v/>
      </c>
      <c r="BE85" s="121">
        <f>CS85</f>
        <v/>
      </c>
      <c r="BF85" s="122">
        <f>CT85*60</f>
        <v/>
      </c>
      <c r="BG85" s="121">
        <f>BE85</f>
        <v/>
      </c>
      <c r="BH85" s="122">
        <f>CU85*60</f>
        <v/>
      </c>
      <c r="BI85" s="122">
        <f>CV85</f>
        <v/>
      </c>
      <c r="BJ85" s="117"/>
      <c r="BK85" s="812">
        <f>Overview!$E$7</f>
        <v/>
      </c>
      <c r="BL85" s="117"/>
      <c r="BM85" s="836">
        <f>CW85</f>
        <v/>
      </c>
      <c r="BN85" s="812">
        <f>Overview!$P$153</f>
        <v/>
      </c>
      <c r="BO85" s="117"/>
      <c r="BP85" s="117"/>
      <c r="BQ85" s="115"/>
      <c r="BR85" s="1478" t="inlineStr">
        <is>
          <t>N/A</t>
        </is>
      </c>
      <c r="BS85" s="1548"/>
      <c r="BT85" s="1777" t="inlineStr">
        <is>
          <t>GSM</t>
        </is>
      </c>
      <c r="BU85" s="1777">
        <v>900</v>
      </c>
      <c r="BV85" s="398">
        <f>Overview!$H$30</f>
        <v/>
      </c>
      <c r="BW85" s="2033"/>
      <c r="BX85" s="7672" t="inlineStr">
        <is>
          <t>Close to Ear</t>
        </is>
      </c>
      <c r="BY85" s="2034"/>
      <c r="BZ85" s="2034"/>
      <c r="CA85" s="2035" t="inlineStr">
        <is>
          <t>Left Cheek</t>
        </is>
      </c>
      <c r="CB85" s="2035">
        <v>0</v>
      </c>
      <c r="CC85" s="1062">
        <f>'2G-3G'!BX21</f>
        <v>37</v>
      </c>
      <c r="CD85" s="1062">
        <f>'2G-3G'!BY21</f>
        <v>897.4</v>
      </c>
      <c r="CE85" s="1522"/>
      <c r="CF85" s="1522"/>
      <c r="CG85" s="386" t="str">
        <f>IF(OR($BY$3="",$BY$3=""),"",$BY$3)</f>
        <v/>
      </c>
      <c r="CH85" s="386">
        <f>BZ85</f>
        <v/>
      </c>
      <c r="CI85" s="386">
        <f>CA85</f>
        <v/>
      </c>
      <c r="CJ85" s="1526"/>
      <c r="CK85" s="2036"/>
      <c r="CL85" s="203">
        <f>IF(CF85=""," ",IF(ABS(CE85-CF85)&lt;=0.125,"Valid","Not valid"))</f>
        <v/>
      </c>
      <c r="CM85" s="204">
        <f> IF(CE85="","",IF(AND(CE85&lt;&gt;"",CF85=""),IF(CE85&gt;=1,"Medir+Sig Max","No"),IF(CF85&lt;&gt;"",IF(CF85&gt;=1,"Medir+Sig Max","No"),"")))</f>
        <v/>
      </c>
      <c r="CN85" s="1798"/>
      <c r="CO85" s="219">
        <f>IF(CK85="",IF(AND(CE85="",CF85=""),"",IF(CF85="",IF(DE85&gt;1,ROUND(DE85*CE85,3),CE85),IF(DE85&gt;1,ROUND(DE85*CF85,3),CF85))),IF(AND(CE85="",CF85=""),"",IF(CF85="",IF(DE85&gt;1,ROUND(DE85*CE85*(1/(CK85)),3),CE85*(1/(CK85))),IF(DE85&gt;1,ROUND(DE85*CF85*(1/(CK85)),3),CF85*(1/(CK85))))))</f>
        <v/>
      </c>
      <c r="CP85" s="2037">
        <f>$CP$3</f>
        <v/>
      </c>
      <c r="CQ85" s="1471">
        <f>IF(CO85="","",IF(CO85&gt;CP85,"Fail","Pass"))</f>
        <v/>
      </c>
      <c r="CR85" s="1480">
        <f>IF(AND(MAX(CO85:CO90)=CO85,CO85&lt;&gt;0),COUNT($CR$3:CR82)+1,"")</f>
        <v/>
      </c>
      <c r="CS85" s="1564">
        <f>MyTimestamp(CO85)</f>
        <v/>
      </c>
      <c r="CT85" s="1529">
        <f>IF(CE85="",0,15)+IF(CF85="",0,15)</f>
        <v/>
      </c>
      <c r="CU85" s="1530">
        <f>IF(CT85=0,0,2)</f>
        <v/>
      </c>
      <c r="CV85" s="858" t="inlineStr">
        <is>
          <t>S/02</t>
        </is>
      </c>
      <c r="CW85" s="858" t="inlineStr">
        <is>
          <t>Dasy6</t>
        </is>
      </c>
      <c r="CX85" s="2038"/>
      <c r="CY85" s="2039"/>
      <c r="CZ85" s="1542">
        <f>10^(CJ85/20)*100-100</f>
        <v/>
      </c>
      <c r="DA85" s="1318">
        <f>IF('Tune-Up'!$H$12="","",'Tune-Up'!$H$12)</f>
        <v/>
      </c>
      <c r="DB85" s="694">
        <f>'2G-3G'!BZ21</f>
        <v/>
      </c>
      <c r="DC85" s="796">
        <f>IF(DA85="","",10^(DA85/10))</f>
        <v/>
      </c>
      <c r="DD85" s="1362">
        <f>IF(ISNUMBER(DB85)=FALSE,"",10^(DB85/10))</f>
        <v/>
      </c>
      <c r="DE85" s="1542">
        <f>IF(AND(ISNUMBER(DC85),ISNUMBER(DD85)),IF(DC85/DD85&gt;1,ROUND((DC85)/DD85,3),1),1)</f>
        <v/>
      </c>
      <c r="DF85" s="1541"/>
      <c r="DG85" s="1541"/>
      <c r="DH85" s="1541"/>
      <c r="DI85" s="1541"/>
      <c r="DJ85" s="1541"/>
      <c r="DK85" s="1541"/>
      <c r="DL85" s="1541"/>
      <c r="DM85" s="1541"/>
      <c r="DN85" s="1541"/>
      <c r="DO85" s="1541"/>
      <c r="DP85" s="1541"/>
      <c r="DQ85" s="1541"/>
      <c r="DR85" s="1541"/>
    </row>
    <row r="86" ht="12.75" x14ac:dyDescent="0.2">
      <c r="A86" s="1541"/>
      <c r="B86" s="1541"/>
      <c r="C86"/>
      <c r="D86" s="130">
        <f>IF(BX$85="Close to Ear","EN 62209-1","EN 62209-2")</f>
        <v/>
      </c>
      <c r="E86" s="130">
        <f>IF(CG86="Close to Ear","2016","2010/A1:2019")</f>
        <v/>
      </c>
      <c r="F86" s="1488" t="inlineStr">
        <is>
          <t>5.1</t>
        </is>
      </c>
      <c r="G86" s="1497"/>
      <c r="H86" s="120">
        <f>BV86</f>
        <v/>
      </c>
      <c r="I86" s="120">
        <f>BW86</f>
        <v/>
      </c>
      <c r="J86" s="687" t="str">
        <f>BT86</f>
        <v>GSM</v>
      </c>
      <c r="K86" s="194">
        <f>BU86</f>
        <v>900</v>
      </c>
      <c r="L86" s="115"/>
      <c r="M86" s="120">
        <f>BZ86</f>
        <v>0</v>
      </c>
      <c r="N86" s="119"/>
      <c r="O86" s="131"/>
      <c r="P86" s="6597"/>
      <c r="Q86" s="131"/>
      <c r="R86" s="131"/>
      <c r="S86" s="120">
        <f>CG86</f>
        <v>0</v>
      </c>
      <c r="T86" s="120">
        <f>CC86</f>
        <v>37</v>
      </c>
      <c r="U86" s="120">
        <f>CD86</f>
        <v>897.4</v>
      </c>
      <c r="V86" s="119"/>
      <c r="W86" s="197">
        <f>CK86*100</f>
        <v/>
      </c>
      <c r="X86" s="119"/>
      <c r="Y86" s="119"/>
      <c r="Z86" s="119"/>
      <c r="AA86" s="115"/>
      <c r="AB86" s="115"/>
      <c r="AC86" s="689">
        <f>IF(OR(BX$85="Close to Ear",BX$85="Close to Head"),"Head",IF(BX$85="Extremity","Extremity","Body"))</f>
        <v/>
      </c>
      <c r="AD86" s="690">
        <f>CA86</f>
        <v/>
      </c>
      <c r="AE86" s="688">
        <f>CB86</f>
        <v/>
      </c>
      <c r="AF86" s="115"/>
      <c r="AG86" s="808">
        <f>IF(AZ86="","N/A",IF(CQ86="Pass","P","F"))</f>
        <v/>
      </c>
      <c r="AH86" s="129"/>
      <c r="AI86" s="129"/>
      <c r="AJ86" s="129"/>
      <c r="AK86" s="119"/>
      <c r="AL86" s="115"/>
      <c r="AM86" s="119"/>
      <c r="AN86" s="119"/>
      <c r="AO86" s="692"/>
      <c r="AP86" s="692"/>
      <c r="AQ86" s="692"/>
      <c r="AR86" s="692"/>
      <c r="AS86" s="692"/>
      <c r="AT86" s="691">
        <f>CE86</f>
        <v/>
      </c>
      <c r="AU86" s="691">
        <f>CF86</f>
        <v/>
      </c>
      <c r="AV86" s="813"/>
      <c r="AW86" s="813"/>
      <c r="AX86" s="197">
        <f>CZ86</f>
        <v/>
      </c>
      <c r="AY86" s="197">
        <f>DE86</f>
        <v/>
      </c>
      <c r="AZ86" s="3379">
        <f>CO86</f>
        <v/>
      </c>
      <c r="BA86" s="3380"/>
      <c r="BB86" s="197">
        <f>CP86</f>
        <v/>
      </c>
      <c r="BC86" s="813"/>
      <c r="BD86" s="197">
        <f>CR86</f>
        <v/>
      </c>
      <c r="BE86" s="121">
        <f>CS86</f>
        <v/>
      </c>
      <c r="BF86" s="122">
        <f>CT86*60</f>
        <v/>
      </c>
      <c r="BG86" s="121">
        <f>BE86</f>
        <v/>
      </c>
      <c r="BH86" s="122">
        <f>CU86*60</f>
        <v/>
      </c>
      <c r="BI86" s="122">
        <f>CV86</f>
        <v/>
      </c>
      <c r="BJ86" s="117"/>
      <c r="BK86" s="812">
        <f>Overview!$E$7</f>
        <v/>
      </c>
      <c r="BL86" s="117"/>
      <c r="BM86" s="836">
        <f>CW86</f>
        <v/>
      </c>
      <c r="BN86" s="812">
        <f>Overview!$P$153</f>
        <v/>
      </c>
      <c r="BO86" s="117"/>
      <c r="BP86" s="117"/>
      <c r="BQ86" s="115"/>
      <c r="BR86" s="1478" t="inlineStr">
        <is>
          <t>N/A</t>
        </is>
      </c>
      <c r="BS86" s="1548"/>
      <c r="BT86" s="1783" t="inlineStr">
        <is>
          <t>GSM</t>
        </is>
      </c>
      <c r="BU86" s="1783">
        <v>900</v>
      </c>
      <c r="BV86" s="400">
        <f>Overview!$H$30</f>
        <v/>
      </c>
      <c r="BW86" s="2010"/>
      <c r="BX86" s="1783"/>
      <c r="BY86" s="2040"/>
      <c r="BZ86" s="2040"/>
      <c r="CA86" s="2041" t="inlineStr">
        <is>
          <t>Left Tilt</t>
        </is>
      </c>
      <c r="CB86" s="2041">
        <v>0</v>
      </c>
      <c r="CC86" s="1063">
        <f>'2G-3G'!BX21</f>
        <v>37</v>
      </c>
      <c r="CD86" s="1063">
        <f>'2G-3G'!BY21</f>
        <v>897.4</v>
      </c>
      <c r="CE86" s="1523"/>
      <c r="CF86" s="1523"/>
      <c r="CG86" s="387" t="str">
        <f>IF(OR($BY$3="",$BY$3=""),"",$BY$3)</f>
        <v/>
      </c>
      <c r="CH86" s="387">
        <f>BZ86</f>
        <v/>
      </c>
      <c r="CI86" s="387">
        <f>CA86</f>
        <v/>
      </c>
      <c r="CJ86" s="1527"/>
      <c r="CK86" s="2042"/>
      <c r="CL86" s="206">
        <f>IF(CF86=""," ",IF(ABS(CE86-CF86)&lt;=0.125,"Valid","Not valid"))</f>
        <v/>
      </c>
      <c r="CM86" s="207">
        <f> IF(CE86="","",IF(AND(CE86&lt;&gt;"",CF86=""),IF(CE86&gt;=1,"Medir+Sig Max","No"),IF(CF86&lt;&gt;"",IF(CF86&gt;=1,"Medir+Sig Max","No"),"")))</f>
        <v/>
      </c>
      <c r="CN86" s="1787"/>
      <c r="CO86" s="220">
        <f>IF(CK86="",IF(AND(CE86="",CF86=""),"",IF(CF86="",IF(DE86&gt;1,ROUND(DE86*CE86,3),CE86),IF(DE86&gt;1,ROUND(DE86*CF86,3),CF86))),IF(AND(CE86="",CF86=""),"",IF(CF86="",IF(DE86&gt;1,ROUND(DE86*CE86*(1/(CK86)),3),CE86*(1/(CK86))),IF(DE86&gt;1,ROUND(DE86*CF86*(1/(CK86)),3),CF86*(1/(CK86))))))</f>
        <v/>
      </c>
      <c r="CP86" s="2043">
        <f>$CP$3</f>
        <v/>
      </c>
      <c r="CQ86" s="1472">
        <f>IF(CO86="","",IF(CO86&gt;CP86,"Fail","Pass"))</f>
        <v/>
      </c>
      <c r="CR86" s="1481">
        <f>IF(AND(MAX(CO85:CO90)=CO86,CO86&lt;&gt;0),COUNT($CR$3:CR85)+1,"")</f>
        <v/>
      </c>
      <c r="CS86" s="1565">
        <f>MyTimestamp(CO86)</f>
        <v/>
      </c>
      <c r="CT86" s="1531">
        <f>IF(CE86="",0,15)+IF(CF86="",0,15)</f>
        <v/>
      </c>
      <c r="CU86" s="1532">
        <f>IF(CT86=0,0,2)</f>
        <v/>
      </c>
      <c r="CV86" s="859" t="inlineStr">
        <is>
          <t>S/02</t>
        </is>
      </c>
      <c r="CW86" s="859" t="inlineStr">
        <is>
          <t>Dasy6</t>
        </is>
      </c>
      <c r="CX86" s="2038"/>
      <c r="CY86" s="2044"/>
      <c r="CZ86" s="1543">
        <f>10^(CJ86/20)*100-100</f>
        <v/>
      </c>
      <c r="DA86" s="1319">
        <f>IF('Tune-Up'!$H$12="","",'Tune-Up'!$H$12)</f>
        <v/>
      </c>
      <c r="DB86" s="695">
        <f>'2G-3G'!BZ21</f>
        <v/>
      </c>
      <c r="DC86" s="797">
        <f>IF(DA86="","",10^(DA86/10))</f>
        <v/>
      </c>
      <c r="DD86" s="1363">
        <f>IF(ISNUMBER(DB86)=FALSE,"",10^(DB86/10))</f>
        <v/>
      </c>
      <c r="DE86" s="1543">
        <f>IF(AND(ISNUMBER(DC86),ISNUMBER(DD86)),IF(DC86/DD86&gt;1,ROUND((DC86)/DD86,3),1),1)</f>
        <v/>
      </c>
      <c r="DF86" s="1541"/>
      <c r="DG86" s="1541"/>
      <c r="DH86" s="1541"/>
      <c r="DI86" s="1541"/>
      <c r="DJ86" s="1541"/>
      <c r="DK86" s="1541"/>
      <c r="DL86" s="1541"/>
      <c r="DM86" s="1541"/>
      <c r="DN86" s="1541"/>
      <c r="DO86" s="1541"/>
      <c r="DP86" s="1541"/>
      <c r="DQ86" s="1541"/>
      <c r="DR86" s="1541"/>
    </row>
    <row r="87" ht="12.75" x14ac:dyDescent="0.2">
      <c r="A87" s="1541"/>
      <c r="B87" s="1541"/>
      <c r="C87"/>
      <c r="D87" s="130">
        <f>IF(BX$85="Close to Ear","EN 62209-1","EN 62209-2")</f>
        <v/>
      </c>
      <c r="E87" s="130">
        <f>IF(CG87="Close to Ear","2016","2010/A1:2019")</f>
        <v/>
      </c>
      <c r="F87" s="1488" t="inlineStr">
        <is>
          <t>5.1</t>
        </is>
      </c>
      <c r="G87" s="1497"/>
      <c r="H87" s="120">
        <f>BV87</f>
        <v/>
      </c>
      <c r="I87" s="120">
        <f>BW87</f>
        <v/>
      </c>
      <c r="J87" s="687" t="str">
        <f>BT87</f>
        <v>GSM</v>
      </c>
      <c r="K87" s="194">
        <f>BU87</f>
        <v>900</v>
      </c>
      <c r="L87" s="115"/>
      <c r="M87" s="120">
        <f>BZ87</f>
        <v>0</v>
      </c>
      <c r="N87" s="119"/>
      <c r="O87" s="131"/>
      <c r="P87" s="6597"/>
      <c r="Q87" s="131"/>
      <c r="R87" s="131"/>
      <c r="S87" s="120">
        <f>CG87</f>
        <v>0</v>
      </c>
      <c r="T87" s="120">
        <f>CC87</f>
        <v>37</v>
      </c>
      <c r="U87" s="120">
        <f>CD87</f>
        <v>897.4</v>
      </c>
      <c r="V87" s="119"/>
      <c r="W87" s="197">
        <f>CK87*100</f>
        <v/>
      </c>
      <c r="X87" s="119"/>
      <c r="Y87" s="119"/>
      <c r="Z87" s="119"/>
      <c r="AA87" s="115"/>
      <c r="AB87" s="115"/>
      <c r="AC87" s="689">
        <f>IF(OR(BX$85="Close to Ear",BX$85="Close to Head"),"Head",IF(BX$85="Extremity","Extremity","Body"))</f>
        <v/>
      </c>
      <c r="AD87" s="690">
        <f>CA87</f>
        <v/>
      </c>
      <c r="AE87" s="688">
        <f>CB87</f>
        <v/>
      </c>
      <c r="AF87" s="115"/>
      <c r="AG87" s="808">
        <f>IF(AZ87="","N/A",IF(CQ87="Pass","P","F"))</f>
        <v/>
      </c>
      <c r="AH87" s="129"/>
      <c r="AI87" s="129"/>
      <c r="AJ87" s="129"/>
      <c r="AK87" s="119"/>
      <c r="AL87" s="115"/>
      <c r="AM87" s="119"/>
      <c r="AN87" s="119"/>
      <c r="AO87" s="692"/>
      <c r="AP87" s="692"/>
      <c r="AQ87" s="692"/>
      <c r="AR87" s="692"/>
      <c r="AS87" s="692"/>
      <c r="AT87" s="691">
        <f>CE87</f>
        <v/>
      </c>
      <c r="AU87" s="691">
        <f>CF87</f>
        <v/>
      </c>
      <c r="AV87" s="813"/>
      <c r="AW87" s="813"/>
      <c r="AX87" s="197">
        <f>CZ87</f>
        <v/>
      </c>
      <c r="AY87" s="197">
        <f>DE87</f>
        <v/>
      </c>
      <c r="AZ87" s="3379">
        <f>CO87</f>
        <v/>
      </c>
      <c r="BA87" s="3380"/>
      <c r="BB87" s="197">
        <f>CP87</f>
        <v/>
      </c>
      <c r="BC87" s="813"/>
      <c r="BD87" s="197">
        <f>CR87</f>
        <v/>
      </c>
      <c r="BE87" s="121">
        <f>CS87</f>
        <v/>
      </c>
      <c r="BF87" s="122">
        <f>CT87*60</f>
        <v/>
      </c>
      <c r="BG87" s="121">
        <f>BE87</f>
        <v/>
      </c>
      <c r="BH87" s="122">
        <f>CU87*60</f>
        <v/>
      </c>
      <c r="BI87" s="122">
        <f>CV87</f>
        <v/>
      </c>
      <c r="BJ87" s="117"/>
      <c r="BK87" s="812">
        <f>Overview!$E$7</f>
        <v/>
      </c>
      <c r="BL87" s="117"/>
      <c r="BM87" s="836">
        <f>CW87</f>
        <v/>
      </c>
      <c r="BN87" s="812">
        <f>Overview!$P$153</f>
        <v/>
      </c>
      <c r="BO87" s="117"/>
      <c r="BP87" s="117"/>
      <c r="BQ87" s="115"/>
      <c r="BR87" s="1478" t="inlineStr">
        <is>
          <t>N/A</t>
        </is>
      </c>
      <c r="BS87" s="1548"/>
      <c r="BT87" s="1791" t="inlineStr">
        <is>
          <t>GSM</t>
        </is>
      </c>
      <c r="BU87" s="1791">
        <v>900</v>
      </c>
      <c r="BV87" s="403">
        <f>Overview!$H$30</f>
        <v/>
      </c>
      <c r="BW87" s="2010"/>
      <c r="BX87" s="1791"/>
      <c r="BY87" s="2040"/>
      <c r="BZ87" s="2040"/>
      <c r="CA87" s="2041" t="inlineStr">
        <is>
          <t>Right Cheek</t>
        </is>
      </c>
      <c r="CB87" s="2041">
        <v>0</v>
      </c>
      <c r="CC87" s="1063">
        <f>'2G-3G'!BX21</f>
        <v>37</v>
      </c>
      <c r="CD87" s="1063">
        <f>'2G-3G'!BY21</f>
        <v>897.4</v>
      </c>
      <c r="CE87" s="1523"/>
      <c r="CF87" s="1523"/>
      <c r="CG87" s="387" t="str">
        <f>IF(OR($BY$3="",$BY$3=""),"",$BY$3)</f>
        <v/>
      </c>
      <c r="CH87" s="387">
        <f>BZ87</f>
        <v/>
      </c>
      <c r="CI87" s="387">
        <f>CA87</f>
        <v/>
      </c>
      <c r="CJ87" s="1527"/>
      <c r="CK87" s="2042"/>
      <c r="CL87" s="206">
        <f>IF(CF87=""," ",IF(ABS(CE87-CF87)&lt;=0.125,"Valid","Not valid"))</f>
        <v/>
      </c>
      <c r="CM87" s="207">
        <f> IF(CE87="","",IF(AND(CE87&lt;&gt;"",CF87=""),IF(CE87&gt;=1,"Medir+Sig Max","No"),IF(CF87&lt;&gt;"",IF(CF87&gt;=1,"Medir+Sig Max","No"),"")))</f>
        <v/>
      </c>
      <c r="CN87" s="1787"/>
      <c r="CO87" s="220">
        <f>IF(CK87="",IF(AND(CE87="",CF87=""),"",IF(CF87="",IF(DE87&gt;1,ROUND(DE87*CE87,3),CE87),IF(DE87&gt;1,ROUND(DE87*CF87,3),CF87))),IF(AND(CE87="",CF87=""),"",IF(CF87="",IF(DE87&gt;1,ROUND(DE87*CE87*(1/(CK87)),3),CE87*(1/(CK87))),IF(DE87&gt;1,ROUND(DE87*CF87*(1/(CK87)),3),CF87*(1/(CK87))))))</f>
        <v/>
      </c>
      <c r="CP87" s="2043">
        <f>$CP$3</f>
        <v/>
      </c>
      <c r="CQ87" s="1472">
        <f>IF(CO87="","",IF(CO87&gt;CP87,"Fail","Pass"))</f>
        <v/>
      </c>
      <c r="CR87" s="1481">
        <f>IF(AND(MAX(CO85:CO90)=CO87,CO87&lt;&gt;0),COUNT($CR$3:CR86)+1,"")</f>
        <v/>
      </c>
      <c r="CS87" s="1565">
        <f>MyTimestamp(CO87)</f>
        <v/>
      </c>
      <c r="CT87" s="1531">
        <f>IF(CE87="",0,15)+IF(CF87="",0,15)</f>
        <v/>
      </c>
      <c r="CU87" s="1532">
        <f>IF(CT87=0,0,2)</f>
        <v/>
      </c>
      <c r="CV87" s="859" t="inlineStr">
        <is>
          <t>S/02</t>
        </is>
      </c>
      <c r="CW87" s="859" t="inlineStr">
        <is>
          <t>Dasy6</t>
        </is>
      </c>
      <c r="CX87" s="2038"/>
      <c r="CY87" s="2044"/>
      <c r="CZ87" s="1543">
        <f>10^(CJ87/20)*100-100</f>
        <v/>
      </c>
      <c r="DA87" s="1319">
        <f>IF('Tune-Up'!$H$12="","",'Tune-Up'!$H$12)</f>
        <v/>
      </c>
      <c r="DB87" s="695">
        <f>'2G-3G'!BZ21</f>
        <v/>
      </c>
      <c r="DC87" s="797">
        <f>IF(DA87="","",10^(DA87/10))</f>
        <v/>
      </c>
      <c r="DD87" s="1363">
        <f>IF(ISNUMBER(DB87)=FALSE,"",10^(DB87/10))</f>
        <v/>
      </c>
      <c r="DE87" s="1543">
        <f>IF(AND(ISNUMBER(DC87),ISNUMBER(DD87)),IF(DC87/DD87&gt;1,ROUND((DC87)/DD87,3),1),1)</f>
        <v/>
      </c>
      <c r="DF87" s="1541"/>
      <c r="DG87" s="1541"/>
      <c r="DH87" s="1541"/>
      <c r="DI87" s="1541"/>
      <c r="DJ87" s="1541"/>
      <c r="DK87" s="1541"/>
      <c r="DL87" s="1541"/>
      <c r="DM87" s="1541"/>
      <c r="DN87" s="1541"/>
      <c r="DO87" s="1541"/>
      <c r="DP87" s="1541"/>
      <c r="DQ87" s="1541"/>
      <c r="DR87" s="1541"/>
    </row>
    <row r="88" ht="12.75" x14ac:dyDescent="0.2">
      <c r="A88" s="1541"/>
      <c r="B88" s="1541"/>
      <c r="C88"/>
      <c r="D88" s="130">
        <f>IF(BX$85="Close to Ear","EN 62209-1","EN 62209-2")</f>
        <v/>
      </c>
      <c r="E88" s="130">
        <f>IF(CG88="Close to Ear","2016","2010/A1:2019")</f>
        <v/>
      </c>
      <c r="F88" s="1488" t="inlineStr">
        <is>
          <t>5.1</t>
        </is>
      </c>
      <c r="G88" s="1497"/>
      <c r="H88" s="120">
        <f>BV88</f>
        <v/>
      </c>
      <c r="I88" s="120">
        <f>BW88</f>
        <v/>
      </c>
      <c r="J88" s="687" t="str">
        <f>BT88</f>
        <v>GSM</v>
      </c>
      <c r="K88" s="194">
        <f>BU88</f>
        <v>900</v>
      </c>
      <c r="L88" s="115"/>
      <c r="M88" s="120">
        <f>BZ88</f>
        <v>0</v>
      </c>
      <c r="N88" s="119"/>
      <c r="O88" s="131"/>
      <c r="P88" s="6597"/>
      <c r="Q88" s="131"/>
      <c r="R88" s="131"/>
      <c r="S88" s="120">
        <f>CG88</f>
        <v>0</v>
      </c>
      <c r="T88" s="120">
        <f>CC88</f>
        <v>37</v>
      </c>
      <c r="U88" s="120">
        <f>CD88</f>
        <v>897.4</v>
      </c>
      <c r="V88" s="119"/>
      <c r="W88" s="197">
        <f>CK88*100</f>
        <v/>
      </c>
      <c r="X88" s="119"/>
      <c r="Y88" s="119"/>
      <c r="Z88" s="119"/>
      <c r="AA88" s="115"/>
      <c r="AB88" s="115"/>
      <c r="AC88" s="689">
        <f>IF(OR(BX$85="Close to Ear",BX$85="Close to Head"),"Head",IF(BX$85="Extremity","Extremity","Body"))</f>
        <v/>
      </c>
      <c r="AD88" s="690">
        <f>CA88</f>
        <v/>
      </c>
      <c r="AE88" s="688">
        <f>CB88</f>
        <v/>
      </c>
      <c r="AF88" s="115"/>
      <c r="AG88" s="808">
        <f>IF(AZ88="","N/A",IF(CQ88="Pass","P","F"))</f>
        <v/>
      </c>
      <c r="AH88" s="129"/>
      <c r="AI88" s="129"/>
      <c r="AJ88" s="129"/>
      <c r="AK88" s="119"/>
      <c r="AL88" s="115"/>
      <c r="AM88" s="119"/>
      <c r="AN88" s="119"/>
      <c r="AO88" s="692"/>
      <c r="AP88" s="692"/>
      <c r="AQ88" s="692"/>
      <c r="AR88" s="692"/>
      <c r="AS88" s="692"/>
      <c r="AT88" s="691">
        <f>CE88</f>
        <v/>
      </c>
      <c r="AU88" s="691">
        <f>CF88</f>
        <v/>
      </c>
      <c r="AV88" s="813"/>
      <c r="AW88" s="813"/>
      <c r="AX88" s="197">
        <f>CZ88</f>
        <v/>
      </c>
      <c r="AY88" s="197">
        <f>DE88</f>
        <v/>
      </c>
      <c r="AZ88" s="3379">
        <f>CO88</f>
        <v/>
      </c>
      <c r="BA88" s="3380"/>
      <c r="BB88" s="197">
        <f>CP88</f>
        <v/>
      </c>
      <c r="BC88" s="813"/>
      <c r="BD88" s="197">
        <f>CR88</f>
        <v/>
      </c>
      <c r="BE88" s="121">
        <f>CS88</f>
        <v/>
      </c>
      <c r="BF88" s="122">
        <f>CT88*60</f>
        <v/>
      </c>
      <c r="BG88" s="121">
        <f>BE88</f>
        <v/>
      </c>
      <c r="BH88" s="122">
        <f>CU88*60</f>
        <v/>
      </c>
      <c r="BI88" s="122">
        <f>CV88</f>
        <v/>
      </c>
      <c r="BJ88" s="117"/>
      <c r="BK88" s="812">
        <f>Overview!$E$7</f>
        <v/>
      </c>
      <c r="BL88" s="117"/>
      <c r="BM88" s="836">
        <f>CW88</f>
        <v/>
      </c>
      <c r="BN88" s="812">
        <f>Overview!$P$153</f>
        <v/>
      </c>
      <c r="BO88" s="117"/>
      <c r="BP88" s="117"/>
      <c r="BQ88" s="115"/>
      <c r="BR88" s="1478" t="inlineStr">
        <is>
          <t>N/A</t>
        </is>
      </c>
      <c r="BS88" s="1548"/>
      <c r="BT88" s="1783" t="inlineStr">
        <is>
          <t>GSM</t>
        </is>
      </c>
      <c r="BU88" s="1783">
        <v>900</v>
      </c>
      <c r="BV88" s="400">
        <f>Overview!$H$30</f>
        <v/>
      </c>
      <c r="BW88" s="2010"/>
      <c r="BX88" s="1783"/>
      <c r="BY88" s="2040"/>
      <c r="BZ88" s="2040"/>
      <c r="CA88" s="2041" t="inlineStr">
        <is>
          <t>Right Tilt</t>
        </is>
      </c>
      <c r="CB88" s="2041">
        <v>0</v>
      </c>
      <c r="CC88" s="1063">
        <f>'2G-3G'!BX21</f>
        <v>37</v>
      </c>
      <c r="CD88" s="1063">
        <f>'2G-3G'!BY21</f>
        <v>897.4</v>
      </c>
      <c r="CE88" s="1523"/>
      <c r="CF88" s="1523"/>
      <c r="CG88" s="387" t="str">
        <f>IF(OR($BY$3="",$BY$3=""),"",$BY$3)</f>
        <v/>
      </c>
      <c r="CH88" s="387">
        <f>BZ88</f>
        <v/>
      </c>
      <c r="CI88" s="387">
        <f>CA88</f>
        <v/>
      </c>
      <c r="CJ88" s="1527"/>
      <c r="CK88" s="2042"/>
      <c r="CL88" s="206">
        <f>IF(CF88=""," ",IF(ABS(CE88-CF88)&lt;=0.125,"Valid","Not valid"))</f>
        <v/>
      </c>
      <c r="CM88" s="207">
        <f> IF(CE88="","",IF(AND(CE88&lt;&gt;"",CF88=""),IF(CE88&gt;=1,"Medir+Sig Max","No"),IF(CF88&lt;&gt;"",IF(CF88&gt;=1,"Medir+Sig Max","No"),"")))</f>
        <v/>
      </c>
      <c r="CN88" s="1787"/>
      <c r="CO88" s="220">
        <f>IF(CK88="",IF(AND(CE88="",CF88=""),"",IF(CF88="",IF(DE88&gt;1,ROUND(DE88*CE88,3),CE88),IF(DE88&gt;1,ROUND(DE88*CF88,3),CF88))),IF(AND(CE88="",CF88=""),"",IF(CF88="",IF(DE88&gt;1,ROUND(DE88*CE88*(1/(CK88)),3),CE88*(1/(CK88))),IF(DE88&gt;1,ROUND(DE88*CF88*(1/(CK88)),3),CF88*(1/(CK88))))))</f>
        <v/>
      </c>
      <c r="CP88" s="2043">
        <f>$CP$3</f>
        <v/>
      </c>
      <c r="CQ88" s="1472">
        <f>IF(CO88="","",IF(CO88&gt;CP88,"Fail","Pass"))</f>
        <v/>
      </c>
      <c r="CR88" s="1481">
        <f>IF(AND(MAX(CO85:CO90)=CO88,CO88&lt;&gt;0),COUNT($CR$3:CR87)+1,"")</f>
        <v/>
      </c>
      <c r="CS88" s="1565">
        <f>MyTimestamp(CO88)</f>
        <v/>
      </c>
      <c r="CT88" s="1531">
        <f>IF(CE88="",0,15)+IF(CF88="",0,15)</f>
        <v/>
      </c>
      <c r="CU88" s="1532">
        <f>IF(CT88=0,0,2)</f>
        <v/>
      </c>
      <c r="CV88" s="859" t="inlineStr">
        <is>
          <t>S/02</t>
        </is>
      </c>
      <c r="CW88" s="859" t="inlineStr">
        <is>
          <t>Dasy6</t>
        </is>
      </c>
      <c r="CX88" s="2038"/>
      <c r="CY88" s="2044"/>
      <c r="CZ88" s="1543">
        <f>10^(CJ88/20)*100-100</f>
        <v/>
      </c>
      <c r="DA88" s="1319">
        <f>IF('Tune-Up'!$H$12="","",'Tune-Up'!$H$12)</f>
        <v/>
      </c>
      <c r="DB88" s="695">
        <f>'2G-3G'!BZ21</f>
        <v/>
      </c>
      <c r="DC88" s="797">
        <f>IF(DA88="","",10^(DA88/10))</f>
        <v/>
      </c>
      <c r="DD88" s="1363">
        <f>IF(ISNUMBER(DB88)=FALSE,"",10^(DB88/10))</f>
        <v/>
      </c>
      <c r="DE88" s="1543">
        <f>IF(AND(ISNUMBER(DC88),ISNUMBER(DD88)),IF(DC88/DD88&gt;1,ROUND((DC88)/DD88,3),1),1)</f>
        <v/>
      </c>
      <c r="DF88" s="1541"/>
      <c r="DG88" s="1541"/>
      <c r="DH88" s="1541"/>
      <c r="DI88" s="1541"/>
      <c r="DJ88" s="1541"/>
      <c r="DK88" s="1541"/>
      <c r="DL88" s="1541"/>
      <c r="DM88" s="1541"/>
      <c r="DN88" s="1541"/>
      <c r="DO88" s="1541"/>
      <c r="DP88" s="1541"/>
      <c r="DQ88" s="1541"/>
      <c r="DR88" s="1541"/>
    </row>
    <row r="89" ht="12.75" x14ac:dyDescent="0.2">
      <c r="A89" s="1541"/>
      <c r="B89" s="1541"/>
      <c r="C89"/>
      <c r="D89" s="130">
        <f>IF(BX$85="Close to Ear","EN 62209-1","EN 62209-2")</f>
        <v/>
      </c>
      <c r="E89" s="130">
        <f>IF(CG89="Close to Ear","2016","2010/A1:2019")</f>
        <v/>
      </c>
      <c r="F89" s="1488" t="inlineStr">
        <is>
          <t>5.1</t>
        </is>
      </c>
      <c r="G89" s="1497"/>
      <c r="H89" s="120">
        <f>BV89</f>
        <v/>
      </c>
      <c r="I89" s="120">
        <f>BW89</f>
        <v/>
      </c>
      <c r="J89" s="687" t="str">
        <f>BT89</f>
        <v>GSM</v>
      </c>
      <c r="K89" s="194">
        <f>BU89</f>
        <v>900</v>
      </c>
      <c r="L89" s="115"/>
      <c r="M89" s="120">
        <f>BZ89</f>
        <v>0</v>
      </c>
      <c r="N89" s="119"/>
      <c r="O89" s="131"/>
      <c r="P89" s="6597"/>
      <c r="Q89" s="131"/>
      <c r="R89" s="131"/>
      <c r="S89" s="120">
        <f>CG89</f>
        <v>0</v>
      </c>
      <c r="T89" s="120">
        <f>CC89</f>
        <v>975</v>
      </c>
      <c r="U89" s="120">
        <f>CD89</f>
        <v>880.2</v>
      </c>
      <c r="V89" s="119"/>
      <c r="W89" s="197">
        <f>CK89*100</f>
        <v/>
      </c>
      <c r="X89" s="119"/>
      <c r="Y89" s="119"/>
      <c r="Z89" s="119"/>
      <c r="AA89" s="115"/>
      <c r="AB89" s="115"/>
      <c r="AC89" s="689">
        <f>IF(OR(BX$85="Close to Ear",BX$85="Close to Head"),"Head",IF(BX$85="Extremity","Extremity","Body"))</f>
        <v/>
      </c>
      <c r="AD89" s="690">
        <f>CA89</f>
        <v/>
      </c>
      <c r="AE89" s="688">
        <f>CB89</f>
        <v/>
      </c>
      <c r="AF89" s="115"/>
      <c r="AG89" s="808">
        <f>IF(AZ89="","N/A",IF(CQ89="Pass","P","F"))</f>
        <v/>
      </c>
      <c r="AH89" s="129"/>
      <c r="AI89" s="129"/>
      <c r="AJ89" s="129"/>
      <c r="AK89" s="119"/>
      <c r="AL89" s="115"/>
      <c r="AM89" s="119"/>
      <c r="AN89" s="119"/>
      <c r="AO89" s="692"/>
      <c r="AP89" s="692"/>
      <c r="AQ89" s="692"/>
      <c r="AR89" s="692"/>
      <c r="AS89" s="692"/>
      <c r="AT89" s="691">
        <f>CE89</f>
        <v/>
      </c>
      <c r="AU89" s="691">
        <f>CF89</f>
        <v/>
      </c>
      <c r="AV89" s="813"/>
      <c r="AW89" s="813"/>
      <c r="AX89" s="197">
        <f>CZ89</f>
        <v/>
      </c>
      <c r="AY89" s="197">
        <f>DE89</f>
        <v/>
      </c>
      <c r="AZ89" s="3379">
        <f>CO89</f>
        <v/>
      </c>
      <c r="BA89" s="3380"/>
      <c r="BB89" s="197">
        <f>CP89</f>
        <v/>
      </c>
      <c r="BC89" s="813"/>
      <c r="BD89" s="197">
        <f>CR89</f>
        <v/>
      </c>
      <c r="BE89" s="121">
        <f>CS89</f>
        <v/>
      </c>
      <c r="BF89" s="122">
        <f>CT89*60</f>
        <v/>
      </c>
      <c r="BG89" s="121">
        <f>BE89</f>
        <v/>
      </c>
      <c r="BH89" s="122">
        <f>CU89*60</f>
        <v/>
      </c>
      <c r="BI89" s="122">
        <f>CV89</f>
        <v/>
      </c>
      <c r="BJ89" s="117"/>
      <c r="BK89" s="812">
        <f>Overview!$E$7</f>
        <v/>
      </c>
      <c r="BL89" s="117"/>
      <c r="BM89" s="836">
        <f>CW89</f>
        <v/>
      </c>
      <c r="BN89" s="812">
        <f>Overview!$P$153</f>
        <v/>
      </c>
      <c r="BO89" s="117"/>
      <c r="BP89" s="117"/>
      <c r="BQ89" s="115"/>
      <c r="BR89" s="1478" t="inlineStr">
        <is>
          <t>N/A</t>
        </is>
      </c>
      <c r="BS89" s="1548"/>
      <c r="BT89" s="1783" t="inlineStr">
        <is>
          <t>GSM</t>
        </is>
      </c>
      <c r="BU89" s="1783">
        <v>900</v>
      </c>
      <c r="BV89" s="400">
        <f>Overview!$H$30</f>
        <v/>
      </c>
      <c r="BW89" s="2010"/>
      <c r="BX89" s="1783"/>
      <c r="BY89" s="2040"/>
      <c r="BZ89" s="2040"/>
      <c r="CA89" s="401" t="str">
        <f>IF(COUNT(CF85:CF88)=0,IF(COUNT(CE85:CE88)=0,"TBD",VLOOKUP(MAX(CE85:CE88),CE85:CI88,5,FALSE)),VLOOKUP(MAX(CF85:CF88),CF85:CI88,4,FALSE))</f>
        <v>TBD</v>
      </c>
      <c r="CB89" s="2041">
        <v>0</v>
      </c>
      <c r="CC89" s="1063">
        <f>'2G-3G'!BX22</f>
        <v>975</v>
      </c>
      <c r="CD89" s="1063">
        <f>'2G-3G'!BY22</f>
        <v>880.2</v>
      </c>
      <c r="CE89" s="1523"/>
      <c r="CF89" s="1523"/>
      <c r="CG89" s="387" t="str">
        <f>IF(OR($BY$3="",$BY$3=""),"",$BY$3)</f>
        <v/>
      </c>
      <c r="CH89" s="387">
        <f>BZ89</f>
        <v/>
      </c>
      <c r="CI89" s="387">
        <f>CA89</f>
        <v/>
      </c>
      <c r="CJ89" s="1527"/>
      <c r="CK89" s="2042"/>
      <c r="CL89" s="206">
        <f>IF(CF89=""," ",IF(ABS(CE89-CF89)&lt;=0.125,"Valid","Not valid"))</f>
        <v/>
      </c>
      <c r="CM89" s="207">
        <f> IF(CE89="","",IF(AND(CE89&lt;&gt;"",CF89=""),IF(CE89&gt;=1,"Medir+Sig Max","No"),IF(CF89&lt;&gt;"",IF(CF89&gt;=1,"Medir+Sig Max","No"),"")))</f>
        <v/>
      </c>
      <c r="CN89" s="1787"/>
      <c r="CO89" s="220">
        <f>IF(CK89="",IF(AND(CE89="",CF89=""),"",IF(CF89="",IF(DE89&gt;1,ROUND(DE89*CE89,3),CE89),IF(DE89&gt;1,ROUND(DE89*CF89,3),CF89))),IF(AND(CE89="",CF89=""),"",IF(CF89="",IF(DE89&gt;1,ROUND(DE89*CE89*(1/(CK89)),3),CE89*(1/(CK89))),IF(DE89&gt;1,ROUND(DE89*CF89*(1/(CK89)),3),CF89*(1/(CK89))))))</f>
        <v/>
      </c>
      <c r="CP89" s="2043">
        <f>$CP$3</f>
        <v/>
      </c>
      <c r="CQ89" s="1472">
        <f>IF(CO89="","",IF(CO89&gt;CP89,"Fail","Pass"))</f>
        <v/>
      </c>
      <c r="CR89" s="1481">
        <f>IF(AND(MAX(CO85:CO90)=CO89,CO89&lt;&gt;0),COUNT($CR$3:CR88)+1,"")</f>
        <v/>
      </c>
      <c r="CS89" s="1565">
        <f>MyTimestamp(CO89)</f>
        <v/>
      </c>
      <c r="CT89" s="1531">
        <f>IF(CE89="",0,15)+IF(CF89="",0,15)</f>
        <v/>
      </c>
      <c r="CU89" s="1532">
        <f>IF(CT89=0,0,2)</f>
        <v/>
      </c>
      <c r="CV89" s="859" t="inlineStr">
        <is>
          <t>S/02</t>
        </is>
      </c>
      <c r="CW89" s="859" t="inlineStr">
        <is>
          <t>Dasy6</t>
        </is>
      </c>
      <c r="CX89" s="2038"/>
      <c r="CY89" s="2044"/>
      <c r="CZ89" s="1543">
        <f>10^(CJ89/20)*100-100</f>
        <v/>
      </c>
      <c r="DA89" s="1319">
        <f>IF('Tune-Up'!$H$12="","",'Tune-Up'!$H$12)</f>
        <v/>
      </c>
      <c r="DB89" s="695">
        <f>'2G-3G'!BZ22</f>
        <v/>
      </c>
      <c r="DC89" s="797">
        <f>IF(DA89="","",10^(DA89/10))</f>
        <v/>
      </c>
      <c r="DD89" s="1363">
        <f>IF(ISNUMBER(DB89)=FALSE,"",10^(DB89/10))</f>
        <v/>
      </c>
      <c r="DE89" s="1543">
        <f>IF(AND(ISNUMBER(DC89),ISNUMBER(DD89)),IF(DC89/DD89&gt;1,ROUND((DC89)/DD89,3),1),1)</f>
        <v/>
      </c>
      <c r="DF89" s="1541"/>
      <c r="DG89" s="1541"/>
      <c r="DH89" s="1541"/>
      <c r="DI89" s="1541"/>
      <c r="DJ89" s="1541"/>
      <c r="DK89" s="1541"/>
      <c r="DL89" s="1541"/>
      <c r="DM89" s="1541"/>
      <c r="DN89" s="1541"/>
      <c r="DO89" s="1541"/>
      <c r="DP89" s="1541"/>
      <c r="DQ89" s="1541"/>
      <c r="DR89" s="1541"/>
    </row>
    <row r="90" ht="12.75" x14ac:dyDescent="0.2">
      <c r="A90" s="1541"/>
      <c r="B90" s="1541"/>
      <c r="C90"/>
      <c r="D90" s="130">
        <f>IF(BX$85="Close to Ear","EN 62209-1","EN 62209-2")</f>
        <v/>
      </c>
      <c r="E90" s="130">
        <f>IF(CG90="Close to Ear","2016","2010/A1:2019")</f>
        <v/>
      </c>
      <c r="F90" s="1488" t="inlineStr">
        <is>
          <t>5.1</t>
        </is>
      </c>
      <c r="G90" s="1497"/>
      <c r="H90" s="120">
        <f>BV90</f>
        <v/>
      </c>
      <c r="I90" s="120">
        <f>BW90</f>
        <v/>
      </c>
      <c r="J90" s="687" t="str">
        <f>BT90</f>
        <v>GSM</v>
      </c>
      <c r="K90" s="194">
        <f>BU90</f>
        <v>900</v>
      </c>
      <c r="L90" s="115"/>
      <c r="M90" s="120">
        <f>BZ90</f>
        <v>0</v>
      </c>
      <c r="N90" s="119"/>
      <c r="O90" s="131"/>
      <c r="P90" s="6597"/>
      <c r="Q90" s="131"/>
      <c r="R90" s="131"/>
      <c r="S90" s="120">
        <f>CG90</f>
        <v>0</v>
      </c>
      <c r="T90" s="120">
        <f>CC90</f>
        <v>124</v>
      </c>
      <c r="U90" s="120">
        <f>CD90</f>
        <v>914.8</v>
      </c>
      <c r="V90" s="119"/>
      <c r="W90" s="197">
        <f>CK90*100</f>
        <v/>
      </c>
      <c r="X90" s="119"/>
      <c r="Y90" s="119"/>
      <c r="Z90" s="119"/>
      <c r="AA90" s="115"/>
      <c r="AB90" s="115"/>
      <c r="AC90" s="689">
        <f>IF(OR(BX$85="Close to Ear",BX$85="Close to Head"),"Head",IF(BX$85="Extremity","Extremity","Body"))</f>
        <v/>
      </c>
      <c r="AD90" s="690">
        <f>CA90</f>
        <v/>
      </c>
      <c r="AE90" s="688">
        <f>CB90</f>
        <v/>
      </c>
      <c r="AF90" s="115"/>
      <c r="AG90" s="808">
        <f>IF(AZ90="","N/A",IF(CQ90="Pass","P","F"))</f>
        <v/>
      </c>
      <c r="AH90" s="129"/>
      <c r="AI90" s="129"/>
      <c r="AJ90" s="129"/>
      <c r="AK90" s="119"/>
      <c r="AL90" s="115"/>
      <c r="AM90" s="119"/>
      <c r="AN90" s="119"/>
      <c r="AO90" s="692"/>
      <c r="AP90" s="692"/>
      <c r="AQ90" s="692"/>
      <c r="AR90" s="692"/>
      <c r="AS90" s="692"/>
      <c r="AT90" s="691">
        <f>CE90</f>
        <v/>
      </c>
      <c r="AU90" s="691">
        <f>CF90</f>
        <v/>
      </c>
      <c r="AV90" s="813"/>
      <c r="AW90" s="813"/>
      <c r="AX90" s="197">
        <f>CZ90</f>
        <v/>
      </c>
      <c r="AY90" s="197">
        <f>DE90</f>
        <v/>
      </c>
      <c r="AZ90" s="3379">
        <f>CO90</f>
        <v/>
      </c>
      <c r="BA90" s="3380"/>
      <c r="BB90" s="197">
        <f>CP90</f>
        <v/>
      </c>
      <c r="BC90" s="813"/>
      <c r="BD90" s="197">
        <f>CR90</f>
        <v/>
      </c>
      <c r="BE90" s="121">
        <f>CS90</f>
        <v/>
      </c>
      <c r="BF90" s="122">
        <f>CT90*60</f>
        <v/>
      </c>
      <c r="BG90" s="121">
        <f>BE90</f>
        <v/>
      </c>
      <c r="BH90" s="122">
        <f>CU90*60</f>
        <v/>
      </c>
      <c r="BI90" s="122">
        <f>CV90</f>
        <v/>
      </c>
      <c r="BJ90" s="117"/>
      <c r="BK90" s="812">
        <f>Overview!$E$7</f>
        <v/>
      </c>
      <c r="BL90" s="117"/>
      <c r="BM90" s="836">
        <f>CW90</f>
        <v/>
      </c>
      <c r="BN90" s="812">
        <f>Overview!$P$153</f>
        <v/>
      </c>
      <c r="BO90" s="117"/>
      <c r="BP90" s="117"/>
      <c r="BQ90" s="115"/>
      <c r="BR90" s="1478" t="inlineStr">
        <is>
          <t>N/A</t>
        </is>
      </c>
      <c r="BS90" s="1548"/>
      <c r="BT90" s="1783" t="inlineStr">
        <is>
          <t>GSM</t>
        </is>
      </c>
      <c r="BU90" s="1783">
        <v>900</v>
      </c>
      <c r="BV90" s="400">
        <f>Overview!$H$30</f>
        <v/>
      </c>
      <c r="BW90" s="2010"/>
      <c r="BX90" s="1783"/>
      <c r="BY90" s="2040"/>
      <c r="BZ90" s="2040"/>
      <c r="CA90" s="404" t="str">
        <f>IF(COUNT(CF85:CF88)=0,IF(COUNT(CE85:CE88)=0,"TBD",VLOOKUP(MAX(CE85:CE88),CE85:CI88,5,FALSE)),VLOOKUP(MAX(CF85:CF88),CF85:CI88,4,FALSE))</f>
        <v>TBD</v>
      </c>
      <c r="CB90" s="2045">
        <v>0</v>
      </c>
      <c r="CC90" s="1081">
        <f>'2G-3G'!BX23</f>
        <v>124</v>
      </c>
      <c r="CD90" s="1081">
        <f>'2G-3G'!BY23</f>
        <v>914.8</v>
      </c>
      <c r="CE90" s="1874"/>
      <c r="CF90" s="1874"/>
      <c r="CG90" s="388" t="str">
        <f>IF(OR($BY$3="",$BY$3=""),"",$BY$3)</f>
        <v/>
      </c>
      <c r="CH90" s="388">
        <f>BZ90</f>
        <v/>
      </c>
      <c r="CI90" s="388">
        <f>CA90</f>
        <v/>
      </c>
      <c r="CJ90" s="2046"/>
      <c r="CK90" s="2047"/>
      <c r="CL90" s="209">
        <f>IF(CF90=""," ",IF(ABS(CE90-CF90)&lt;=0.125,"Valid","Not valid"))</f>
        <v/>
      </c>
      <c r="CM90" s="210">
        <f> IF(CE90="","",IF(AND(CE90&lt;&gt;"",CF90=""),IF(CE90&gt;=1,"Medir+Sig Max","No"),IF(CF90&lt;&gt;"",IF(CF90&gt;=1,"Medir+Sig Max","No"),"")))</f>
        <v/>
      </c>
      <c r="CN90" s="1792"/>
      <c r="CO90" s="221">
        <f>IF(CK90="",IF(AND(CE90="",CF90=""),"",IF(CF90="",IF(DE90&gt;1,ROUND(DE90*CE90,3),CE90),IF(DE90&gt;1,ROUND(DE90*CF90,3),CF90))),IF(AND(CE90="",CF90=""),"",IF(CF90="",IF(DE90&gt;1,ROUND(DE90*CE90*(1/(CK90)),3),CE90*(1/(CK90))),IF(DE90&gt;1,ROUND(DE90*CF90*(1/(CK90)),3),CF90*(1/(CK90))))))</f>
        <v/>
      </c>
      <c r="CP90" s="2048">
        <f>$CP$3</f>
        <v/>
      </c>
      <c r="CQ90" s="1473">
        <f>IF(CO90="","",IF(CO90&gt;CP90,"Fail","Pass"))</f>
        <v/>
      </c>
      <c r="CR90" s="1482">
        <f>IF(AND(MAX(CO85:CO90)=CO90,CO90&lt;&gt;0),COUNT($CR$3:CR89)+1,"")</f>
        <v/>
      </c>
      <c r="CS90" s="2002">
        <f>MyTimestamp(CO90)</f>
        <v/>
      </c>
      <c r="CT90" s="1533">
        <f>IF(CE90="",0,15)+IF(CF90="",0,15)</f>
        <v/>
      </c>
      <c r="CU90" s="1534">
        <f>IF(CT90=0,0,2)</f>
        <v/>
      </c>
      <c r="CV90" s="860" t="inlineStr">
        <is>
          <t>S/02</t>
        </is>
      </c>
      <c r="CW90" s="860" t="inlineStr">
        <is>
          <t>Dasy6</t>
        </is>
      </c>
      <c r="CX90" s="2038"/>
      <c r="CY90" s="2049"/>
      <c r="CZ90" s="1544">
        <f>10^(CJ90/20)*100-100</f>
        <v/>
      </c>
      <c r="DA90" s="1320">
        <f>IF('Tune-Up'!$H$12="","",'Tune-Up'!$H$12)</f>
        <v/>
      </c>
      <c r="DB90" s="696">
        <f>'2G-3G'!BZ23</f>
        <v/>
      </c>
      <c r="DC90" s="798">
        <f>IF(DA90="","",10^(DA90/10))</f>
        <v/>
      </c>
      <c r="DD90" s="1364">
        <f>IF(ISNUMBER(DB90)=FALSE,"",10^(DB90/10))</f>
        <v/>
      </c>
      <c r="DE90" s="1544">
        <f>IF(AND(ISNUMBER(DC90),ISNUMBER(DD90)),IF(DC90/DD90&gt;1,ROUND((DC90)/DD90,3),1),1)</f>
        <v/>
      </c>
      <c r="DF90" s="1541"/>
      <c r="DG90" s="1541"/>
      <c r="DH90" s="1541"/>
      <c r="DI90" s="1541"/>
      <c r="DJ90" s="1541"/>
      <c r="DK90" s="1541"/>
      <c r="DL90" s="1541"/>
      <c r="DM90" s="1541"/>
      <c r="DN90" s="1541"/>
      <c r="DO90" s="1541"/>
      <c r="DP90" s="1541"/>
      <c r="DQ90" s="1541"/>
      <c r="DR90" s="1541"/>
    </row>
    <row r="91" ht="12.75" x14ac:dyDescent="0.2">
      <c r="A91" s="1541"/>
      <c r="B91" s="1541"/>
      <c r="C91"/>
      <c r="D91" s="130">
        <f>IF(BX$85="Close to Ear","EN 62209-1","EN 62209-2")</f>
        <v/>
      </c>
      <c r="E91" s="130">
        <f>IF(CG91="Close to Ear","2016","2010/A1:2019")</f>
        <v/>
      </c>
      <c r="F91" s="1488" t="inlineStr">
        <is>
          <t>5.1</t>
        </is>
      </c>
      <c r="G91" s="1497"/>
      <c r="H91" s="120">
        <f>BV91</f>
        <v/>
      </c>
      <c r="I91" s="120">
        <f>BW91</f>
        <v/>
      </c>
      <c r="J91" s="687">
        <f>BT91</f>
        <v/>
      </c>
      <c r="K91" s="194">
        <f>BU91</f>
        <v/>
      </c>
      <c r="L91" s="115"/>
      <c r="M91" s="120">
        <f>BZ91</f>
        <v/>
      </c>
      <c r="N91" s="119"/>
      <c r="O91" s="131"/>
      <c r="P91" s="6597"/>
      <c r="Q91" s="131"/>
      <c r="R91" s="131"/>
      <c r="S91" s="120">
        <f>CG91</f>
        <v/>
      </c>
      <c r="T91" s="120">
        <f>CC91</f>
        <v/>
      </c>
      <c r="U91" s="120">
        <f>CD91</f>
        <v/>
      </c>
      <c r="V91" s="119"/>
      <c r="W91" s="197">
        <f>CK91*100</f>
        <v/>
      </c>
      <c r="X91" s="119"/>
      <c r="Y91" s="119"/>
      <c r="Z91" s="119"/>
      <c r="AA91" s="115"/>
      <c r="AB91" s="115"/>
      <c r="AC91" s="689">
        <f>IF(OR(BX$85="Close to Ear",BX$85="Close to Head"),"Head",IF(BX$85="Extremity","Extremity","Body"))</f>
        <v/>
      </c>
      <c r="AD91" s="690">
        <f>CA91</f>
        <v/>
      </c>
      <c r="AE91" s="688">
        <f>CB91</f>
        <v/>
      </c>
      <c r="AF91" s="115"/>
      <c r="AG91" s="808">
        <f>IF(AZ91="","N/A",IF(CQ91="Pass","P","F"))</f>
        <v/>
      </c>
      <c r="AH91" s="129"/>
      <c r="AI91" s="129"/>
      <c r="AJ91" s="129"/>
      <c r="AK91" s="119"/>
      <c r="AL91" s="115"/>
      <c r="AM91" s="119"/>
      <c r="AN91" s="119"/>
      <c r="AO91" s="692"/>
      <c r="AP91" s="692"/>
      <c r="AQ91" s="692"/>
      <c r="AR91" s="692"/>
      <c r="AS91" s="692"/>
      <c r="AT91" s="691">
        <f>CE91</f>
        <v/>
      </c>
      <c r="AU91" s="691">
        <f>CF91</f>
        <v/>
      </c>
      <c r="AV91" s="813"/>
      <c r="AW91" s="813"/>
      <c r="AX91" s="197">
        <f>CZ91</f>
        <v/>
      </c>
      <c r="AY91" s="197">
        <f>DE91</f>
        <v/>
      </c>
      <c r="AZ91" s="3379">
        <f>CO91</f>
        <v/>
      </c>
      <c r="BA91" s="3380"/>
      <c r="BB91" s="197">
        <f>CP91</f>
        <v/>
      </c>
      <c r="BC91" s="813"/>
      <c r="BD91" s="197">
        <f>CR91</f>
        <v/>
      </c>
      <c r="BE91" s="121">
        <f>CS91</f>
        <v/>
      </c>
      <c r="BF91" s="122">
        <f>CT91*60</f>
        <v/>
      </c>
      <c r="BG91" s="121">
        <f>BE91</f>
        <v/>
      </c>
      <c r="BH91" s="122">
        <f>CU91*60</f>
        <v/>
      </c>
      <c r="BI91" s="122">
        <f>CV91</f>
        <v/>
      </c>
      <c r="BJ91" s="117"/>
      <c r="BK91" s="812">
        <f>Overview!$E$7</f>
        <v/>
      </c>
      <c r="BL91" s="117"/>
      <c r="BM91" s="836">
        <f>CW91</f>
        <v/>
      </c>
      <c r="BN91" s="812">
        <f>Overview!$P$153</f>
        <v/>
      </c>
      <c r="BO91" s="117"/>
      <c r="BP91" s="117"/>
      <c r="BQ91" s="115"/>
      <c r="BR91" s="1478" t="inlineStr">
        <is>
          <t>N/A</t>
        </is>
      </c>
      <c r="BS91" s="1548"/>
      <c r="BT91" s="1783" t="inlineStr">
        <is>
          <t>GSM</t>
        </is>
      </c>
      <c r="BU91" s="1783">
        <v>900</v>
      </c>
      <c r="BV91" s="400">
        <f>Overview!$H$30</f>
        <v/>
      </c>
      <c r="BW91" s="2010"/>
      <c r="BX91" s="1783"/>
      <c r="BY91" s="2040"/>
      <c r="BZ91" s="2040"/>
      <c r="CA91" s="404" t="str">
        <f>CONCATENATE(CA89," - Battery check 1")</f>
        <v>TBD - Battery check 1</v>
      </c>
      <c r="CB91" s="2045">
        <v>0</v>
      </c>
      <c r="CC91" s="1081">
        <f>IF(COUNT($CO$85:$CO$90)=0,"N/A",INDEX($CC$85:$CC$90,MATCH(MAX($CO$85:$CO$90),$CO$85:$CO$90,0)))</f>
        <v/>
      </c>
      <c r="CD91" s="1081">
        <f>IF(COUNT($CO$85:$CO$90)=0,"N/A",INDEX($CD$85:$CD$90,MATCH(MAX($CO$85:$CO$90),$CO$85:$CO$90,0)))</f>
        <v/>
      </c>
      <c r="CE91" s="1874"/>
      <c r="CF91" s="1874"/>
      <c r="CG91" s="388" t="inlineStr">
        <is>
          <t>N/A</t>
        </is>
      </c>
      <c r="CH91" s="388">
        <f>BZ91</f>
        <v/>
      </c>
      <c r="CI91" s="388">
        <f>CA91</f>
        <v/>
      </c>
      <c r="CJ91" s="2046"/>
      <c r="CK91" s="2047"/>
      <c r="CL91" s="209">
        <f>IF(CF91=""," ",IF(ABS(CE91-CF91)&lt;=0.125,"Valid","Not valid"))</f>
        <v/>
      </c>
      <c r="CM91" s="210">
        <f> IF(CE91="","",IF(AND(CE91&lt;&gt;"",CF91=""),IF(CE91&gt;=1,"Medir+Sig Max","No"),IF(CF91&lt;&gt;"",IF(CF91&gt;=1,"Medir+Sig Max","No"),"")))</f>
        <v/>
      </c>
      <c r="CN91" s="1792"/>
      <c r="CO91" s="221">
        <f>IF(CK91="",IF(AND(CE91="",CF91=""),"",IF(CF91="",IF(DE91&gt;1,ROUND(DE91*CE91,3),CE91),IF(DE91&gt;1,ROUND(DE91*CF91,3),CF91))),IF(AND(CE91="",CF91=""),"",IF(CF91="",IF(DE91&gt;1,ROUND(DE91*CE91*(1/(CK91)),3),CE91*(1/(CK91))),IF(DE91&gt;1,ROUND(DE91*CF91*(1/(CK91)),3),CF91*(1/(CK91))))))</f>
        <v/>
      </c>
      <c r="CP91" s="2048">
        <f>$CP$3</f>
        <v/>
      </c>
      <c r="CQ91" s="1473">
        <f>IF(CO91="","",IF(CO91&gt;CP91,"Fail","Pass"))</f>
        <v/>
      </c>
      <c r="CR91" s="1482">
        <f>IF(CO91&lt;&gt;"",MAX($CR$3:CR90)+1,"")</f>
        <v/>
      </c>
      <c r="CS91" s="2002">
        <f>MyTimestamp(CQ91)</f>
        <v/>
      </c>
      <c r="CT91" s="1533">
        <f>IF(COUNT(CE91:CF91)=1,15,IF(COUNT(CE91:CF91)=0,0,30))</f>
        <v/>
      </c>
      <c r="CU91" s="1534">
        <f>IF(CT91=0,0,2)</f>
        <v/>
      </c>
      <c r="CV91" s="860" t="inlineStr">
        <is>
          <t>S/02</t>
        </is>
      </c>
      <c r="CW91" s="860" t="inlineStr">
        <is>
          <t>Dasy6</t>
        </is>
      </c>
      <c r="CX91" s="2038"/>
      <c r="CY91" s="2049"/>
      <c r="CZ91" s="1544">
        <f>10^(CJ91/20)*100-100</f>
        <v/>
      </c>
      <c r="DA91" s="1320">
        <f>IF('Tune-Up'!$H$12="","",'Tune-Up'!$H$12)</f>
        <v/>
      </c>
      <c r="DB91" s="696">
        <f>IF(COUNT($CO$85:$CO$90)=0,"N/A",IFERROR(INDEX($DB$85:$DB$90,MATCH(MAX($CO$85:$CO$90),$CO$85:$CO$90,0)),"N/A"))</f>
        <v/>
      </c>
      <c r="DC91" s="798">
        <f>IF(DA91="","",10^(DA91/10))</f>
        <v/>
      </c>
      <c r="DD91" s="1364">
        <f>IF(ISNUMBER(DB91)=FALSE,"N/A",10^(DB91/10))</f>
        <v/>
      </c>
      <c r="DE91" s="1544">
        <f>IF(AND(ISNUMBER(DC91),ISNUMBER(DD91)),IF(DC91/DD91&gt;1,ROUND((DC91)/DD91,3),1),1)</f>
        <v/>
      </c>
      <c r="DF91" s="1541"/>
      <c r="DG91" s="1541"/>
      <c r="DH91" s="1541"/>
      <c r="DI91" s="1541"/>
      <c r="DJ91" s="1541"/>
      <c r="DK91" s="1541"/>
      <c r="DL91" s="1541"/>
      <c r="DM91" s="1541"/>
      <c r="DN91" s="1541"/>
      <c r="DO91" s="1541"/>
      <c r="DP91" s="1541"/>
      <c r="DQ91" s="1541"/>
      <c r="DR91" s="1541"/>
    </row>
    <row r="92" ht="12.75" x14ac:dyDescent="0.2">
      <c r="A92" s="1541"/>
      <c r="B92" s="1541"/>
      <c r="C92"/>
      <c r="D92" s="130">
        <f>IF(BX$85="Close to Ear","EN 62209-1","EN 62209-2")</f>
        <v/>
      </c>
      <c r="E92" s="130">
        <f>IF(CG92="Close to Ear","2016","2010/A1:2019")</f>
        <v/>
      </c>
      <c r="F92" s="1488" t="inlineStr">
        <is>
          <t>5.1</t>
        </is>
      </c>
      <c r="G92" s="1497"/>
      <c r="H92" s="120">
        <f>BV92</f>
        <v/>
      </c>
      <c r="I92" s="120">
        <f>BW92</f>
        <v/>
      </c>
      <c r="J92" s="687">
        <f>BT92</f>
        <v/>
      </c>
      <c r="K92" s="194">
        <f>BU92</f>
        <v/>
      </c>
      <c r="L92" s="115"/>
      <c r="M92" s="120">
        <f>BZ92</f>
        <v/>
      </c>
      <c r="N92" s="119"/>
      <c r="O92" s="131"/>
      <c r="P92" s="6597"/>
      <c r="Q92" s="131"/>
      <c r="R92" s="131"/>
      <c r="S92" s="120">
        <f>CG92</f>
        <v/>
      </c>
      <c r="T92" s="120">
        <f>CC92</f>
        <v/>
      </c>
      <c r="U92" s="120">
        <f>CD92</f>
        <v/>
      </c>
      <c r="V92" s="119"/>
      <c r="W92" s="197">
        <f>CK92*100</f>
        <v/>
      </c>
      <c r="X92" s="119"/>
      <c r="Y92" s="119"/>
      <c r="Z92" s="119"/>
      <c r="AA92" s="115"/>
      <c r="AB92" s="115"/>
      <c r="AC92" s="689">
        <f>IF(OR(BX$85="Close to Ear",BX$85="Close to Head"),"Head",IF(BX$85="Extremity","Extremity","Body"))</f>
        <v/>
      </c>
      <c r="AD92" s="690">
        <f>CA92</f>
        <v/>
      </c>
      <c r="AE92" s="688">
        <f>CB92</f>
        <v/>
      </c>
      <c r="AF92" s="115"/>
      <c r="AG92" s="808">
        <f>IF(AZ92="","N/A",IF(CQ92="Pass","P","F"))</f>
        <v/>
      </c>
      <c r="AH92" s="129"/>
      <c r="AI92" s="129"/>
      <c r="AJ92" s="129"/>
      <c r="AK92" s="119"/>
      <c r="AL92" s="115"/>
      <c r="AM92" s="119"/>
      <c r="AN92" s="119"/>
      <c r="AO92" s="692"/>
      <c r="AP92" s="692"/>
      <c r="AQ92" s="692"/>
      <c r="AR92" s="692"/>
      <c r="AS92" s="692"/>
      <c r="AT92" s="691">
        <f>CE92</f>
        <v/>
      </c>
      <c r="AU92" s="691">
        <f>CF92</f>
        <v/>
      </c>
      <c r="AV92" s="813"/>
      <c r="AW92" s="813"/>
      <c r="AX92" s="197">
        <f>CZ92</f>
        <v/>
      </c>
      <c r="AY92" s="197">
        <f>DE92</f>
        <v/>
      </c>
      <c r="AZ92" s="3379">
        <f>CO92</f>
        <v/>
      </c>
      <c r="BA92" s="3380"/>
      <c r="BB92" s="197">
        <f>CP92</f>
        <v/>
      </c>
      <c r="BC92" s="813"/>
      <c r="BD92" s="197">
        <f>CR92</f>
        <v/>
      </c>
      <c r="BE92" s="121">
        <f>CS92</f>
        <v/>
      </c>
      <c r="BF92" s="122">
        <f>CT92*60</f>
        <v/>
      </c>
      <c r="BG92" s="121">
        <f>BE92</f>
        <v/>
      </c>
      <c r="BH92" s="122">
        <f>CU92*60</f>
        <v/>
      </c>
      <c r="BI92" s="122">
        <f>CV92</f>
        <v/>
      </c>
      <c r="BJ92" s="117"/>
      <c r="BK92" s="812">
        <f>Overview!$E$7</f>
        <v/>
      </c>
      <c r="BL92" s="117"/>
      <c r="BM92" s="836">
        <f>CW92</f>
        <v/>
      </c>
      <c r="BN92" s="812">
        <f>Overview!$P$153</f>
        <v/>
      </c>
      <c r="BO92" s="117"/>
      <c r="BP92" s="117"/>
      <c r="BQ92" s="115"/>
      <c r="BR92" s="1478" t="inlineStr">
        <is>
          <t>N/A</t>
        </is>
      </c>
      <c r="BS92" s="1548"/>
      <c r="BT92" s="1783" t="inlineStr">
        <is>
          <t>GSM</t>
        </is>
      </c>
      <c r="BU92" s="1783">
        <v>900</v>
      </c>
      <c r="BV92" s="400">
        <f>Overview!$H$30</f>
        <v/>
      </c>
      <c r="BW92" s="2010"/>
      <c r="BX92" s="1783"/>
      <c r="BY92" s="2040"/>
      <c r="BZ92" s="2040"/>
      <c r="CA92" s="404" t="str">
        <f>CONCATENATE(CA90," - Battery check 2")</f>
        <v>TBD - Battery check 2</v>
      </c>
      <c r="CB92" s="2045">
        <v>0</v>
      </c>
      <c r="CC92" s="1081">
        <f>IF(COUNT($CO$85:$CO$90)=0,"N/A",INDEX($CC$85:$CC$90,MATCH(MAX($CO$85:$CO$90),$CO$85:$CO$90,0)))</f>
        <v/>
      </c>
      <c r="CD92" s="1081">
        <f>IF(COUNT($CO$85:$CO$90)=0,"N/A",INDEX($CD$85:$CD$90,MATCH(MAX($CO$85:$CO$90),$CO$85:$CO$90,0)))</f>
        <v/>
      </c>
      <c r="CE92" s="1874"/>
      <c r="CF92" s="1874"/>
      <c r="CG92" s="388" t="inlineStr">
        <is>
          <t>N/A</t>
        </is>
      </c>
      <c r="CH92" s="388">
        <f>BZ92</f>
        <v/>
      </c>
      <c r="CI92" s="388">
        <f>CA92</f>
        <v/>
      </c>
      <c r="CJ92" s="2046"/>
      <c r="CK92" s="2047"/>
      <c r="CL92" s="209">
        <f>IF(CF92=""," ",IF(ABS(CE92-CF92)&lt;=0.125,"Valid","Not valid"))</f>
        <v/>
      </c>
      <c r="CM92" s="210">
        <f> IF(CE92="","",IF(AND(CE92&lt;&gt;"",CF92=""),IF(CE92&gt;=1,"Medir+Sig Max","No"),IF(CF92&lt;&gt;"",IF(CF92&gt;=1,"Medir+Sig Max","No"),"")))</f>
        <v/>
      </c>
      <c r="CN92" s="1792"/>
      <c r="CO92" s="221">
        <f>IF(CK92="",IF(AND(CE92="",CF92=""),"",IF(CF92="",IF(DE92&gt;1,ROUND(DE92*CE92,3),CE92),IF(DE92&gt;1,ROUND(DE92*CF92,3),CF92))),IF(AND(CE92="",CF92=""),"",IF(CF92="",IF(DE92&gt;1,ROUND(DE92*CE92*(1/(CK92)),3),CE92*(1/(CK92))),IF(DE92&gt;1,ROUND(DE92*CF92*(1/(CK92)),3),CF92*(1/(CK92))))))</f>
        <v/>
      </c>
      <c r="CP92" s="2048">
        <f>$CP$3</f>
        <v/>
      </c>
      <c r="CQ92" s="1473">
        <f>IF(CO92="","",IF(CO92&gt;CP92,"Fail","Pass"))</f>
        <v/>
      </c>
      <c r="CR92" s="1482">
        <f>IF(CO92&lt;&gt;"",MAX($CR$3:CR91)+1,"")</f>
        <v/>
      </c>
      <c r="CS92" s="2002">
        <f>MyTimestamp(CQ92)</f>
        <v/>
      </c>
      <c r="CT92" s="1533">
        <f>IF(COUNT(CE92:CF92)=1,15,IF(COUNT(CE92:CF92)=0,0,30))</f>
        <v/>
      </c>
      <c r="CU92" s="1534">
        <f>IF(CT92=0,0,2)</f>
        <v/>
      </c>
      <c r="CV92" s="860" t="inlineStr">
        <is>
          <t>S/02</t>
        </is>
      </c>
      <c r="CW92" s="860" t="inlineStr">
        <is>
          <t>Dasy6</t>
        </is>
      </c>
      <c r="CX92" s="2038"/>
      <c r="CY92" s="2049"/>
      <c r="CZ92" s="1544">
        <f>10^(CJ92/20)*100-100</f>
        <v/>
      </c>
      <c r="DA92" s="1320">
        <f>IF('Tune-Up'!$H$12="","",'Tune-Up'!$H$12)</f>
        <v/>
      </c>
      <c r="DB92" s="696">
        <f>IF(COUNT($CO$85:$CO$90)=0,"N/A",IFERROR(INDEX($DB$85:$DB$90,MATCH(MAX($CO$85:$CO$90),$CO$85:$CO$90,0)),"N/A"))</f>
        <v/>
      </c>
      <c r="DC92" s="798">
        <f>IF(DA92="","",10^(DA92/10))</f>
        <v/>
      </c>
      <c r="DD92" s="1364">
        <f>IF(ISNUMBER(DB92)=FALSE,"N/A",10^(DB92/10))</f>
        <v/>
      </c>
      <c r="DE92" s="1544">
        <f>IF(AND(ISNUMBER(DC92),ISNUMBER(DD92)),IF(DC92/DD92&gt;1,ROUND((DC92)/DD92,3),1),1)</f>
        <v/>
      </c>
      <c r="DF92" s="1541"/>
      <c r="DG92" s="1541"/>
      <c r="DH92" s="1541"/>
      <c r="DI92" s="1541"/>
      <c r="DJ92" s="1541"/>
      <c r="DK92" s="1541"/>
      <c r="DL92" s="1541"/>
      <c r="DM92" s="1541"/>
      <c r="DN92" s="1541"/>
      <c r="DO92" s="1541"/>
      <c r="DP92" s="1541"/>
      <c r="DQ92" s="1541"/>
      <c r="DR92" s="1541"/>
    </row>
    <row r="93" ht="12.75" x14ac:dyDescent="0.2">
      <c r="A93" s="1541"/>
      <c r="B93" s="1541"/>
      <c r="C93"/>
      <c r="D93" s="130">
        <f>IF(BX$93="Close to Ear","EN 62209-1","EN 62209-2")</f>
        <v/>
      </c>
      <c r="E93" s="130">
        <f>IF(CG93="Close to Ear","2016","2010/A1:2019")</f>
        <v/>
      </c>
      <c r="F93" s="1488" t="inlineStr">
        <is>
          <t>5.1</t>
        </is>
      </c>
      <c r="G93" s="1497"/>
      <c r="H93" s="120">
        <f>BV93</f>
        <v/>
      </c>
      <c r="I93" s="120">
        <f>BW93</f>
        <v/>
      </c>
      <c r="J93" s="687" t="str">
        <f>BT93</f>
        <v>GSM</v>
      </c>
      <c r="K93" s="194">
        <f>BU93</f>
        <v>900</v>
      </c>
      <c r="L93" s="115"/>
      <c r="M93" s="120">
        <f>BZ93</f>
        <v>0</v>
      </c>
      <c r="N93" s="119"/>
      <c r="O93" s="131"/>
      <c r="P93" s="6597"/>
      <c r="Q93" s="131"/>
      <c r="R93" s="131"/>
      <c r="S93" s="120">
        <f>CG93</f>
        <v>0</v>
      </c>
      <c r="T93" s="120">
        <f>CC93</f>
        <v>37</v>
      </c>
      <c r="U93" s="120">
        <f>CD93</f>
        <v>897.4</v>
      </c>
      <c r="V93" s="119"/>
      <c r="W93" s="197">
        <f>CK93*100</f>
        <v/>
      </c>
      <c r="X93" s="119"/>
      <c r="Y93" s="119"/>
      <c r="Z93" s="119"/>
      <c r="AA93" s="115"/>
      <c r="AB93" s="115"/>
      <c r="AC93" s="689">
        <f>IF(OR(BX$93="Close to Ear",BX$93="Close to Head"),"Head",IF(BX$93="Extremity","Extremity","Body"))</f>
        <v/>
      </c>
      <c r="AD93" s="690">
        <f>CA93</f>
        <v/>
      </c>
      <c r="AE93" s="688">
        <f>CB93</f>
        <v/>
      </c>
      <c r="AF93" s="115"/>
      <c r="AG93" s="808">
        <f>IF(AZ93="","N/A",IF(CQ93="Pass","P","F"))</f>
        <v/>
      </c>
      <c r="AH93" s="129"/>
      <c r="AI93" s="129"/>
      <c r="AJ93" s="129"/>
      <c r="AK93" s="119"/>
      <c r="AL93" s="115"/>
      <c r="AM93" s="119"/>
      <c r="AN93" s="119"/>
      <c r="AO93" s="692"/>
      <c r="AP93" s="692"/>
      <c r="AQ93" s="692"/>
      <c r="AR93" s="692"/>
      <c r="AS93" s="692"/>
      <c r="AT93" s="691">
        <f>CE93</f>
        <v/>
      </c>
      <c r="AU93" s="691">
        <f>CF93</f>
        <v/>
      </c>
      <c r="AV93" s="813"/>
      <c r="AW93" s="813"/>
      <c r="AX93" s="197">
        <f>CZ93</f>
        <v/>
      </c>
      <c r="AY93" s="197">
        <f>DE93</f>
        <v/>
      </c>
      <c r="AZ93" s="3379">
        <f>CO93</f>
        <v/>
      </c>
      <c r="BA93" s="3380"/>
      <c r="BB93" s="197">
        <f>CP93</f>
        <v/>
      </c>
      <c r="BC93" s="813"/>
      <c r="BD93" s="197">
        <f>CR93</f>
        <v/>
      </c>
      <c r="BE93" s="121">
        <f>CS93</f>
        <v/>
      </c>
      <c r="BF93" s="122">
        <f>CT93*60</f>
        <v/>
      </c>
      <c r="BG93" s="121">
        <f>BE93</f>
        <v/>
      </c>
      <c r="BH93" s="122">
        <f>CU93*60</f>
        <v/>
      </c>
      <c r="BI93" s="122">
        <f>CV93</f>
        <v/>
      </c>
      <c r="BJ93" s="117"/>
      <c r="BK93" s="812">
        <f>Overview!$E$7</f>
        <v/>
      </c>
      <c r="BL93" s="117"/>
      <c r="BM93" s="836">
        <f>CW93</f>
        <v/>
      </c>
      <c r="BN93" s="812">
        <f>Overview!$P$153</f>
        <v/>
      </c>
      <c r="BO93" s="117"/>
      <c r="BP93" s="117"/>
      <c r="BQ93" s="115"/>
      <c r="BR93" s="1478" t="inlineStr">
        <is>
          <t>N/A</t>
        </is>
      </c>
      <c r="BS93" s="1548"/>
      <c r="BT93" s="1783" t="inlineStr">
        <is>
          <t>GSM</t>
        </is>
      </c>
      <c r="BU93" s="1783">
        <v>900</v>
      </c>
      <c r="BV93" s="400">
        <f>Overview!$H$30</f>
        <v/>
      </c>
      <c r="BW93" s="2010"/>
      <c r="BX93" s="7672" t="inlineStr">
        <is>
          <t>Close to Head</t>
        </is>
      </c>
      <c r="BY93" s="2040"/>
      <c r="BZ93" s="2040"/>
      <c r="CA93" s="1996" t="inlineStr">
        <is>
          <t>Front Face</t>
        </is>
      </c>
      <c r="CB93" s="202">
        <v>5</v>
      </c>
      <c r="CC93" s="1062">
        <f>'2G-3G'!BX21</f>
        <v>37</v>
      </c>
      <c r="CD93" s="1062">
        <f>'2G-3G'!BY21</f>
        <v>897.4</v>
      </c>
      <c r="CE93" s="1522"/>
      <c r="CF93" s="1522"/>
      <c r="CG93" s="386" t="str">
        <f>IF(OR($BY$3="",$BY$3=""),"",$BY$3)</f>
        <v/>
      </c>
      <c r="CH93" s="386">
        <f>BZ93</f>
        <v/>
      </c>
      <c r="CI93" s="386">
        <f>CA93</f>
        <v/>
      </c>
      <c r="CJ93" s="1526"/>
      <c r="CK93" s="2036"/>
      <c r="CL93" s="203">
        <f>IF(CF93=""," ",IF(ABS(CE93-CF93)&lt;=0.125,"Valid","Not valid"))</f>
        <v/>
      </c>
      <c r="CM93" s="204">
        <f> IF(CE93="","",IF(AND(CE93&lt;&gt;"",CF93=""),IF(CE93&gt;=1,"Medir+Sig Max","No"),IF(CF93&lt;&gt;"",IF(CF93&gt;=1,"Medir+Sig Max","No"),"")))</f>
        <v/>
      </c>
      <c r="CN93" s="1798"/>
      <c r="CO93" s="219">
        <f>IF(CK93="",IF(AND(CE93="",CF93=""),"",IF(CF93="",IF(DE93&gt;1,ROUND(DE93*CE93,3),CE93),IF(DE93&gt;1,ROUND(DE93*CF93,3),CF93))),IF(AND(CE93="",CF93=""),"",IF(CF93="",IF(DE93&gt;1,ROUND(DE93*CE93*(1/(CK93)),3),CE93*(1/(CK93))),IF(DE93&gt;1,ROUND(DE93*CF93*(1/(CK93)),3),CF93*(1/(CK93))))))</f>
        <v/>
      </c>
      <c r="CP93" s="2037">
        <f>$CP$3</f>
        <v/>
      </c>
      <c r="CQ93" s="1471">
        <f>IF(CO93="","",IF(CO93&gt;CP93,"Fail","Pass"))</f>
        <v/>
      </c>
      <c r="CR93" s="1480">
        <f>IF(AND(MAX(CO93:CO100)=CO93,CO93&lt;&gt;0),COUNT($CR$3:CR90)+1,"")</f>
        <v/>
      </c>
      <c r="CS93" s="1564">
        <f>MyTimestamp(CO93)</f>
        <v/>
      </c>
      <c r="CT93" s="1529">
        <f>IF(CE93="",0,15)+IF(CF93="",0,15)</f>
        <v/>
      </c>
      <c r="CU93" s="1530">
        <f>IF(CT93=0,0,2)</f>
        <v/>
      </c>
      <c r="CV93" s="862" t="inlineStr">
        <is>
          <t>S/02</t>
        </is>
      </c>
      <c r="CW93" s="862" t="inlineStr">
        <is>
          <t>Dasy6</t>
        </is>
      </c>
      <c r="CX93" s="2038"/>
      <c r="CY93" s="2039"/>
      <c r="CZ93" s="1542">
        <f>10^(CJ93/20)*100-100</f>
        <v/>
      </c>
      <c r="DA93" s="1318">
        <f>IF('Tune-Up'!$H$12="","",'Tune-Up'!$H$12)</f>
        <v/>
      </c>
      <c r="DB93" s="694">
        <f>'2G-3G'!BZ21</f>
        <v/>
      </c>
      <c r="DC93" s="796">
        <f>IF(DA93="","",10^(DA93/10))</f>
        <v/>
      </c>
      <c r="DD93" s="1362">
        <f>IF(ISNUMBER(DB93)=FALSE,"",10^(DB93/10))</f>
        <v/>
      </c>
      <c r="DE93" s="1542">
        <f>IF(AND(ISNUMBER(DC93),ISNUMBER(DD93)),IF(DC93/DD93&gt;1,ROUND((DC93)/DD93,3),1),1)</f>
        <v/>
      </c>
      <c r="DF93" s="1541"/>
      <c r="DG93" s="1541"/>
      <c r="DH93" s="1541"/>
      <c r="DI93" s="1541"/>
      <c r="DJ93" s="1541"/>
      <c r="DK93" s="1541"/>
      <c r="DL93" s="1541"/>
      <c r="DM93" s="1541"/>
      <c r="DN93" s="1541"/>
      <c r="DO93" s="1541"/>
      <c r="DP93" s="1541"/>
      <c r="DQ93" s="1541"/>
      <c r="DR93" s="1541"/>
    </row>
    <row r="94" ht="12.75" x14ac:dyDescent="0.2">
      <c r="A94" s="1541"/>
      <c r="B94" s="1541"/>
      <c r="C94"/>
      <c r="D94" s="130">
        <f>IF(BX$93="Close to Ear","EN 62209-1","EN 62209-2")</f>
        <v/>
      </c>
      <c r="E94" s="130">
        <f>IF(CG94="Close to Ear","2016","2010/A1:2019")</f>
        <v/>
      </c>
      <c r="F94" s="1488" t="inlineStr">
        <is>
          <t>5.1</t>
        </is>
      </c>
      <c r="G94" s="1497"/>
      <c r="H94" s="120">
        <f>BV94</f>
        <v/>
      </c>
      <c r="I94" s="120">
        <f>BW94</f>
        <v/>
      </c>
      <c r="J94" s="687" t="str">
        <f>BT94</f>
        <v>GSM</v>
      </c>
      <c r="K94" s="194">
        <f>BU94</f>
        <v>900</v>
      </c>
      <c r="L94" s="115"/>
      <c r="M94" s="120">
        <f>BZ94</f>
        <v>0</v>
      </c>
      <c r="N94" s="119"/>
      <c r="O94" s="131"/>
      <c r="P94" s="6597"/>
      <c r="Q94" s="131"/>
      <c r="R94" s="131"/>
      <c r="S94" s="120">
        <f>CG94</f>
        <v>0</v>
      </c>
      <c r="T94" s="120">
        <f>CC94</f>
        <v>37</v>
      </c>
      <c r="U94" s="120">
        <f>CD94</f>
        <v>897.4</v>
      </c>
      <c r="V94" s="119"/>
      <c r="W94" s="197">
        <f>CK94*100</f>
        <v/>
      </c>
      <c r="X94" s="119"/>
      <c r="Y94" s="119"/>
      <c r="Z94" s="119"/>
      <c r="AA94" s="115"/>
      <c r="AB94" s="115"/>
      <c r="AC94" s="689">
        <f>IF(OR(BX$93="Close to Ear",BX$93="Close to Head"),"Head",IF(BX$93="Extremity","Extremity","Body"))</f>
        <v/>
      </c>
      <c r="AD94" s="690">
        <f>CA94</f>
        <v/>
      </c>
      <c r="AE94" s="688">
        <f>CB94</f>
        <v/>
      </c>
      <c r="AF94" s="115"/>
      <c r="AG94" s="808">
        <f>IF(AZ94="","N/A",IF(CQ94="Pass","P","F"))</f>
        <v/>
      </c>
      <c r="AH94" s="129"/>
      <c r="AI94" s="129"/>
      <c r="AJ94" s="129"/>
      <c r="AK94" s="119"/>
      <c r="AL94" s="115"/>
      <c r="AM94" s="119"/>
      <c r="AN94" s="119"/>
      <c r="AO94" s="692"/>
      <c r="AP94" s="692"/>
      <c r="AQ94" s="692"/>
      <c r="AR94" s="692"/>
      <c r="AS94" s="692"/>
      <c r="AT94" s="691">
        <f>CE94</f>
        <v/>
      </c>
      <c r="AU94" s="691">
        <f>CF94</f>
        <v/>
      </c>
      <c r="AV94" s="813"/>
      <c r="AW94" s="813"/>
      <c r="AX94" s="197">
        <f>CZ94</f>
        <v/>
      </c>
      <c r="AY94" s="197">
        <f>DE94</f>
        <v/>
      </c>
      <c r="AZ94" s="3379">
        <f>CO94</f>
        <v/>
      </c>
      <c r="BA94" s="3380"/>
      <c r="BB94" s="197">
        <f>CP94</f>
        <v/>
      </c>
      <c r="BC94" s="813"/>
      <c r="BD94" s="197">
        <f>CR94</f>
        <v/>
      </c>
      <c r="BE94" s="121">
        <f>CS94</f>
        <v/>
      </c>
      <c r="BF94" s="122">
        <f>CT94*60</f>
        <v/>
      </c>
      <c r="BG94" s="121">
        <f>BE94</f>
        <v/>
      </c>
      <c r="BH94" s="122">
        <f>CU94*60</f>
        <v/>
      </c>
      <c r="BI94" s="122">
        <f>CV94</f>
        <v/>
      </c>
      <c r="BJ94" s="117"/>
      <c r="BK94" s="812">
        <f>Overview!$E$7</f>
        <v/>
      </c>
      <c r="BL94" s="117"/>
      <c r="BM94" s="836">
        <f>CW94</f>
        <v/>
      </c>
      <c r="BN94" s="812">
        <f>Overview!$P$153</f>
        <v/>
      </c>
      <c r="BO94" s="117"/>
      <c r="BP94" s="117"/>
      <c r="BQ94" s="115"/>
      <c r="BR94" s="1478" t="inlineStr">
        <is>
          <t>N/A</t>
        </is>
      </c>
      <c r="BS94" s="1548"/>
      <c r="BT94" s="1783" t="inlineStr">
        <is>
          <t>GSM</t>
        </is>
      </c>
      <c r="BU94" s="1783">
        <v>900</v>
      </c>
      <c r="BV94" s="400">
        <f>Overview!$H$30</f>
        <v/>
      </c>
      <c r="BW94" s="2010"/>
      <c r="BX94" s="1783"/>
      <c r="BY94" s="2040"/>
      <c r="BZ94" s="2040"/>
      <c r="CA94" s="1997" t="inlineStr">
        <is>
          <t>Back Face</t>
        </is>
      </c>
      <c r="CB94" s="200">
        <v>5</v>
      </c>
      <c r="CC94" s="1063">
        <f>'2G-3G'!BX21</f>
        <v>37</v>
      </c>
      <c r="CD94" s="1063">
        <f>'2G-3G'!BY21</f>
        <v>897.4</v>
      </c>
      <c r="CE94" s="1523"/>
      <c r="CF94" s="1523"/>
      <c r="CG94" s="387" t="str">
        <f>IF(OR($BY$3="",$BY$3=""),"",$BY$3)</f>
        <v/>
      </c>
      <c r="CH94" s="387">
        <f>BZ94</f>
        <v/>
      </c>
      <c r="CI94" s="387">
        <f>CA94</f>
        <v/>
      </c>
      <c r="CJ94" s="1527"/>
      <c r="CK94" s="2042"/>
      <c r="CL94" s="206">
        <f>IF(CF94=""," ",IF(ABS(CE94-CF94)&lt;=0.125,"Valid","Not valid"))</f>
        <v/>
      </c>
      <c r="CM94" s="207">
        <f> IF(CE94="","",IF(AND(CE94&lt;&gt;"",CF94=""),IF(CE94&gt;=1,"Medir+Sig Max","No"),IF(CF94&lt;&gt;"",IF(CF94&gt;=1,"Medir+Sig Max","No"),"")))</f>
        <v/>
      </c>
      <c r="CN94" s="1787"/>
      <c r="CO94" s="220">
        <f>IF(CK94="",IF(AND(CE94="",CF94=""),"",IF(CF94="",IF(DE94&gt;1,ROUND(DE94*CE94,3),CE94),IF(DE94&gt;1,ROUND(DE94*CF94,3),CF94))),IF(AND(CE94="",CF94=""),"",IF(CF94="",IF(DE94&gt;1,ROUND(DE94*CE94*(1/(CK94)),3),CE94*(1/(CK94))),IF(DE94&gt;1,ROUND(DE94*CF94*(1/(CK94)),3),CF94*(1/(CK94))))))</f>
        <v/>
      </c>
      <c r="CP94" s="2043">
        <f>$CP$3</f>
        <v/>
      </c>
      <c r="CQ94" s="1472">
        <f>IF(CO94="","",IF(CO94&gt;CP94,"Fail","Pass"))</f>
        <v/>
      </c>
      <c r="CR94" s="1481">
        <f>IF(AND(MAX(CO93:CO100)=CO94,CO94&lt;&gt;0),COUNT($CR$3:CR93)+1,"")</f>
        <v/>
      </c>
      <c r="CS94" s="1565">
        <f>MyTimestamp(CO94)</f>
        <v/>
      </c>
      <c r="CT94" s="1531">
        <f>IF(CE94="",0,15)+IF(CF94="",0,15)</f>
        <v/>
      </c>
      <c r="CU94" s="1532">
        <f>IF(CT94=0,0,2)</f>
        <v/>
      </c>
      <c r="CV94" s="859" t="inlineStr">
        <is>
          <t>S/02</t>
        </is>
      </c>
      <c r="CW94" s="859" t="inlineStr">
        <is>
          <t>Dasy6</t>
        </is>
      </c>
      <c r="CX94" s="2038"/>
      <c r="CY94" s="2044"/>
      <c r="CZ94" s="1543">
        <f>10^(CJ94/20)*100-100</f>
        <v/>
      </c>
      <c r="DA94" s="1319">
        <f>IF('Tune-Up'!$H$12="","",'Tune-Up'!$H$12)</f>
        <v/>
      </c>
      <c r="DB94" s="695">
        <f>'2G-3G'!BZ21</f>
        <v/>
      </c>
      <c r="DC94" s="797">
        <f>IF(DA94="","",10^(DA94/10))</f>
        <v/>
      </c>
      <c r="DD94" s="1363">
        <f>IF(ISNUMBER(DB94)=FALSE,"",10^(DB94/10))</f>
        <v/>
      </c>
      <c r="DE94" s="1543">
        <f>IF(AND(ISNUMBER(DC94),ISNUMBER(DD94)),IF(DC94/DD94&gt;1,ROUND((DC94)/DD94,3),1),1)</f>
        <v/>
      </c>
      <c r="DF94" s="1541"/>
      <c r="DG94" s="1541"/>
      <c r="DH94" s="1541"/>
      <c r="DI94" s="1541"/>
      <c r="DJ94" s="1541"/>
      <c r="DK94" s="1541"/>
      <c r="DL94" s="1541"/>
      <c r="DM94" s="1541"/>
      <c r="DN94" s="1541"/>
      <c r="DO94" s="1541"/>
      <c r="DP94" s="1541"/>
      <c r="DQ94" s="1541"/>
      <c r="DR94" s="1541"/>
    </row>
    <row r="95" ht="12.75" x14ac:dyDescent="0.2">
      <c r="A95" s="1541"/>
      <c r="B95" s="1541"/>
      <c r="C95"/>
      <c r="D95" s="130">
        <f>IF(BX$93="Close to Ear","EN 62209-1","EN 62209-2")</f>
        <v/>
      </c>
      <c r="E95" s="130">
        <f>IF(CG95="Close to Ear","2016","2010/A1:2019")</f>
        <v/>
      </c>
      <c r="F95" s="1488" t="inlineStr">
        <is>
          <t>5.1</t>
        </is>
      </c>
      <c r="G95" s="1497"/>
      <c r="H95" s="120">
        <f>BV95</f>
        <v/>
      </c>
      <c r="I95" s="120">
        <f>BW95</f>
        <v/>
      </c>
      <c r="J95" s="687" t="str">
        <f>BT95</f>
        <v>GSM</v>
      </c>
      <c r="K95" s="194">
        <f>BU95</f>
        <v>900</v>
      </c>
      <c r="L95" s="115"/>
      <c r="M95" s="120">
        <f>BZ95</f>
        <v>0</v>
      </c>
      <c r="N95" s="119"/>
      <c r="O95" s="131"/>
      <c r="P95" s="6597"/>
      <c r="Q95" s="131"/>
      <c r="R95" s="131"/>
      <c r="S95" s="120">
        <f>CG95</f>
        <v>0</v>
      </c>
      <c r="T95" s="120">
        <f>CC95</f>
        <v>37</v>
      </c>
      <c r="U95" s="120">
        <f>CD95</f>
        <v>897.4</v>
      </c>
      <c r="V95" s="119"/>
      <c r="W95" s="197">
        <f>CK95*100</f>
        <v/>
      </c>
      <c r="X95" s="119"/>
      <c r="Y95" s="119"/>
      <c r="Z95" s="119"/>
      <c r="AA95" s="115"/>
      <c r="AB95" s="115"/>
      <c r="AC95" s="689">
        <f>IF(OR(BX$93="Close to Ear",BX$93="Close to Head"),"Head",IF(BX$93="Extremity","Extremity","Body"))</f>
        <v/>
      </c>
      <c r="AD95" s="690">
        <f>CA95</f>
        <v/>
      </c>
      <c r="AE95" s="688">
        <f>CB95</f>
        <v/>
      </c>
      <c r="AF95" s="115"/>
      <c r="AG95" s="808">
        <f>IF(AZ95="","N/A",IF(CQ95="Pass","P","F"))</f>
        <v/>
      </c>
      <c r="AH95" s="129"/>
      <c r="AI95" s="129"/>
      <c r="AJ95" s="129"/>
      <c r="AK95" s="119"/>
      <c r="AL95" s="115"/>
      <c r="AM95" s="119"/>
      <c r="AN95" s="119"/>
      <c r="AO95" s="692"/>
      <c r="AP95" s="692"/>
      <c r="AQ95" s="692"/>
      <c r="AR95" s="692"/>
      <c r="AS95" s="692"/>
      <c r="AT95" s="691">
        <f>CE95</f>
        <v/>
      </c>
      <c r="AU95" s="691">
        <f>CF95</f>
        <v/>
      </c>
      <c r="AV95" s="813"/>
      <c r="AW95" s="813"/>
      <c r="AX95" s="197">
        <f>CZ95</f>
        <v/>
      </c>
      <c r="AY95" s="197">
        <f>DE95</f>
        <v/>
      </c>
      <c r="AZ95" s="3379">
        <f>CO95</f>
        <v/>
      </c>
      <c r="BA95" s="3380"/>
      <c r="BB95" s="197">
        <f>CP95</f>
        <v/>
      </c>
      <c r="BC95" s="813"/>
      <c r="BD95" s="197">
        <f>CR95</f>
        <v/>
      </c>
      <c r="BE95" s="121">
        <f>CS95</f>
        <v/>
      </c>
      <c r="BF95" s="122">
        <f>CT95*60</f>
        <v/>
      </c>
      <c r="BG95" s="121">
        <f>BE95</f>
        <v/>
      </c>
      <c r="BH95" s="122">
        <f>CU95*60</f>
        <v/>
      </c>
      <c r="BI95" s="122">
        <f>CV95</f>
        <v/>
      </c>
      <c r="BJ95" s="117"/>
      <c r="BK95" s="812">
        <f>Overview!$E$7</f>
        <v/>
      </c>
      <c r="BL95" s="117"/>
      <c r="BM95" s="836">
        <f>CW95</f>
        <v/>
      </c>
      <c r="BN95" s="812">
        <f>Overview!$P$153</f>
        <v/>
      </c>
      <c r="BO95" s="117"/>
      <c r="BP95" s="117"/>
      <c r="BQ95" s="115"/>
      <c r="BR95" s="1478" t="inlineStr">
        <is>
          <t>N/A</t>
        </is>
      </c>
      <c r="BS95" s="1548"/>
      <c r="BT95" s="1783" t="inlineStr">
        <is>
          <t>GSM</t>
        </is>
      </c>
      <c r="BU95" s="1783">
        <v>900</v>
      </c>
      <c r="BV95" s="400">
        <f>Overview!$H$30</f>
        <v/>
      </c>
      <c r="BW95" s="2010"/>
      <c r="BX95" s="1783"/>
      <c r="BY95" s="2040"/>
      <c r="BZ95" s="2040"/>
      <c r="CA95" s="1997" t="inlineStr">
        <is>
          <t>Left Edge</t>
        </is>
      </c>
      <c r="CB95" s="200">
        <v>5</v>
      </c>
      <c r="CC95" s="1063">
        <f>'2G-3G'!BX21</f>
        <v>37</v>
      </c>
      <c r="CD95" s="1063">
        <f>'2G-3G'!BY21</f>
        <v>897.4</v>
      </c>
      <c r="CE95" s="1523"/>
      <c r="CF95" s="1523"/>
      <c r="CG95" s="387" t="str">
        <f>IF(OR($BY$3="",$BY$3=""),"",$BY$3)</f>
        <v/>
      </c>
      <c r="CH95" s="387">
        <f>BZ95</f>
        <v/>
      </c>
      <c r="CI95" s="387">
        <f>CA95</f>
        <v/>
      </c>
      <c r="CJ95" s="1527"/>
      <c r="CK95" s="2042"/>
      <c r="CL95" s="206">
        <f>IF(CF95=""," ",IF(ABS(CE95-CF95)&lt;=0.125,"Valid","Not valid"))</f>
        <v/>
      </c>
      <c r="CM95" s="207">
        <f> IF(CE95="","",IF(AND(CE95&lt;&gt;"",CF95=""),IF(CE95&gt;=1,"Medir+Sig Max","No"),IF(CF95&lt;&gt;"",IF(CF95&gt;=1,"Medir+Sig Max","No"),"")))</f>
        <v/>
      </c>
      <c r="CN95" s="1787"/>
      <c r="CO95" s="220">
        <f>IF(CK95="",IF(AND(CE95="",CF95=""),"",IF(CF95="",IF(DE95&gt;1,ROUND(DE95*CE95,3),CE95),IF(DE95&gt;1,ROUND(DE95*CF95,3),CF95))),IF(AND(CE95="",CF95=""),"",IF(CF95="",IF(DE95&gt;1,ROUND(DE95*CE95*(1/(CK95)),3),CE95*(1/(CK95))),IF(DE95&gt;1,ROUND(DE95*CF95*(1/(CK95)),3),CF95*(1/(CK95))))))</f>
        <v/>
      </c>
      <c r="CP95" s="2043">
        <f>$CP$3</f>
        <v/>
      </c>
      <c r="CQ95" s="1472">
        <f>IF(CO95="","",IF(CO95&gt;CP95,"Fail","Pass"))</f>
        <v/>
      </c>
      <c r="CR95" s="1481">
        <f>IF(AND(MAX(CO93:CO100)=CO95,CO95&lt;&gt;0),COUNT($CR$3:CR94)+1,"")</f>
        <v/>
      </c>
      <c r="CS95" s="1565">
        <f>MyTimestamp(CO95)</f>
        <v/>
      </c>
      <c r="CT95" s="1531">
        <f>IF(CE95="",0,15)+IF(CF95="",0,15)</f>
        <v/>
      </c>
      <c r="CU95" s="1532">
        <f>IF(CT95=0,0,2)</f>
        <v/>
      </c>
      <c r="CV95" s="859" t="inlineStr">
        <is>
          <t>S/02</t>
        </is>
      </c>
      <c r="CW95" s="859" t="inlineStr">
        <is>
          <t>Dasy6</t>
        </is>
      </c>
      <c r="CX95" s="2038"/>
      <c r="CY95" s="2044"/>
      <c r="CZ95" s="1543">
        <f>10^(CJ95/20)*100-100</f>
        <v/>
      </c>
      <c r="DA95" s="1319">
        <f>IF('Tune-Up'!$H$12="","",'Tune-Up'!$H$12)</f>
        <v/>
      </c>
      <c r="DB95" s="695">
        <f>'2G-3G'!BZ21</f>
        <v/>
      </c>
      <c r="DC95" s="797">
        <f>IF(DA95="","",10^(DA95/10))</f>
        <v/>
      </c>
      <c r="DD95" s="1363">
        <f>IF(ISNUMBER(DB95)=FALSE,"",10^(DB95/10))</f>
        <v/>
      </c>
      <c r="DE95" s="1543">
        <f>IF(AND(ISNUMBER(DC95),ISNUMBER(DD95)),IF(DC95/DD95&gt;1,ROUND((DC95)/DD95,3),1),1)</f>
        <v/>
      </c>
      <c r="DF95" s="1541"/>
      <c r="DG95" s="1541"/>
      <c r="DH95" s="1541"/>
      <c r="DI95" s="1541"/>
      <c r="DJ95" s="1541"/>
      <c r="DK95" s="1541"/>
      <c r="DL95" s="1541"/>
      <c r="DM95" s="1541"/>
      <c r="DN95" s="1541"/>
      <c r="DO95" s="1541"/>
      <c r="DP95" s="1541"/>
      <c r="DQ95" s="1541"/>
      <c r="DR95" s="1541"/>
    </row>
    <row r="96" ht="12.75" x14ac:dyDescent="0.2">
      <c r="A96" s="1541"/>
      <c r="B96" s="1541"/>
      <c r="C96"/>
      <c r="D96" s="130">
        <f>IF(BX$93="Close to Ear","EN 62209-1","EN 62209-2")</f>
        <v/>
      </c>
      <c r="E96" s="130">
        <f>IF(CG96="Close to Ear","2016","2010/A1:2019")</f>
        <v/>
      </c>
      <c r="F96" s="1488" t="inlineStr">
        <is>
          <t>5.1</t>
        </is>
      </c>
      <c r="G96" s="1497"/>
      <c r="H96" s="120">
        <f>BV96</f>
        <v/>
      </c>
      <c r="I96" s="120">
        <f>BW96</f>
        <v/>
      </c>
      <c r="J96" s="687" t="str">
        <f>BT96</f>
        <v>GSM</v>
      </c>
      <c r="K96" s="194">
        <f>BU96</f>
        <v>900</v>
      </c>
      <c r="L96" s="115"/>
      <c r="M96" s="120">
        <f>BZ96</f>
        <v>0</v>
      </c>
      <c r="N96" s="119"/>
      <c r="O96" s="131"/>
      <c r="P96" s="6597"/>
      <c r="Q96" s="131"/>
      <c r="R96" s="131"/>
      <c r="S96" s="120">
        <f>CG96</f>
        <v>0</v>
      </c>
      <c r="T96" s="120">
        <f>CC96</f>
        <v>37</v>
      </c>
      <c r="U96" s="120">
        <f>CD96</f>
        <v>897.4</v>
      </c>
      <c r="V96" s="119"/>
      <c r="W96" s="197">
        <f>CK96*100</f>
        <v/>
      </c>
      <c r="X96" s="119"/>
      <c r="Y96" s="119"/>
      <c r="Z96" s="119"/>
      <c r="AA96" s="115"/>
      <c r="AB96" s="115"/>
      <c r="AC96" s="689">
        <f>IF(OR(BX$93="Close to Ear",BX$93="Close to Head"),"Head",IF(BX$93="Extremity","Extremity","Body"))</f>
        <v/>
      </c>
      <c r="AD96" s="690">
        <f>CA96</f>
        <v/>
      </c>
      <c r="AE96" s="688">
        <f>CB96</f>
        <v/>
      </c>
      <c r="AF96" s="115"/>
      <c r="AG96" s="808">
        <f>IF(AZ96="","N/A",IF(CQ96="Pass","P","F"))</f>
        <v/>
      </c>
      <c r="AH96" s="129"/>
      <c r="AI96" s="129"/>
      <c r="AJ96" s="129"/>
      <c r="AK96" s="119"/>
      <c r="AL96" s="115"/>
      <c r="AM96" s="119"/>
      <c r="AN96" s="119"/>
      <c r="AO96" s="692"/>
      <c r="AP96" s="692"/>
      <c r="AQ96" s="692"/>
      <c r="AR96" s="692"/>
      <c r="AS96" s="692"/>
      <c r="AT96" s="691">
        <f>CE96</f>
        <v/>
      </c>
      <c r="AU96" s="691">
        <f>CF96</f>
        <v/>
      </c>
      <c r="AV96" s="813"/>
      <c r="AW96" s="813"/>
      <c r="AX96" s="197">
        <f>CZ96</f>
        <v/>
      </c>
      <c r="AY96" s="197">
        <f>DE96</f>
        <v/>
      </c>
      <c r="AZ96" s="3379">
        <f>CO96</f>
        <v/>
      </c>
      <c r="BA96" s="3380"/>
      <c r="BB96" s="197">
        <f>CP96</f>
        <v/>
      </c>
      <c r="BC96" s="813"/>
      <c r="BD96" s="197">
        <f>CR96</f>
        <v/>
      </c>
      <c r="BE96" s="121">
        <f>CS96</f>
        <v/>
      </c>
      <c r="BF96" s="122">
        <f>CT96*60</f>
        <v/>
      </c>
      <c r="BG96" s="121">
        <f>BE96</f>
        <v/>
      </c>
      <c r="BH96" s="122">
        <f>CU96*60</f>
        <v/>
      </c>
      <c r="BI96" s="122">
        <f>CV96</f>
        <v/>
      </c>
      <c r="BJ96" s="117"/>
      <c r="BK96" s="812">
        <f>Overview!$E$7</f>
        <v/>
      </c>
      <c r="BL96" s="117"/>
      <c r="BM96" s="836">
        <f>CW96</f>
        <v/>
      </c>
      <c r="BN96" s="812">
        <f>Overview!$P$153</f>
        <v/>
      </c>
      <c r="BO96" s="117"/>
      <c r="BP96" s="117"/>
      <c r="BQ96" s="115"/>
      <c r="BR96" s="1478" t="inlineStr">
        <is>
          <t>N/A</t>
        </is>
      </c>
      <c r="BS96" s="1548"/>
      <c r="BT96" s="1791" t="inlineStr">
        <is>
          <t>GSM</t>
        </is>
      </c>
      <c r="BU96" s="1791">
        <v>900</v>
      </c>
      <c r="BV96" s="403">
        <f>Overview!$H$30</f>
        <v/>
      </c>
      <c r="BW96" s="2010"/>
      <c r="BX96" s="1791"/>
      <c r="BY96" s="2040"/>
      <c r="BZ96" s="2040"/>
      <c r="CA96" s="1997" t="inlineStr">
        <is>
          <t>Right Edge</t>
        </is>
      </c>
      <c r="CB96" s="200">
        <v>5</v>
      </c>
      <c r="CC96" s="1063">
        <f>'2G-3G'!BX21</f>
        <v>37</v>
      </c>
      <c r="CD96" s="1063">
        <f>'2G-3G'!BY21</f>
        <v>897.4</v>
      </c>
      <c r="CE96" s="1523"/>
      <c r="CF96" s="1523"/>
      <c r="CG96" s="387" t="str">
        <f>IF(OR($BY$3="",$BY$3=""),"",$BY$3)</f>
        <v/>
      </c>
      <c r="CH96" s="387">
        <f>BZ96</f>
        <v/>
      </c>
      <c r="CI96" s="387">
        <f>CA96</f>
        <v/>
      </c>
      <c r="CJ96" s="1527"/>
      <c r="CK96" s="2042"/>
      <c r="CL96" s="206">
        <f>IF(CF96=""," ",IF(ABS(CE96-CF96)&lt;=0.125,"Valid","Not valid"))</f>
        <v/>
      </c>
      <c r="CM96" s="207">
        <f> IF(CE96="","",IF(AND(CE96&lt;&gt;"",CF96=""),IF(CE96&gt;=1,"Medir+Sig Max","No"),IF(CF96&lt;&gt;"",IF(CF96&gt;=1,"Medir+Sig Max","No"),"")))</f>
        <v/>
      </c>
      <c r="CN96" s="1787"/>
      <c r="CO96" s="220">
        <f>IF(CK96="",IF(AND(CE96="",CF96=""),"",IF(CF96="",IF(DE96&gt;1,ROUND(DE96*CE96,3),CE96),IF(DE96&gt;1,ROUND(DE96*CF96,3),CF96))),IF(AND(CE96="",CF96=""),"",IF(CF96="",IF(DE96&gt;1,ROUND(DE96*CE96*(1/(CK96)),3),CE96*(1/(CK96))),IF(DE96&gt;1,ROUND(DE96*CF96*(1/(CK96)),3),CF96*(1/(CK96))))))</f>
        <v/>
      </c>
      <c r="CP96" s="2043">
        <f>$CP$3</f>
        <v/>
      </c>
      <c r="CQ96" s="1472">
        <f>IF(CO96="","",IF(CO96&gt;CP96,"Fail","Pass"))</f>
        <v/>
      </c>
      <c r="CR96" s="1481">
        <f>IF(AND(MAX(CO93:CO100)=CO96,CO96&lt;&gt;0),COUNT($CR$3:CR95)+1,"")</f>
        <v/>
      </c>
      <c r="CS96" s="1565">
        <f>MyTimestamp(CO96)</f>
        <v/>
      </c>
      <c r="CT96" s="1531">
        <f>IF(CE96="",0,15)+IF(CF96="",0,15)</f>
        <v/>
      </c>
      <c r="CU96" s="1532">
        <f>IF(CT96=0,0,2)</f>
        <v/>
      </c>
      <c r="CV96" s="859" t="inlineStr">
        <is>
          <t>S/02</t>
        </is>
      </c>
      <c r="CW96" s="859" t="inlineStr">
        <is>
          <t>Dasy6</t>
        </is>
      </c>
      <c r="CX96" s="2038"/>
      <c r="CY96" s="2044"/>
      <c r="CZ96" s="1543">
        <f>10^(CJ96/20)*100-100</f>
        <v/>
      </c>
      <c r="DA96" s="1319">
        <f>IF('Tune-Up'!$H$12="","",'Tune-Up'!$H$12)</f>
        <v/>
      </c>
      <c r="DB96" s="695">
        <f>'2G-3G'!BZ21</f>
        <v/>
      </c>
      <c r="DC96" s="797">
        <f>IF(DA96="","",10^(DA96/10))</f>
        <v/>
      </c>
      <c r="DD96" s="1363">
        <f>IF(ISNUMBER(DB96)=FALSE,"",10^(DB96/10))</f>
        <v/>
      </c>
      <c r="DE96" s="1543">
        <f>IF(AND(ISNUMBER(DC96),ISNUMBER(DD96)),IF(DC96/DD96&gt;1,ROUND((DC96)/DD96,3),1),1)</f>
        <v/>
      </c>
      <c r="DF96" s="1541"/>
      <c r="DG96" s="1541"/>
      <c r="DH96" s="1541"/>
      <c r="DI96" s="1541"/>
      <c r="DJ96" s="1541"/>
      <c r="DK96" s="1541"/>
      <c r="DL96" s="1541"/>
      <c r="DM96" s="1541"/>
      <c r="DN96" s="1541"/>
      <c r="DO96" s="1541"/>
      <c r="DP96" s="1541"/>
      <c r="DQ96" s="1541"/>
      <c r="DR96" s="1541"/>
    </row>
    <row r="97" ht="12.75" x14ac:dyDescent="0.2">
      <c r="A97" s="1541"/>
      <c r="B97" s="1541"/>
      <c r="C97"/>
      <c r="D97" s="130">
        <f>IF(BX$93="Close to Ear","EN 62209-1","EN 62209-2")</f>
        <v/>
      </c>
      <c r="E97" s="130">
        <f>IF(CG97="Close to Ear","2016","2010/A1:2019")</f>
        <v/>
      </c>
      <c r="F97" s="1488" t="inlineStr">
        <is>
          <t>5.1</t>
        </is>
      </c>
      <c r="G97" s="1497"/>
      <c r="H97" s="120">
        <f>BV97</f>
        <v/>
      </c>
      <c r="I97" s="120">
        <f>BW97</f>
        <v/>
      </c>
      <c r="J97" s="687" t="str">
        <f>BT97</f>
        <v>GSM</v>
      </c>
      <c r="K97" s="194">
        <f>BU97</f>
        <v>900</v>
      </c>
      <c r="L97" s="115"/>
      <c r="M97" s="120">
        <f>BZ97</f>
        <v>0</v>
      </c>
      <c r="N97" s="119"/>
      <c r="O97" s="131"/>
      <c r="P97" s="6597"/>
      <c r="Q97" s="131"/>
      <c r="R97" s="131"/>
      <c r="S97" s="120">
        <f>CG97</f>
        <v>0</v>
      </c>
      <c r="T97" s="120">
        <f>CC97</f>
        <v>37</v>
      </c>
      <c r="U97" s="120">
        <f>CD97</f>
        <v>897.4</v>
      </c>
      <c r="V97" s="119"/>
      <c r="W97" s="197">
        <f>CK97*100</f>
        <v/>
      </c>
      <c r="X97" s="119"/>
      <c r="Y97" s="119"/>
      <c r="Z97" s="119"/>
      <c r="AA97" s="115"/>
      <c r="AB97" s="115"/>
      <c r="AC97" s="689">
        <f>IF(OR(BX$93="Close to Ear",BX$93="Close to Head"),"Head",IF(BX$93="Extremity","Extremity","Body"))</f>
        <v/>
      </c>
      <c r="AD97" s="690">
        <f>CA97</f>
        <v/>
      </c>
      <c r="AE97" s="688">
        <f>CB97</f>
        <v/>
      </c>
      <c r="AF97" s="115"/>
      <c r="AG97" s="808">
        <f>IF(AZ97="","N/A",IF(CQ97="Pass","P","F"))</f>
        <v/>
      </c>
      <c r="AH97" s="129"/>
      <c r="AI97" s="129"/>
      <c r="AJ97" s="129"/>
      <c r="AK97" s="119"/>
      <c r="AL97" s="115"/>
      <c r="AM97" s="119"/>
      <c r="AN97" s="119"/>
      <c r="AO97" s="692"/>
      <c r="AP97" s="692"/>
      <c r="AQ97" s="692"/>
      <c r="AR97" s="692"/>
      <c r="AS97" s="692"/>
      <c r="AT97" s="691">
        <f>CE97</f>
        <v/>
      </c>
      <c r="AU97" s="691">
        <f>CF97</f>
        <v/>
      </c>
      <c r="AV97" s="813"/>
      <c r="AW97" s="813"/>
      <c r="AX97" s="197">
        <f>CZ97</f>
        <v/>
      </c>
      <c r="AY97" s="197">
        <f>DE97</f>
        <v/>
      </c>
      <c r="AZ97" s="3379">
        <f>CO97</f>
        <v/>
      </c>
      <c r="BA97" s="3380"/>
      <c r="BB97" s="197">
        <f>CP97</f>
        <v/>
      </c>
      <c r="BC97" s="813"/>
      <c r="BD97" s="197">
        <f>CR97</f>
        <v/>
      </c>
      <c r="BE97" s="121">
        <f>CS97</f>
        <v/>
      </c>
      <c r="BF97" s="122">
        <f>CT97*60</f>
        <v/>
      </c>
      <c r="BG97" s="121">
        <f>BE97</f>
        <v/>
      </c>
      <c r="BH97" s="122">
        <f>CU97*60</f>
        <v/>
      </c>
      <c r="BI97" s="122">
        <f>CV97</f>
        <v/>
      </c>
      <c r="BJ97" s="117"/>
      <c r="BK97" s="812">
        <f>Overview!$E$7</f>
        <v/>
      </c>
      <c r="BL97" s="117"/>
      <c r="BM97" s="836">
        <f>CW97</f>
        <v/>
      </c>
      <c r="BN97" s="812">
        <f>Overview!$P$153</f>
        <v/>
      </c>
      <c r="BO97" s="117"/>
      <c r="BP97" s="117"/>
      <c r="BQ97" s="115"/>
      <c r="BR97" s="1478" t="inlineStr">
        <is>
          <t>N/A</t>
        </is>
      </c>
      <c r="BS97" s="1548"/>
      <c r="BT97" s="1783" t="inlineStr">
        <is>
          <t>GSM</t>
        </is>
      </c>
      <c r="BU97" s="1783">
        <v>900</v>
      </c>
      <c r="BV97" s="400">
        <f>Overview!$H$30</f>
        <v/>
      </c>
      <c r="BW97" s="2010"/>
      <c r="BX97" s="1783"/>
      <c r="BY97" s="2040"/>
      <c r="BZ97" s="2040"/>
      <c r="CA97" s="1997" t="inlineStr">
        <is>
          <t>Top Edge</t>
        </is>
      </c>
      <c r="CB97" s="200">
        <v>5</v>
      </c>
      <c r="CC97" s="1063">
        <f>'2G-3G'!BX21</f>
        <v>37</v>
      </c>
      <c r="CD97" s="1063">
        <f>'2G-3G'!BY21</f>
        <v>897.4</v>
      </c>
      <c r="CE97" s="1523"/>
      <c r="CF97" s="1523"/>
      <c r="CG97" s="387" t="str">
        <f>IF(OR($BY$3="",$BY$3=""),"",$BY$3)</f>
        <v/>
      </c>
      <c r="CH97" s="387">
        <f>BZ97</f>
        <v/>
      </c>
      <c r="CI97" s="387">
        <f>CA97</f>
        <v/>
      </c>
      <c r="CJ97" s="1527"/>
      <c r="CK97" s="2042"/>
      <c r="CL97" s="206">
        <f>IF(CF97=""," ",IF(ABS(CE97-CF97)&lt;=0.125,"Valid","Not valid"))</f>
        <v/>
      </c>
      <c r="CM97" s="207">
        <f> IF(CE97="","",IF(AND(CE97&lt;&gt;"",CF97=""),IF(CE97&gt;=1,"Medir+Sig Max","No"),IF(CF97&lt;&gt;"",IF(CF97&gt;=1,"Medir+Sig Max","No"),"")))</f>
        <v/>
      </c>
      <c r="CN97" s="1787"/>
      <c r="CO97" s="220">
        <f>IF(CK97="",IF(AND(CE97="",CF97=""),"",IF(CF97="",IF(DE97&gt;1,ROUND(DE97*CE97,3),CE97),IF(DE97&gt;1,ROUND(DE97*CF97,3),CF97))),IF(AND(CE97="",CF97=""),"",IF(CF97="",IF(DE97&gt;1,ROUND(DE97*CE97*(1/(CK97)),3),CE97*(1/(CK97))),IF(DE97&gt;1,ROUND(DE97*CF97*(1/(CK97)),3),CF97*(1/(CK97))))))</f>
        <v/>
      </c>
      <c r="CP97" s="2043">
        <f>$CP$3</f>
        <v/>
      </c>
      <c r="CQ97" s="1472">
        <f>IF(CO97="","",IF(CO97&gt;CP97,"Fail","Pass"))</f>
        <v/>
      </c>
      <c r="CR97" s="1481">
        <f>IF(AND(MAX(CO93:CO100)=CO97,CO97&lt;&gt;0),COUNT($CR$3:CR96)+1,"")</f>
        <v/>
      </c>
      <c r="CS97" s="1565">
        <f>MyTimestamp(CO97)</f>
        <v/>
      </c>
      <c r="CT97" s="1531">
        <f>IF(CE97="",0,15)+IF(CF97="",0,15)</f>
        <v/>
      </c>
      <c r="CU97" s="1532">
        <f>IF(CT97=0,0,2)</f>
        <v/>
      </c>
      <c r="CV97" s="859" t="inlineStr">
        <is>
          <t>S/02</t>
        </is>
      </c>
      <c r="CW97" s="859" t="inlineStr">
        <is>
          <t>Dasy6</t>
        </is>
      </c>
      <c r="CX97" s="2038"/>
      <c r="CY97" s="2044"/>
      <c r="CZ97" s="1543">
        <f>10^(CJ97/20)*100-100</f>
        <v/>
      </c>
      <c r="DA97" s="1319">
        <f>IF('Tune-Up'!$H$12="","",'Tune-Up'!$H$12)</f>
        <v/>
      </c>
      <c r="DB97" s="695">
        <f>'2G-3G'!BZ21</f>
        <v/>
      </c>
      <c r="DC97" s="797">
        <f>IF(DA97="","",10^(DA97/10))</f>
        <v/>
      </c>
      <c r="DD97" s="1363">
        <f>IF(ISNUMBER(DB97)=FALSE,"",10^(DB97/10))</f>
        <v/>
      </c>
      <c r="DE97" s="1543">
        <f>IF(AND(ISNUMBER(DC97),ISNUMBER(DD97)),IF(DC97/DD97&gt;1,ROUND((DC97)/DD97,3),1),1)</f>
        <v/>
      </c>
      <c r="DF97" s="1541"/>
      <c r="DG97" s="1541"/>
      <c r="DH97" s="1541"/>
      <c r="DI97" s="1541"/>
      <c r="DJ97" s="1541"/>
      <c r="DK97" s="1541"/>
      <c r="DL97" s="1541"/>
      <c r="DM97" s="1541"/>
      <c r="DN97" s="1541"/>
      <c r="DO97" s="1541"/>
      <c r="DP97" s="1541"/>
      <c r="DQ97" s="1541"/>
      <c r="DR97" s="1541"/>
    </row>
    <row r="98" ht="12.75" x14ac:dyDescent="0.2">
      <c r="A98" s="1541"/>
      <c r="B98" s="1541"/>
      <c r="C98"/>
      <c r="D98" s="130">
        <f>IF(BX$93="Close to Ear","EN 62209-1","EN 62209-2")</f>
        <v/>
      </c>
      <c r="E98" s="130">
        <f>IF(CG98="Close to Ear","2016","2010/A1:2019")</f>
        <v/>
      </c>
      <c r="F98" s="1488" t="inlineStr">
        <is>
          <t>5.1</t>
        </is>
      </c>
      <c r="G98" s="1497"/>
      <c r="H98" s="120">
        <f>BV98</f>
        <v/>
      </c>
      <c r="I98" s="120">
        <f>BW98</f>
        <v/>
      </c>
      <c r="J98" s="687" t="str">
        <f>BT98</f>
        <v>GSM</v>
      </c>
      <c r="K98" s="194">
        <f>BU98</f>
        <v>900</v>
      </c>
      <c r="L98" s="115"/>
      <c r="M98" s="120">
        <f>BZ98</f>
        <v>0</v>
      </c>
      <c r="N98" s="119"/>
      <c r="O98" s="131"/>
      <c r="P98" s="6597"/>
      <c r="Q98" s="131"/>
      <c r="R98" s="131"/>
      <c r="S98" s="120">
        <f>CG98</f>
        <v>0</v>
      </c>
      <c r="T98" s="120">
        <f>CC98</f>
        <v>37</v>
      </c>
      <c r="U98" s="120">
        <f>CD98</f>
        <v>897.4</v>
      </c>
      <c r="V98" s="119"/>
      <c r="W98" s="197">
        <f>CK98*100</f>
        <v/>
      </c>
      <c r="X98" s="119"/>
      <c r="Y98" s="119"/>
      <c r="Z98" s="119"/>
      <c r="AA98" s="115"/>
      <c r="AB98" s="115"/>
      <c r="AC98" s="689">
        <f>IF(OR(BX$93="Close to Ear",BX$93="Close to Head"),"Head",IF(BX$93="Extremity","Extremity","Body"))</f>
        <v/>
      </c>
      <c r="AD98" s="690">
        <f>CA98</f>
        <v/>
      </c>
      <c r="AE98" s="688">
        <f>CB98</f>
        <v/>
      </c>
      <c r="AF98" s="115"/>
      <c r="AG98" s="808">
        <f>IF(AZ98="","N/A",IF(CQ98="Pass","P","F"))</f>
        <v/>
      </c>
      <c r="AH98" s="129"/>
      <c r="AI98" s="129"/>
      <c r="AJ98" s="129"/>
      <c r="AK98" s="119"/>
      <c r="AL98" s="115"/>
      <c r="AM98" s="119"/>
      <c r="AN98" s="119"/>
      <c r="AO98" s="692"/>
      <c r="AP98" s="692"/>
      <c r="AQ98" s="692"/>
      <c r="AR98" s="692"/>
      <c r="AS98" s="692"/>
      <c r="AT98" s="691">
        <f>CE98</f>
        <v/>
      </c>
      <c r="AU98" s="691">
        <f>CF98</f>
        <v/>
      </c>
      <c r="AV98" s="813"/>
      <c r="AW98" s="813"/>
      <c r="AX98" s="197">
        <f>CZ98</f>
        <v/>
      </c>
      <c r="AY98" s="197">
        <f>DE98</f>
        <v/>
      </c>
      <c r="AZ98" s="3379">
        <f>CO98</f>
        <v/>
      </c>
      <c r="BA98" s="3380"/>
      <c r="BB98" s="197">
        <f>CP98</f>
        <v/>
      </c>
      <c r="BC98" s="813"/>
      <c r="BD98" s="197">
        <f>CR98</f>
        <v/>
      </c>
      <c r="BE98" s="121">
        <f>CS98</f>
        <v/>
      </c>
      <c r="BF98" s="122">
        <f>CT98*60</f>
        <v/>
      </c>
      <c r="BG98" s="121">
        <f>BE98</f>
        <v/>
      </c>
      <c r="BH98" s="122">
        <f>CU98*60</f>
        <v/>
      </c>
      <c r="BI98" s="122">
        <f>CV98</f>
        <v/>
      </c>
      <c r="BJ98" s="117"/>
      <c r="BK98" s="812">
        <f>Overview!$E$7</f>
        <v/>
      </c>
      <c r="BL98" s="117"/>
      <c r="BM98" s="836">
        <f>CW98</f>
        <v/>
      </c>
      <c r="BN98" s="812">
        <f>Overview!$P$153</f>
        <v/>
      </c>
      <c r="BO98" s="117"/>
      <c r="BP98" s="117"/>
      <c r="BQ98" s="115"/>
      <c r="BR98" s="1478" t="inlineStr">
        <is>
          <t>N/A</t>
        </is>
      </c>
      <c r="BS98" s="1548"/>
      <c r="BT98" s="1783" t="inlineStr">
        <is>
          <t>GSM</t>
        </is>
      </c>
      <c r="BU98" s="1783">
        <v>900</v>
      </c>
      <c r="BV98" s="400">
        <f>Overview!$H$30</f>
        <v/>
      </c>
      <c r="BW98" s="2010"/>
      <c r="BX98" s="1783"/>
      <c r="BY98" s="2040"/>
      <c r="BZ98" s="2040"/>
      <c r="CA98" s="1997" t="inlineStr">
        <is>
          <t>Bottom Edge</t>
        </is>
      </c>
      <c r="CB98" s="200">
        <v>5</v>
      </c>
      <c r="CC98" s="1063">
        <f>'2G-3G'!BX21</f>
        <v>37</v>
      </c>
      <c r="CD98" s="1063">
        <f>'2G-3G'!BY21</f>
        <v>897.4</v>
      </c>
      <c r="CE98" s="1523"/>
      <c r="CF98" s="1523"/>
      <c r="CG98" s="387" t="str">
        <f>IF(OR($BY$3="",$BY$3=""),"",$BY$3)</f>
        <v/>
      </c>
      <c r="CH98" s="387">
        <f>BZ98</f>
        <v/>
      </c>
      <c r="CI98" s="387">
        <f>CA98</f>
        <v/>
      </c>
      <c r="CJ98" s="1527"/>
      <c r="CK98" s="2042"/>
      <c r="CL98" s="206">
        <f>IF(CF98=""," ",IF(ABS(CE98-CF98)&lt;=0.125,"Valid","Not valid"))</f>
        <v/>
      </c>
      <c r="CM98" s="207">
        <f> IF(CE98="","",IF(AND(CE98&lt;&gt;"",CF98=""),IF(CE98&gt;=1,"Medir+Sig Max","No"),IF(CF98&lt;&gt;"",IF(CF98&gt;=1,"Medir+Sig Max","No"),"")))</f>
        <v/>
      </c>
      <c r="CN98" s="1787"/>
      <c r="CO98" s="220">
        <f>IF(CK98="",IF(AND(CE98="",CF98=""),"",IF(CF98="",IF(DE98&gt;1,ROUND(DE98*CE98,3),CE98),IF(DE98&gt;1,ROUND(DE98*CF98,3),CF98))),IF(AND(CE98="",CF98=""),"",IF(CF98="",IF(DE98&gt;1,ROUND(DE98*CE98*(1/(CK98)),3),CE98*(1/(CK98))),IF(DE98&gt;1,ROUND(DE98*CF98*(1/(CK98)),3),CF98*(1/(CK98))))))</f>
        <v/>
      </c>
      <c r="CP98" s="2043">
        <f>$CP$3</f>
        <v/>
      </c>
      <c r="CQ98" s="1472">
        <f>IF(CO98="","",IF(CO98&gt;CP98,"Fail","Pass"))</f>
        <v/>
      </c>
      <c r="CR98" s="1481">
        <f>IF(AND(MAX(CO93:CO100)=CO98,CO98&lt;&gt;0),COUNT($CR$3:CR97)+1,"")</f>
        <v/>
      </c>
      <c r="CS98" s="1565">
        <f>MyTimestamp(CO98)</f>
        <v/>
      </c>
      <c r="CT98" s="1531">
        <f>IF(CE98="",0,15)+IF(CF98="",0,15)</f>
        <v/>
      </c>
      <c r="CU98" s="1532">
        <f>IF(CT98=0,0,2)</f>
        <v/>
      </c>
      <c r="CV98" s="859" t="inlineStr">
        <is>
          <t>S/02</t>
        </is>
      </c>
      <c r="CW98" s="859" t="inlineStr">
        <is>
          <t>Dasy6</t>
        </is>
      </c>
      <c r="CX98" s="2038"/>
      <c r="CY98" s="2044"/>
      <c r="CZ98" s="1543">
        <f>10^(CJ98/20)*100-100</f>
        <v/>
      </c>
      <c r="DA98" s="1319">
        <f>IF('Tune-Up'!$H$12="","",'Tune-Up'!$H$12)</f>
        <v/>
      </c>
      <c r="DB98" s="695">
        <f>'2G-3G'!BZ21</f>
        <v/>
      </c>
      <c r="DC98" s="797">
        <f>IF(DA98="","",10^(DA98/10))</f>
        <v/>
      </c>
      <c r="DD98" s="1363">
        <f>IF(ISNUMBER(DB98)=FALSE,"",10^(DB98/10))</f>
        <v/>
      </c>
      <c r="DE98" s="1543">
        <f>IF(AND(ISNUMBER(DC98),ISNUMBER(DD98)),IF(DC98/DD98&gt;1,ROUND((DC98)/DD98,3),1),1)</f>
        <v/>
      </c>
      <c r="DF98" s="1541"/>
      <c r="DG98" s="1541"/>
      <c r="DH98" s="1541"/>
      <c r="DI98" s="1541"/>
      <c r="DJ98" s="1541"/>
      <c r="DK98" s="1541"/>
      <c r="DL98" s="1541"/>
      <c r="DM98" s="1541"/>
      <c r="DN98" s="1541"/>
      <c r="DO98" s="1541"/>
      <c r="DP98" s="1541"/>
      <c r="DQ98" s="1541"/>
      <c r="DR98" s="1541"/>
    </row>
    <row r="99" ht="12.75" x14ac:dyDescent="0.2">
      <c r="A99" s="1541"/>
      <c r="B99" s="1541"/>
      <c r="C99"/>
      <c r="D99" s="130">
        <f>IF(BX$93="Close to Ear","EN 62209-1","EN 62209-2")</f>
        <v/>
      </c>
      <c r="E99" s="130">
        <f>IF(CG99="Close to Ear","2016","2010/A1:2019")</f>
        <v/>
      </c>
      <c r="F99" s="1488" t="inlineStr">
        <is>
          <t>5.1</t>
        </is>
      </c>
      <c r="G99" s="1497"/>
      <c r="H99" s="120">
        <f>BV99</f>
        <v/>
      </c>
      <c r="I99" s="120">
        <f>BW99</f>
        <v/>
      </c>
      <c r="J99" s="687" t="str">
        <f>BT99</f>
        <v>GSM</v>
      </c>
      <c r="K99" s="194">
        <f>BU99</f>
        <v>900</v>
      </c>
      <c r="L99" s="115"/>
      <c r="M99" s="120">
        <f>BZ99</f>
        <v>0</v>
      </c>
      <c r="N99" s="119"/>
      <c r="O99" s="131"/>
      <c r="P99" s="6597"/>
      <c r="Q99" s="131"/>
      <c r="R99" s="131"/>
      <c r="S99" s="120">
        <f>CG99</f>
        <v>0</v>
      </c>
      <c r="T99" s="120">
        <f>CC99</f>
        <v>975</v>
      </c>
      <c r="U99" s="120">
        <f>CD99</f>
        <v>880.2</v>
      </c>
      <c r="V99" s="119"/>
      <c r="W99" s="197">
        <f>CK99*100</f>
        <v/>
      </c>
      <c r="X99" s="119"/>
      <c r="Y99" s="119"/>
      <c r="Z99" s="119"/>
      <c r="AA99" s="115"/>
      <c r="AB99" s="115"/>
      <c r="AC99" s="689">
        <f>IF(OR(BX$93="Close to Ear",BX$93="Close to Head"),"Head",IF(BX$93="Extremity","Extremity","Body"))</f>
        <v/>
      </c>
      <c r="AD99" s="690">
        <f>CA99</f>
        <v/>
      </c>
      <c r="AE99" s="688">
        <f>CB99</f>
        <v/>
      </c>
      <c r="AF99" s="115"/>
      <c r="AG99" s="808">
        <f>IF(AZ99="","N/A",IF(CQ99="Pass","P","F"))</f>
        <v/>
      </c>
      <c r="AH99" s="129"/>
      <c r="AI99" s="129"/>
      <c r="AJ99" s="129"/>
      <c r="AK99" s="119"/>
      <c r="AL99" s="115"/>
      <c r="AM99" s="119"/>
      <c r="AN99" s="119"/>
      <c r="AO99" s="692"/>
      <c r="AP99" s="692"/>
      <c r="AQ99" s="692"/>
      <c r="AR99" s="692"/>
      <c r="AS99" s="692"/>
      <c r="AT99" s="691">
        <f>CE99</f>
        <v/>
      </c>
      <c r="AU99" s="691">
        <f>CF99</f>
        <v/>
      </c>
      <c r="AV99" s="813"/>
      <c r="AW99" s="813"/>
      <c r="AX99" s="197">
        <f>CZ99</f>
        <v/>
      </c>
      <c r="AY99" s="197">
        <f>DE99</f>
        <v/>
      </c>
      <c r="AZ99" s="3379">
        <f>CO99</f>
        <v/>
      </c>
      <c r="BA99" s="3380"/>
      <c r="BB99" s="197">
        <f>CP99</f>
        <v/>
      </c>
      <c r="BC99" s="813"/>
      <c r="BD99" s="197">
        <f>CR99</f>
        <v/>
      </c>
      <c r="BE99" s="121">
        <f>CS99</f>
        <v/>
      </c>
      <c r="BF99" s="122">
        <f>CT99*60</f>
        <v/>
      </c>
      <c r="BG99" s="121">
        <f>BE99</f>
        <v/>
      </c>
      <c r="BH99" s="122">
        <f>CU99*60</f>
        <v/>
      </c>
      <c r="BI99" s="122">
        <f>CV99</f>
        <v/>
      </c>
      <c r="BJ99" s="117"/>
      <c r="BK99" s="812">
        <f>Overview!$E$7</f>
        <v/>
      </c>
      <c r="BL99" s="117"/>
      <c r="BM99" s="836">
        <f>CW99</f>
        <v/>
      </c>
      <c r="BN99" s="812">
        <f>Overview!$P$153</f>
        <v/>
      </c>
      <c r="BO99" s="117"/>
      <c r="BP99" s="117"/>
      <c r="BQ99" s="115"/>
      <c r="BR99" s="1478" t="inlineStr">
        <is>
          <t>N/A</t>
        </is>
      </c>
      <c r="BS99" s="1548"/>
      <c r="BT99" s="1783" t="inlineStr">
        <is>
          <t>GSM</t>
        </is>
      </c>
      <c r="BU99" s="1783">
        <v>900</v>
      </c>
      <c r="BV99" s="400">
        <f>Overview!$H$30</f>
        <v/>
      </c>
      <c r="BW99" s="2010"/>
      <c r="BX99" s="1783"/>
      <c r="BY99" s="2040"/>
      <c r="BZ99" s="2040"/>
      <c r="CA99" s="401" t="str">
        <f>IF(COUNT(CF93:CF98)=0,IF(COUNT(CE93:CE98)=0,"TBD",VLOOKUP(MAX(CE93:CE98),CE93:CI98,5,FALSE)),VLOOKUP(MAX(CF93:CF98),CF93:CI98,4,FALSE))</f>
        <v>TBD</v>
      </c>
      <c r="CB99" s="200">
        <v>5</v>
      </c>
      <c r="CC99" s="1063">
        <f>'2G-3G'!BX22</f>
        <v>975</v>
      </c>
      <c r="CD99" s="1063">
        <f>'2G-3G'!BY22</f>
        <v>880.2</v>
      </c>
      <c r="CE99" s="1523"/>
      <c r="CF99" s="1523"/>
      <c r="CG99" s="387" t="str">
        <f>IF(OR($BY$3="",$BY$3=""),"",$BY$3)</f>
        <v/>
      </c>
      <c r="CH99" s="387">
        <f>BZ99</f>
        <v/>
      </c>
      <c r="CI99" s="387">
        <f>CA99</f>
        <v/>
      </c>
      <c r="CJ99" s="1527"/>
      <c r="CK99" s="2042"/>
      <c r="CL99" s="206">
        <f>IF(CF99=""," ",IF(ABS(CE99-CF99)&lt;=0.125,"Valid","Not valid"))</f>
        <v/>
      </c>
      <c r="CM99" s="207">
        <f> IF(CE99="","",IF(AND(CE99&lt;&gt;"",CF99=""),IF(CE99&gt;=1,"Medir+Sig Max","No"),IF(CF99&lt;&gt;"",IF(CF99&gt;=1,"Medir+Sig Max","No"),"")))</f>
        <v/>
      </c>
      <c r="CN99" s="1787"/>
      <c r="CO99" s="220">
        <f>IF(CK99="",IF(AND(CE99="",CF99=""),"",IF(CF99="",IF(DE99&gt;1,ROUND(DE99*CE99,3),CE99),IF(DE99&gt;1,ROUND(DE99*CF99,3),CF99))),IF(AND(CE99="",CF99=""),"",IF(CF99="",IF(DE99&gt;1,ROUND(DE99*CE99*(1/(CK99)),3),CE99*(1/(CK99))),IF(DE99&gt;1,ROUND(DE99*CF99*(1/(CK99)),3),CF99*(1/(CK99))))))</f>
        <v/>
      </c>
      <c r="CP99" s="2043">
        <f>$CP$3</f>
        <v/>
      </c>
      <c r="CQ99" s="1472">
        <f>IF(CO99="","",IF(CO99&gt;CP99,"Fail","Pass"))</f>
        <v/>
      </c>
      <c r="CR99" s="1481">
        <f>IF(AND(MAX(CO93:CO100)=CO99,CO99&lt;&gt;0),COUNT($CR$3:CR98)+1,"")</f>
        <v/>
      </c>
      <c r="CS99" s="1565">
        <f>MyTimestamp(CO99)</f>
        <v/>
      </c>
      <c r="CT99" s="1531">
        <f>IF(CE99="",0,15)+IF(CF99="",0,15)</f>
        <v/>
      </c>
      <c r="CU99" s="1532">
        <f>IF(CT99=0,0,2)</f>
        <v/>
      </c>
      <c r="CV99" s="859" t="inlineStr">
        <is>
          <t>S/02</t>
        </is>
      </c>
      <c r="CW99" s="859" t="inlineStr">
        <is>
          <t>Dasy6</t>
        </is>
      </c>
      <c r="CX99" s="2038"/>
      <c r="CY99" s="2044"/>
      <c r="CZ99" s="1543">
        <f>10^(CJ99/20)*100-100</f>
        <v/>
      </c>
      <c r="DA99" s="1319">
        <f>IF('Tune-Up'!$H$12="","",'Tune-Up'!$H$12)</f>
        <v/>
      </c>
      <c r="DB99" s="695">
        <f>'2G-3G'!BZ22</f>
        <v/>
      </c>
      <c r="DC99" s="797">
        <f>IF(DA99="","",10^(DA99/10))</f>
        <v/>
      </c>
      <c r="DD99" s="1363">
        <f>IF(ISNUMBER(DB99)=FALSE,"",10^(DB99/10))</f>
        <v/>
      </c>
      <c r="DE99" s="1543">
        <f>IF(AND(ISNUMBER(DC99),ISNUMBER(DD99)),IF(DC99/DD99&gt;1,ROUND((DC99)/DD99,3),1),1)</f>
        <v/>
      </c>
      <c r="DF99" s="1541"/>
      <c r="DG99" s="1541"/>
      <c r="DH99" s="1541"/>
      <c r="DI99" s="1541"/>
      <c r="DJ99" s="1541"/>
      <c r="DK99" s="1541"/>
      <c r="DL99" s="1541"/>
      <c r="DM99" s="1541"/>
      <c r="DN99" s="1541"/>
      <c r="DO99" s="1541"/>
      <c r="DP99" s="1541"/>
      <c r="DQ99" s="1541"/>
      <c r="DR99" s="1541"/>
    </row>
    <row r="100" ht="12.75" x14ac:dyDescent="0.2">
      <c r="A100" s="1541"/>
      <c r="B100" s="1541"/>
      <c r="C100"/>
      <c r="D100" s="130">
        <f>IF(BX$93="Close to Ear","EN 62209-1","EN 62209-2")</f>
        <v/>
      </c>
      <c r="E100" s="130">
        <f>IF(CG100="Close to Ear","2016","2010/A1:2019")</f>
        <v/>
      </c>
      <c r="F100" s="1488" t="inlineStr">
        <is>
          <t>5.1</t>
        </is>
      </c>
      <c r="G100" s="1497"/>
      <c r="H100" s="120">
        <f>BV100</f>
        <v/>
      </c>
      <c r="I100" s="120">
        <f>BW100</f>
        <v/>
      </c>
      <c r="J100" s="687" t="str">
        <f>BT100</f>
        <v>GSM</v>
      </c>
      <c r="K100" s="194">
        <f>BU100</f>
        <v>900</v>
      </c>
      <c r="L100" s="115"/>
      <c r="M100" s="120">
        <f>BZ100</f>
        <v>0</v>
      </c>
      <c r="N100" s="119"/>
      <c r="O100" s="131"/>
      <c r="P100" s="6597"/>
      <c r="Q100" s="131"/>
      <c r="R100" s="131"/>
      <c r="S100" s="120">
        <f>CG100</f>
        <v>0</v>
      </c>
      <c r="T100" s="120">
        <f>CC100</f>
        <v>124</v>
      </c>
      <c r="U100" s="120">
        <f>CD100</f>
        <v>914.8</v>
      </c>
      <c r="V100" s="119"/>
      <c r="W100" s="197">
        <f>CK100*100</f>
        <v/>
      </c>
      <c r="X100" s="119"/>
      <c r="Y100" s="119"/>
      <c r="Z100" s="119"/>
      <c r="AA100" s="115"/>
      <c r="AB100" s="115"/>
      <c r="AC100" s="689">
        <f>IF(OR(BX$93="Close to Ear",BX$93="Close to Head"),"Head",IF(BX$93="Extremity","Extremity","Body"))</f>
        <v/>
      </c>
      <c r="AD100" s="690">
        <f>CA100</f>
        <v/>
      </c>
      <c r="AE100" s="688">
        <f>CB100</f>
        <v/>
      </c>
      <c r="AF100" s="115"/>
      <c r="AG100" s="808">
        <f>IF(AZ100="","N/A",IF(CQ100="Pass","P","F"))</f>
        <v/>
      </c>
      <c r="AH100" s="129"/>
      <c r="AI100" s="129"/>
      <c r="AJ100" s="129"/>
      <c r="AK100" s="119"/>
      <c r="AL100" s="115"/>
      <c r="AM100" s="119"/>
      <c r="AN100" s="119"/>
      <c r="AO100" s="692"/>
      <c r="AP100" s="692"/>
      <c r="AQ100" s="692"/>
      <c r="AR100" s="692"/>
      <c r="AS100" s="692"/>
      <c r="AT100" s="691">
        <f>CE100</f>
        <v/>
      </c>
      <c r="AU100" s="691">
        <f>CF100</f>
        <v/>
      </c>
      <c r="AV100" s="813"/>
      <c r="AW100" s="813"/>
      <c r="AX100" s="197">
        <f>CZ100</f>
        <v/>
      </c>
      <c r="AY100" s="197">
        <f>DE100</f>
        <v/>
      </c>
      <c r="AZ100" s="3379">
        <f>CO100</f>
        <v/>
      </c>
      <c r="BA100" s="3380"/>
      <c r="BB100" s="197">
        <f>CP100</f>
        <v/>
      </c>
      <c r="BC100" s="813"/>
      <c r="BD100" s="197">
        <f>CR100</f>
        <v/>
      </c>
      <c r="BE100" s="121">
        <f>CS100</f>
        <v/>
      </c>
      <c r="BF100" s="122">
        <f>CT100*60</f>
        <v/>
      </c>
      <c r="BG100" s="121">
        <f>BE100</f>
        <v/>
      </c>
      <c r="BH100" s="122">
        <f>CU100*60</f>
        <v/>
      </c>
      <c r="BI100" s="122">
        <f>CV100</f>
        <v/>
      </c>
      <c r="BJ100" s="117"/>
      <c r="BK100" s="812">
        <f>Overview!$E$7</f>
        <v/>
      </c>
      <c r="BL100" s="117"/>
      <c r="BM100" s="836">
        <f>CW100</f>
        <v/>
      </c>
      <c r="BN100" s="812">
        <f>Overview!$P$153</f>
        <v/>
      </c>
      <c r="BO100" s="117"/>
      <c r="BP100" s="117"/>
      <c r="BQ100" s="115"/>
      <c r="BR100" s="1478" t="inlineStr">
        <is>
          <t>N/A</t>
        </is>
      </c>
      <c r="BS100" s="1548"/>
      <c r="BT100" s="1783" t="inlineStr">
        <is>
          <t>GSM</t>
        </is>
      </c>
      <c r="BU100" s="1783">
        <v>900</v>
      </c>
      <c r="BV100" s="400">
        <f>Overview!$H$30</f>
        <v/>
      </c>
      <c r="BW100" s="2010"/>
      <c r="BX100" s="1800"/>
      <c r="BY100" s="2010"/>
      <c r="BZ100" s="2010"/>
      <c r="CA100" s="404" t="str">
        <f>IF(COUNT(CF93:CF98)=0,IF(COUNT(CE93:CE98)=0,"TBD",VLOOKUP(MAX(CE93:CE98),CE93:CI98,5,FALSE)),VLOOKUP(MAX(CF93:CF98),CF93:CI98,4,FALSE))</f>
        <v>TBD</v>
      </c>
      <c r="CB100" s="201">
        <v>5</v>
      </c>
      <c r="CC100" s="1081">
        <f>'2G-3G'!BX23</f>
        <v>124</v>
      </c>
      <c r="CD100" s="1081">
        <f>'2G-3G'!BY23</f>
        <v>914.8</v>
      </c>
      <c r="CE100" s="1874"/>
      <c r="CF100" s="1874"/>
      <c r="CG100" s="388" t="str">
        <f>IF(OR($BY$3="",$BY$3=""),"",$BY$3)</f>
        <v/>
      </c>
      <c r="CH100" s="388">
        <f>BZ100</f>
        <v/>
      </c>
      <c r="CI100" s="388">
        <f>CA100</f>
        <v/>
      </c>
      <c r="CJ100" s="2046"/>
      <c r="CK100" s="2047"/>
      <c r="CL100" s="212">
        <f>IF(CF100=""," ",IF(ABS(CE100-CF100)&lt;=0.125,"Valid","Not valid"))</f>
        <v/>
      </c>
      <c r="CM100" s="213">
        <f> IF(CE100="","",IF(AND(CE100&lt;&gt;"",CF100=""),IF(CE100&gt;=1,"Medir+Sig Max","No"),IF(CF100&lt;&gt;"",IF(CF100&gt;=1,"Medir+Sig Max","No"),"")))</f>
        <v/>
      </c>
      <c r="CN100" s="1794"/>
      <c r="CO100" s="221">
        <f>IF(CK100="",IF(AND(CE100="",CF100=""),"",IF(CF100="",IF(DE100&gt;1,ROUND(DE100*CE100,3),CE100),IF(DE100&gt;1,ROUND(DE100*CF100,3),CF100))),IF(AND(CE100="",CF100=""),"",IF(CF100="",IF(DE100&gt;1,ROUND(DE100*CE100*(1/(CK100)),3),CE100*(1/(CK100))),IF(DE100&gt;1,ROUND(DE100*CF100*(1/(CK100)),3),CF100*(1/(CK100))))))</f>
        <v/>
      </c>
      <c r="CP100" s="2048">
        <f>$CP$3</f>
        <v/>
      </c>
      <c r="CQ100" s="1473">
        <f>IF(CO100="","",IF(CO100&gt;CP100,"Fail","Pass"))</f>
        <v/>
      </c>
      <c r="CR100" s="1482">
        <f>IF(AND(MAX(CO93:CO100)=CO100,CO100&lt;&gt;0),COUNT($CR$3:CR99)+1,"")</f>
        <v/>
      </c>
      <c r="CS100" s="1566">
        <f>MyTimestamp(CO100)</f>
        <v/>
      </c>
      <c r="CT100" s="1535">
        <f>IF(CE100="",0,15)+IF(CF100="",0,15)</f>
        <v/>
      </c>
      <c r="CU100" s="1536">
        <f>IF(CT100=0,0,2)</f>
        <v/>
      </c>
      <c r="CV100" s="861" t="inlineStr">
        <is>
          <t>S/02</t>
        </is>
      </c>
      <c r="CW100" s="861" t="inlineStr">
        <is>
          <t>Dasy6</t>
        </is>
      </c>
      <c r="CX100" s="2038"/>
      <c r="CY100" s="2050"/>
      <c r="CZ100" s="1545">
        <f>10^(CJ100/20)*100-100</f>
        <v/>
      </c>
      <c r="DA100" s="1320">
        <f>IF('Tune-Up'!$H$12="","",'Tune-Up'!$H$12)</f>
        <v/>
      </c>
      <c r="DB100" s="696">
        <f>'2G-3G'!BZ23</f>
        <v/>
      </c>
      <c r="DC100" s="798">
        <f>IF(DA100="","",10^(DA100/10))</f>
        <v/>
      </c>
      <c r="DD100" s="1364">
        <f>IF(ISNUMBER(DB100)=FALSE,"",10^(DB100/10))</f>
        <v/>
      </c>
      <c r="DE100" s="1545">
        <f>IF(AND(ISNUMBER(DC100),ISNUMBER(DD100)),IF(DC100/DD100&gt;1,ROUND((DC100)/DD100,3),1),1)</f>
        <v/>
      </c>
      <c r="DF100" s="1541"/>
      <c r="DG100" s="1541"/>
      <c r="DH100" s="1541"/>
      <c r="DI100" s="1541"/>
      <c r="DJ100" s="1541"/>
      <c r="DK100" s="1541"/>
      <c r="DL100" s="1541"/>
      <c r="DM100" s="1541"/>
      <c r="DN100" s="1541"/>
      <c r="DO100" s="1541"/>
      <c r="DP100" s="1541"/>
      <c r="DQ100" s="1541"/>
      <c r="DR100" s="1541"/>
    </row>
    <row r="101" ht="12.75" x14ac:dyDescent="0.2">
      <c r="A101" s="1541"/>
      <c r="B101" s="1541"/>
      <c r="C101"/>
      <c r="D101" s="130">
        <f>IF(BX$93="Close to Ear","EN 62209-1","EN 62209-2")</f>
        <v/>
      </c>
      <c r="E101" s="130">
        <f>IF(CG101="Close to Ear","2016","2010/A1:2019")</f>
        <v/>
      </c>
      <c r="F101" s="1488" t="inlineStr">
        <is>
          <t>5.1</t>
        </is>
      </c>
      <c r="G101" s="1497"/>
      <c r="H101" s="120">
        <f>BV101</f>
        <v/>
      </c>
      <c r="I101" s="120">
        <f>BW101</f>
        <v/>
      </c>
      <c r="J101" s="687">
        <f>BT101</f>
        <v/>
      </c>
      <c r="K101" s="194">
        <f>BU101</f>
        <v/>
      </c>
      <c r="L101" s="115"/>
      <c r="M101" s="120">
        <f>BZ101</f>
        <v/>
      </c>
      <c r="N101" s="119"/>
      <c r="O101" s="131"/>
      <c r="P101" s="6597"/>
      <c r="Q101" s="131"/>
      <c r="R101" s="131"/>
      <c r="S101" s="120">
        <f>CG101</f>
        <v/>
      </c>
      <c r="T101" s="120">
        <f>CC101</f>
        <v/>
      </c>
      <c r="U101" s="120">
        <f>CD101</f>
        <v/>
      </c>
      <c r="V101" s="119"/>
      <c r="W101" s="197">
        <f>CK101*100</f>
        <v/>
      </c>
      <c r="X101" s="119"/>
      <c r="Y101" s="119"/>
      <c r="Z101" s="119"/>
      <c r="AA101" s="115"/>
      <c r="AB101" s="115"/>
      <c r="AC101" s="689">
        <f>IF(OR(BX$93="Close to Ear",BX$93="Close to Head"),"Head",IF(BX$93="Extremity","Extremity","Body"))</f>
        <v/>
      </c>
      <c r="AD101" s="690">
        <f>CA101</f>
        <v/>
      </c>
      <c r="AE101" s="688">
        <f>CB101</f>
        <v/>
      </c>
      <c r="AF101" s="115"/>
      <c r="AG101" s="808">
        <f>IF(AZ101="","N/A",IF(CQ101="Pass","P","F"))</f>
        <v/>
      </c>
      <c r="AH101" s="129"/>
      <c r="AI101" s="129"/>
      <c r="AJ101" s="129"/>
      <c r="AK101" s="119"/>
      <c r="AL101" s="115"/>
      <c r="AM101" s="119"/>
      <c r="AN101" s="119"/>
      <c r="AO101" s="692"/>
      <c r="AP101" s="692"/>
      <c r="AQ101" s="692"/>
      <c r="AR101" s="692"/>
      <c r="AS101" s="692"/>
      <c r="AT101" s="691">
        <f>CE101</f>
        <v/>
      </c>
      <c r="AU101" s="691">
        <f>CF101</f>
        <v/>
      </c>
      <c r="AV101" s="813"/>
      <c r="AW101" s="813"/>
      <c r="AX101" s="197">
        <f>CZ101</f>
        <v/>
      </c>
      <c r="AY101" s="197">
        <f>DE101</f>
        <v/>
      </c>
      <c r="AZ101" s="3379">
        <f>CO101</f>
        <v/>
      </c>
      <c r="BA101" s="3380"/>
      <c r="BB101" s="197">
        <f>CP101</f>
        <v/>
      </c>
      <c r="BC101" s="813"/>
      <c r="BD101" s="197">
        <f>CR101</f>
        <v/>
      </c>
      <c r="BE101" s="121">
        <f>CS101</f>
        <v/>
      </c>
      <c r="BF101" s="122">
        <f>CT101*60</f>
        <v/>
      </c>
      <c r="BG101" s="121">
        <f>BE101</f>
        <v/>
      </c>
      <c r="BH101" s="122">
        <f>CU101*60</f>
        <v/>
      </c>
      <c r="BI101" s="122">
        <f>CV101</f>
        <v/>
      </c>
      <c r="BJ101" s="117"/>
      <c r="BK101" s="812">
        <f>Overview!$E$7</f>
        <v/>
      </c>
      <c r="BL101" s="117"/>
      <c r="BM101" s="836">
        <f>CW101</f>
        <v/>
      </c>
      <c r="BN101" s="812">
        <f>Overview!$P$153</f>
        <v/>
      </c>
      <c r="BO101" s="117"/>
      <c r="BP101" s="117"/>
      <c r="BQ101" s="115"/>
      <c r="BR101" s="1478" t="inlineStr">
        <is>
          <t>N/A</t>
        </is>
      </c>
      <c r="BS101" s="1548"/>
      <c r="BT101" s="1783" t="inlineStr">
        <is>
          <t>GSM</t>
        </is>
      </c>
      <c r="BU101" s="1783">
        <v>900</v>
      </c>
      <c r="BV101" s="400">
        <f>Overview!$H$30</f>
        <v/>
      </c>
      <c r="BW101" s="2010"/>
      <c r="BX101" s="1800"/>
      <c r="BY101" s="2010"/>
      <c r="BZ101" s="2010"/>
      <c r="CA101" s="404" t="str">
        <f>CONCATENATE(CA99," - Battery check 1")</f>
        <v>TBD - Battery check 1</v>
      </c>
      <c r="CB101" s="201">
        <v>5</v>
      </c>
      <c r="CC101" s="1081">
        <f>IF(COUNT($CO$93:$CO$100)=0,"N/A",INDEX($CC$93:$CC$100,MATCH(MAX($CO$93:$CO$100),$CO$93:$CO$100,0)))</f>
        <v/>
      </c>
      <c r="CD101" s="1081">
        <f>IF(COUNT($CO$93:$CO$100)=0,"N/A",INDEX($CD$93:$CD$100,MATCH(MAX($CO$93:$CO$100),$CO$93:$CO$100,0)))</f>
        <v/>
      </c>
      <c r="CE101" s="1874"/>
      <c r="CF101" s="1874"/>
      <c r="CG101" s="388" t="inlineStr">
        <is>
          <t>N/A</t>
        </is>
      </c>
      <c r="CH101" s="388">
        <f>BZ101</f>
        <v/>
      </c>
      <c r="CI101" s="388">
        <f>CA101</f>
        <v/>
      </c>
      <c r="CJ101" s="2046"/>
      <c r="CK101" s="2047"/>
      <c r="CL101" s="212">
        <f>IF(CF101=""," ",IF(ABS(CE101-CF101)&lt;=0.125,"Valid","Not valid"))</f>
        <v/>
      </c>
      <c r="CM101" s="213">
        <f> IF(CE101="","",IF(AND(CE101&lt;&gt;"",CF101=""),IF(CE101&gt;=1,"Medir+Sig Max","No"),IF(CF101&lt;&gt;"",IF(CF101&gt;=1,"Medir+Sig Max","No"),"")))</f>
        <v/>
      </c>
      <c r="CN101" s="1794"/>
      <c r="CO101" s="221">
        <f>IF(CK101="",IF(AND(CE101="",CF101=""),"",IF(CF101="",IF(DE101&gt;1,ROUND(DE101*CE101,3),CE101),IF(DE101&gt;1,ROUND(DE101*CF101,3),CF101))),IF(AND(CE101="",CF101=""),"",IF(CF101="",IF(DE101&gt;1,ROUND(DE101*CE101*(1/(CK101)),3),CE101*(1/(CK101))),IF(DE101&gt;1,ROUND(DE101*CF101*(1/(CK101)),3),CF101*(1/(CK101))))))</f>
        <v/>
      </c>
      <c r="CP101" s="2048">
        <f>$CP$3</f>
        <v/>
      </c>
      <c r="CQ101" s="1473">
        <f>IF(CO101="","",IF(CO101&gt;CP101,"Fail","Pass"))</f>
        <v/>
      </c>
      <c r="CR101" s="1482">
        <f>IF(CO101&lt;&gt;"",MAX($CR$3:CR100)+1,"")</f>
        <v/>
      </c>
      <c r="CS101" s="1566">
        <f>MyTimestamp(CQ101)</f>
        <v/>
      </c>
      <c r="CT101" s="1535">
        <f>IF(COUNT(CE101:CF101)=1,15,IF(COUNT(CE101:CF101)=0,0,30))</f>
        <v/>
      </c>
      <c r="CU101" s="1536">
        <f>IF(CT101=0,0,2)</f>
        <v/>
      </c>
      <c r="CV101" s="861" t="inlineStr">
        <is>
          <t>S/02</t>
        </is>
      </c>
      <c r="CW101" s="861" t="inlineStr">
        <is>
          <t>Dasy6</t>
        </is>
      </c>
      <c r="CX101" s="2038"/>
      <c r="CY101" s="2050"/>
      <c r="CZ101" s="1545">
        <f>10^(CJ101/20)*100-100</f>
        <v/>
      </c>
      <c r="DA101" s="1320">
        <f>IF('Tune-Up'!$H$12="","",'Tune-Up'!$H$12)</f>
        <v/>
      </c>
      <c r="DB101" s="696">
        <f>IF(COUNT($CO$93:$CO$100)=0,"N/A",IFERROR(INDEX($DB$93:$DB$100,MATCH(MAX($CO$93:$CO$100),$CO$93:$CO$100,0)),"N/A"))</f>
        <v/>
      </c>
      <c r="DC101" s="798">
        <f>IF(DA101="","",10^(DA101/10))</f>
        <v/>
      </c>
      <c r="DD101" s="1364">
        <f>IF(ISNUMBER(DB101)=FALSE,"N/A",10^(DB101/10))</f>
        <v/>
      </c>
      <c r="DE101" s="1545">
        <f>IF(AND(ISNUMBER(DC101),ISNUMBER(DD101)),IF(DC101/DD101&gt;1,ROUND((DC101)/DD101,3),1),1)</f>
        <v/>
      </c>
      <c r="DF101" s="1541"/>
      <c r="DG101" s="1541"/>
      <c r="DH101" s="1541"/>
      <c r="DI101" s="1541"/>
      <c r="DJ101" s="1541"/>
      <c r="DK101" s="1541"/>
      <c r="DL101" s="1541"/>
      <c r="DM101" s="1541"/>
      <c r="DN101" s="1541"/>
      <c r="DO101" s="1541"/>
      <c r="DP101" s="1541"/>
      <c r="DQ101" s="1541"/>
      <c r="DR101" s="1541"/>
    </row>
    <row r="102" ht="12.75" x14ac:dyDescent="0.2">
      <c r="A102" s="1541"/>
      <c r="B102" s="1541"/>
      <c r="C102"/>
      <c r="D102" s="130">
        <f>IF(BX$93="Close to Ear","EN 62209-1","EN 62209-2")</f>
        <v/>
      </c>
      <c r="E102" s="130">
        <f>IF(CG102="Close to Ear","2016","2010/A1:2019")</f>
        <v/>
      </c>
      <c r="F102" s="1488" t="inlineStr">
        <is>
          <t>5.1</t>
        </is>
      </c>
      <c r="G102" s="1497"/>
      <c r="H102" s="120">
        <f>BV102</f>
        <v/>
      </c>
      <c r="I102" s="120">
        <f>BW102</f>
        <v/>
      </c>
      <c r="J102" s="687">
        <f>BT102</f>
        <v/>
      </c>
      <c r="K102" s="194">
        <f>BU102</f>
        <v/>
      </c>
      <c r="L102" s="115"/>
      <c r="M102" s="120">
        <f>BZ102</f>
        <v/>
      </c>
      <c r="N102" s="119"/>
      <c r="O102" s="131"/>
      <c r="P102" s="6597"/>
      <c r="Q102" s="131"/>
      <c r="R102" s="131"/>
      <c r="S102" s="120">
        <f>CG102</f>
        <v/>
      </c>
      <c r="T102" s="120">
        <f>CC102</f>
        <v/>
      </c>
      <c r="U102" s="120">
        <f>CD102</f>
        <v/>
      </c>
      <c r="V102" s="119"/>
      <c r="W102" s="197">
        <f>CK102*100</f>
        <v/>
      </c>
      <c r="X102" s="119"/>
      <c r="Y102" s="119"/>
      <c r="Z102" s="119"/>
      <c r="AA102" s="115"/>
      <c r="AB102" s="115"/>
      <c r="AC102" s="689">
        <f>IF(OR(BX$93="Close to Ear",BX$93="Close to Head"),"Head",IF(BX$93="Extremity","Extremity","Body"))</f>
        <v/>
      </c>
      <c r="AD102" s="690">
        <f>CA102</f>
        <v/>
      </c>
      <c r="AE102" s="688">
        <f>CB102</f>
        <v/>
      </c>
      <c r="AF102" s="115"/>
      <c r="AG102" s="808">
        <f>IF(AZ102="","N/A",IF(CQ102="Pass","P","F"))</f>
        <v/>
      </c>
      <c r="AH102" s="129"/>
      <c r="AI102" s="129"/>
      <c r="AJ102" s="129"/>
      <c r="AK102" s="119"/>
      <c r="AL102" s="115"/>
      <c r="AM102" s="119"/>
      <c r="AN102" s="119"/>
      <c r="AO102" s="692"/>
      <c r="AP102" s="692"/>
      <c r="AQ102" s="692"/>
      <c r="AR102" s="692"/>
      <c r="AS102" s="692"/>
      <c r="AT102" s="691">
        <f>CE102</f>
        <v/>
      </c>
      <c r="AU102" s="691">
        <f>CF102</f>
        <v/>
      </c>
      <c r="AV102" s="813"/>
      <c r="AW102" s="813"/>
      <c r="AX102" s="197">
        <f>CZ102</f>
        <v/>
      </c>
      <c r="AY102" s="197">
        <f>DE102</f>
        <v/>
      </c>
      <c r="AZ102" s="3379">
        <f>CO102</f>
        <v/>
      </c>
      <c r="BA102" s="3380"/>
      <c r="BB102" s="197">
        <f>CP102</f>
        <v/>
      </c>
      <c r="BC102" s="813"/>
      <c r="BD102" s="197">
        <f>CR102</f>
        <v/>
      </c>
      <c r="BE102" s="121">
        <f>CS102</f>
        <v/>
      </c>
      <c r="BF102" s="122">
        <f>CT102*60</f>
        <v/>
      </c>
      <c r="BG102" s="121">
        <f>BE102</f>
        <v/>
      </c>
      <c r="BH102" s="122">
        <f>CU102*60</f>
        <v/>
      </c>
      <c r="BI102" s="122">
        <f>CV102</f>
        <v/>
      </c>
      <c r="BJ102" s="117"/>
      <c r="BK102" s="812">
        <f>Overview!$E$7</f>
        <v/>
      </c>
      <c r="BL102" s="117"/>
      <c r="BM102" s="836">
        <f>CW102</f>
        <v/>
      </c>
      <c r="BN102" s="812">
        <f>Overview!$P$153</f>
        <v/>
      </c>
      <c r="BO102" s="117"/>
      <c r="BP102" s="117"/>
      <c r="BQ102" s="115"/>
      <c r="BR102" s="1478" t="inlineStr">
        <is>
          <t>N/A</t>
        </is>
      </c>
      <c r="BS102" s="1548"/>
      <c r="BT102" s="1783" t="inlineStr">
        <is>
          <t>GSM</t>
        </is>
      </c>
      <c r="BU102" s="1783">
        <v>900</v>
      </c>
      <c r="BV102" s="400">
        <f>Overview!$H$30</f>
        <v/>
      </c>
      <c r="BW102" s="2010"/>
      <c r="BX102" s="1800"/>
      <c r="BY102" s="2010"/>
      <c r="BZ102" s="2010"/>
      <c r="CA102" s="404" t="str">
        <f>CONCATENATE(CA100," - Battery check 2")</f>
        <v>TBD - Battery check 2</v>
      </c>
      <c r="CB102" s="201">
        <v>5</v>
      </c>
      <c r="CC102" s="1081">
        <f>IF(COUNT($CO$93:$CO$100)=0,"N/A",INDEX($CC$93:$CC$100,MATCH(MAX($CO$93:$CO$100),$CO$93:$CO$100,0)))</f>
        <v/>
      </c>
      <c r="CD102" s="1081">
        <f>IF(COUNT($CO$93:$CO$100)=0,"N/A",INDEX($CD$93:$CD$100,MATCH(MAX($CO$93:$CO$100),$CO$93:$CO$100,0)))</f>
        <v/>
      </c>
      <c r="CE102" s="1874"/>
      <c r="CF102" s="1874"/>
      <c r="CG102" s="388" t="inlineStr">
        <is>
          <t>N/A</t>
        </is>
      </c>
      <c r="CH102" s="388">
        <f>BZ102</f>
        <v/>
      </c>
      <c r="CI102" s="388">
        <f>CA102</f>
        <v/>
      </c>
      <c r="CJ102" s="2046"/>
      <c r="CK102" s="2047"/>
      <c r="CL102" s="212">
        <f>IF(CF102=""," ",IF(ABS(CE102-CF102)&lt;=0.125,"Valid","Not valid"))</f>
        <v/>
      </c>
      <c r="CM102" s="213">
        <f> IF(CE102="","",IF(AND(CE102&lt;&gt;"",CF102=""),IF(CE102&gt;=1,"Medir+Sig Max","No"),IF(CF102&lt;&gt;"",IF(CF102&gt;=1,"Medir+Sig Max","No"),"")))</f>
        <v/>
      </c>
      <c r="CN102" s="1794"/>
      <c r="CO102" s="221">
        <f>IF(CK102="",IF(AND(CE102="",CF102=""),"",IF(CF102="",IF(DE102&gt;1,ROUND(DE102*CE102,3),CE102),IF(DE102&gt;1,ROUND(DE102*CF102,3),CF102))),IF(AND(CE102="",CF102=""),"",IF(CF102="",IF(DE102&gt;1,ROUND(DE102*CE102*(1/(CK102)),3),CE102*(1/(CK102))),IF(DE102&gt;1,ROUND(DE102*CF102*(1/(CK102)),3),CF102*(1/(CK102))))))</f>
        <v/>
      </c>
      <c r="CP102" s="2048">
        <f>$CP$3</f>
        <v/>
      </c>
      <c r="CQ102" s="1473">
        <f>IF(CO102="","",IF(CO102&gt;CP102,"Fail","Pass"))</f>
        <v/>
      </c>
      <c r="CR102" s="1482">
        <f>IF(CO102&lt;&gt;"",MAX($CR$3:CR101)+1,"")</f>
        <v/>
      </c>
      <c r="CS102" s="1566">
        <f>MyTimestamp(CQ102)</f>
        <v/>
      </c>
      <c r="CT102" s="1535">
        <f>IF(COUNT(CE102:CF102)=1,15,IF(COUNT(CE102:CF102)=0,0,30))</f>
        <v/>
      </c>
      <c r="CU102" s="1536">
        <f>IF(CT102=0,0,2)</f>
        <v/>
      </c>
      <c r="CV102" s="861" t="inlineStr">
        <is>
          <t>S/02</t>
        </is>
      </c>
      <c r="CW102" s="861" t="inlineStr">
        <is>
          <t>Dasy6</t>
        </is>
      </c>
      <c r="CX102" s="2038"/>
      <c r="CY102" s="2050"/>
      <c r="CZ102" s="1545">
        <f>10^(CJ102/20)*100-100</f>
        <v/>
      </c>
      <c r="DA102" s="1320">
        <f>IF('Tune-Up'!$H$12="","",'Tune-Up'!$H$12)</f>
        <v/>
      </c>
      <c r="DB102" s="696">
        <f>IF(COUNT($CO$93:$CO$100)=0,"N/A",IFERROR(INDEX($DB$93:$DB$100,MATCH(MAX($CO$93:$CO$100),$CO$93:$CO$100,0)),"N/A"))</f>
        <v/>
      </c>
      <c r="DC102" s="798">
        <f>IF(DA102="","",10^(DA102/10))</f>
        <v/>
      </c>
      <c r="DD102" s="1364">
        <f>IF(ISNUMBER(DB102)=FALSE,"N/A",10^(DB102/10))</f>
        <v/>
      </c>
      <c r="DE102" s="1545">
        <f>IF(AND(ISNUMBER(DC102),ISNUMBER(DD102)),IF(DC102/DD102&gt;1,ROUND((DC102)/DD102,3),1),1)</f>
        <v/>
      </c>
      <c r="DF102" s="1541"/>
      <c r="DG102" s="1541"/>
      <c r="DH102" s="1541"/>
      <c r="DI102" s="1541"/>
      <c r="DJ102" s="1541"/>
      <c r="DK102" s="1541"/>
      <c r="DL102" s="1541"/>
      <c r="DM102" s="1541"/>
      <c r="DN102" s="1541"/>
      <c r="DO102" s="1541"/>
      <c r="DP102" s="1541"/>
      <c r="DQ102" s="1541"/>
      <c r="DR102" s="1541"/>
    </row>
    <row r="103" ht="12.75" x14ac:dyDescent="0.2">
      <c r="A103" s="1541"/>
      <c r="B103" s="1541"/>
      <c r="C103"/>
      <c r="D103" s="130">
        <f>IF(BX$103="Close to Ear","EN 62209-1","EN 62209-2")</f>
        <v/>
      </c>
      <c r="E103" s="130">
        <f>IF(CG103="Close to Ear","2016","2010/A1:2019")</f>
        <v/>
      </c>
      <c r="F103" s="1488" t="inlineStr">
        <is>
          <t>5.1</t>
        </is>
      </c>
      <c r="G103" s="1497"/>
      <c r="H103" s="120">
        <f>BV103</f>
        <v/>
      </c>
      <c r="I103" s="120">
        <f>BW103</f>
        <v/>
      </c>
      <c r="J103" s="687" t="str">
        <f>BT103</f>
        <v>GSM</v>
      </c>
      <c r="K103" s="194">
        <f>BU103</f>
        <v>900</v>
      </c>
      <c r="L103" s="115"/>
      <c r="M103" s="120">
        <f>BZ103</f>
        <v>0</v>
      </c>
      <c r="N103" s="119"/>
      <c r="O103" s="131"/>
      <c r="P103" s="6597"/>
      <c r="Q103" s="131"/>
      <c r="R103" s="131"/>
      <c r="S103" s="120">
        <f>CG103</f>
        <v>0</v>
      </c>
      <c r="T103" s="120">
        <f>CC103</f>
        <v>37</v>
      </c>
      <c r="U103" s="120">
        <f>CD103</f>
        <v>897.4</v>
      </c>
      <c r="V103" s="119"/>
      <c r="W103" s="197">
        <f>CK103*100</f>
        <v/>
      </c>
      <c r="X103" s="119"/>
      <c r="Y103" s="119"/>
      <c r="Z103" s="119"/>
      <c r="AA103" s="115"/>
      <c r="AB103" s="115"/>
      <c r="AC103" s="689">
        <f>IF(OR(BX$103="Close to Ear",BX$103="Close to Head"),"Head",IF(BX$103="Extremity","Extremity","Body"))</f>
        <v/>
      </c>
      <c r="AD103" s="690">
        <f>CA103</f>
        <v/>
      </c>
      <c r="AE103" s="688">
        <f>CB103</f>
        <v/>
      </c>
      <c r="AF103" s="115"/>
      <c r="AG103" s="808">
        <f>IF(AZ103="","N/A",IF(CQ103="Pass","P","F"))</f>
        <v/>
      </c>
      <c r="AH103" s="129"/>
      <c r="AI103" s="129"/>
      <c r="AJ103" s="129"/>
      <c r="AK103" s="119"/>
      <c r="AL103" s="115"/>
      <c r="AM103" s="119"/>
      <c r="AN103" s="119"/>
      <c r="AO103" s="692"/>
      <c r="AP103" s="692"/>
      <c r="AQ103" s="692"/>
      <c r="AR103" s="692"/>
      <c r="AS103" s="692"/>
      <c r="AT103" s="691">
        <f>CE103</f>
        <v/>
      </c>
      <c r="AU103" s="691">
        <f>CF103</f>
        <v/>
      </c>
      <c r="AV103" s="813"/>
      <c r="AW103" s="813"/>
      <c r="AX103" s="197">
        <f>CZ103</f>
        <v/>
      </c>
      <c r="AY103" s="197">
        <f>DE103</f>
        <v/>
      </c>
      <c r="AZ103" s="3379">
        <f>CO103</f>
        <v/>
      </c>
      <c r="BA103" s="3380"/>
      <c r="BB103" s="197">
        <f>CP103</f>
        <v/>
      </c>
      <c r="BC103" s="813"/>
      <c r="BD103" s="197">
        <f>CR103</f>
        <v/>
      </c>
      <c r="BE103" s="121">
        <f>CS103</f>
        <v/>
      </c>
      <c r="BF103" s="122">
        <f>CT103*60</f>
        <v/>
      </c>
      <c r="BG103" s="121">
        <f>BE103</f>
        <v/>
      </c>
      <c r="BH103" s="122">
        <f>CU103*60</f>
        <v/>
      </c>
      <c r="BI103" s="122">
        <f>CV103</f>
        <v/>
      </c>
      <c r="BJ103" s="117"/>
      <c r="BK103" s="812">
        <f>Overview!$E$7</f>
        <v/>
      </c>
      <c r="BL103" s="117"/>
      <c r="BM103" s="836">
        <f>CW103</f>
        <v/>
      </c>
      <c r="BN103" s="812">
        <f>Overview!$P$153</f>
        <v/>
      </c>
      <c r="BO103" s="117"/>
      <c r="BP103" s="117"/>
      <c r="BQ103" s="115"/>
      <c r="BR103" s="1478" t="inlineStr">
        <is>
          <t>N/A</t>
        </is>
      </c>
      <c r="BS103" s="1548"/>
      <c r="BT103" s="1783" t="inlineStr">
        <is>
          <t>GSM</t>
        </is>
      </c>
      <c r="BU103" s="1783">
        <v>900</v>
      </c>
      <c r="BV103" s="400">
        <f>Overview!$H$30</f>
        <v/>
      </c>
      <c r="BW103" s="2010"/>
      <c r="BX103" s="7672" t="inlineStr">
        <is>
          <t>Body</t>
        </is>
      </c>
      <c r="BY103" s="2040"/>
      <c r="BZ103" s="2040"/>
      <c r="CA103" s="1996" t="inlineStr">
        <is>
          <t>Front Face</t>
        </is>
      </c>
      <c r="CB103" s="202">
        <v>5</v>
      </c>
      <c r="CC103" s="1062">
        <f>'2G-3G'!BX21</f>
        <v>37</v>
      </c>
      <c r="CD103" s="1062">
        <f>'2G-3G'!BY21</f>
        <v>897.4</v>
      </c>
      <c r="CE103" s="1522"/>
      <c r="CF103" s="1522"/>
      <c r="CG103" s="386" t="str">
        <f>IF(OR($BY$3="",$BY$3=""),"",$BY$3)</f>
        <v/>
      </c>
      <c r="CH103" s="386">
        <f>BZ103</f>
        <v/>
      </c>
      <c r="CI103" s="386">
        <f>CA103</f>
        <v/>
      </c>
      <c r="CJ103" s="1526"/>
      <c r="CK103" s="2036"/>
      <c r="CL103" s="203">
        <f>IF(CF103=""," ",IF(ABS(CE103-CF103)&lt;=0.125,"Valid","Not valid"))</f>
        <v/>
      </c>
      <c r="CM103" s="204">
        <f> IF(CE103="","",IF(AND(CE103&lt;&gt;"",CF103=""),IF(CE103&gt;=1,"Medir+Sig Max","No"),IF(CF103&lt;&gt;"",IF(CF103&gt;=1,"Medir+Sig Max","No"),"")))</f>
        <v/>
      </c>
      <c r="CN103" s="1798"/>
      <c r="CO103" s="219">
        <f>IF(CK103="",IF(AND(CE103="",CF103=""),"",IF(CF103="",IF(DE103&gt;1,ROUND(DE103*CE103,3),CE103),IF(DE103&gt;1,ROUND(DE103*CF103,3),CF103))),IF(AND(CE103="",CF103=""),"",IF(CF103="",IF(DE103&gt;1,ROUND(DE103*CE103*(1/(CK103)),3),CE103*(1/(CK103))),IF(DE103&gt;1,ROUND(DE103*CF103*(1/(CK103)),3),CF103*(1/(CK103))))))</f>
        <v/>
      </c>
      <c r="CP103" s="2037">
        <f>$CP$3</f>
        <v/>
      </c>
      <c r="CQ103" s="1471">
        <f>IF(CO103="","",IF(CO103&gt;CP103,"Fail","Pass"))</f>
        <v/>
      </c>
      <c r="CR103" s="1480">
        <f>IF(AND(MAX(CO103:CO110)=CO103,CO103&lt;&gt;0),COUNT($CR$3:CR100)+1,"")</f>
        <v/>
      </c>
      <c r="CS103" s="1564">
        <f>MyTimestamp(CO103)</f>
        <v/>
      </c>
      <c r="CT103" s="1529">
        <f>IF(CE103="",0,15)+IF(CF103="",0,15)</f>
        <v/>
      </c>
      <c r="CU103" s="1530">
        <f>IF(CT103=0,0,2)</f>
        <v/>
      </c>
      <c r="CV103" s="862" t="inlineStr">
        <is>
          <t>S/02</t>
        </is>
      </c>
      <c r="CW103" s="862" t="inlineStr">
        <is>
          <t>Dasy6</t>
        </is>
      </c>
      <c r="CX103" s="2038"/>
      <c r="CY103" s="2039"/>
      <c r="CZ103" s="1542">
        <f>10^(CJ103/20)*100-100</f>
        <v/>
      </c>
      <c r="DA103" s="1318">
        <f>IF('Tune-Up'!$H$12="","",'Tune-Up'!$H$12)</f>
        <v/>
      </c>
      <c r="DB103" s="694">
        <f>'2G-3G'!BZ21</f>
        <v/>
      </c>
      <c r="DC103" s="796">
        <f>IF(DA103="","",10^(DA103/10))</f>
        <v/>
      </c>
      <c r="DD103" s="1362">
        <f>IF(ISNUMBER(DB103)=FALSE,"",10^(DB103/10))</f>
        <v/>
      </c>
      <c r="DE103" s="1542">
        <f>IF(AND(ISNUMBER(DC103),ISNUMBER(DD103)),IF(DC103/DD103&gt;1,ROUND((DC103)/DD103,3),1),1)</f>
        <v/>
      </c>
      <c r="DF103" s="1541"/>
      <c r="DG103" s="1541"/>
      <c r="DH103" s="1541"/>
      <c r="DI103" s="1541"/>
      <c r="DJ103" s="1541"/>
      <c r="DK103" s="1541"/>
      <c r="DL103" s="1541"/>
      <c r="DM103" s="1541"/>
      <c r="DN103" s="1541"/>
      <c r="DO103" s="1541"/>
      <c r="DP103" s="1541"/>
      <c r="DQ103" s="1541"/>
      <c r="DR103" s="1541"/>
    </row>
    <row r="104" ht="12.75" x14ac:dyDescent="0.2">
      <c r="A104" s="1541"/>
      <c r="B104" s="1541"/>
      <c r="C104"/>
      <c r="D104" s="130">
        <f>IF(BX$103="Close to Ear","EN 62209-1","EN 62209-2")</f>
        <v/>
      </c>
      <c r="E104" s="130">
        <f>IF(CG104="Close to Ear","2016","2010/A1:2019")</f>
        <v/>
      </c>
      <c r="F104" s="1488" t="inlineStr">
        <is>
          <t>5.1</t>
        </is>
      </c>
      <c r="G104" s="1497"/>
      <c r="H104" s="120">
        <f>BV104</f>
        <v/>
      </c>
      <c r="I104" s="120">
        <f>BW104</f>
        <v/>
      </c>
      <c r="J104" s="687" t="str">
        <f>BT104</f>
        <v>GSM</v>
      </c>
      <c r="K104" s="194">
        <f>BU104</f>
        <v>900</v>
      </c>
      <c r="L104" s="115"/>
      <c r="M104" s="120">
        <f>BZ104</f>
        <v>0</v>
      </c>
      <c r="N104" s="119"/>
      <c r="O104" s="131"/>
      <c r="P104" s="6597"/>
      <c r="Q104" s="131"/>
      <c r="R104" s="131"/>
      <c r="S104" s="120">
        <f>CG104</f>
        <v>0</v>
      </c>
      <c r="T104" s="120">
        <f>CC104</f>
        <v>37</v>
      </c>
      <c r="U104" s="120">
        <f>CD104</f>
        <v>897.4</v>
      </c>
      <c r="V104" s="119"/>
      <c r="W104" s="197">
        <f>CK104*100</f>
        <v/>
      </c>
      <c r="X104" s="119"/>
      <c r="Y104" s="119"/>
      <c r="Z104" s="119"/>
      <c r="AA104" s="115"/>
      <c r="AB104" s="115"/>
      <c r="AC104" s="689">
        <f>IF(OR(BX$103="Close to Ear",BX$103="Close to Head"),"Head",IF(BX$103="Extremity","Extremity","Body"))</f>
        <v/>
      </c>
      <c r="AD104" s="690">
        <f>CA104</f>
        <v/>
      </c>
      <c r="AE104" s="688">
        <f>CB104</f>
        <v/>
      </c>
      <c r="AF104" s="115"/>
      <c r="AG104" s="808">
        <f>IF(AZ104="","N/A",IF(CQ104="Pass","P","F"))</f>
        <v/>
      </c>
      <c r="AH104" s="129"/>
      <c r="AI104" s="129"/>
      <c r="AJ104" s="129"/>
      <c r="AK104" s="119"/>
      <c r="AL104" s="115"/>
      <c r="AM104" s="119"/>
      <c r="AN104" s="119"/>
      <c r="AO104" s="692"/>
      <c r="AP104" s="692"/>
      <c r="AQ104" s="692"/>
      <c r="AR104" s="692"/>
      <c r="AS104" s="692"/>
      <c r="AT104" s="691">
        <f>CE104</f>
        <v/>
      </c>
      <c r="AU104" s="691">
        <f>CF104</f>
        <v/>
      </c>
      <c r="AV104" s="813"/>
      <c r="AW104" s="813"/>
      <c r="AX104" s="197">
        <f>CZ104</f>
        <v/>
      </c>
      <c r="AY104" s="197">
        <f>DE104</f>
        <v/>
      </c>
      <c r="AZ104" s="3379">
        <f>CO104</f>
        <v/>
      </c>
      <c r="BA104" s="3380"/>
      <c r="BB104" s="197">
        <f>CP104</f>
        <v/>
      </c>
      <c r="BC104" s="813"/>
      <c r="BD104" s="197">
        <f>CR104</f>
        <v/>
      </c>
      <c r="BE104" s="121">
        <f>CS104</f>
        <v/>
      </c>
      <c r="BF104" s="122">
        <f>CT104*60</f>
        <v/>
      </c>
      <c r="BG104" s="121">
        <f>BE104</f>
        <v/>
      </c>
      <c r="BH104" s="122">
        <f>CU104*60</f>
        <v/>
      </c>
      <c r="BI104" s="122">
        <f>CV104</f>
        <v/>
      </c>
      <c r="BJ104" s="117"/>
      <c r="BK104" s="812">
        <f>Overview!$E$7</f>
        <v/>
      </c>
      <c r="BL104" s="117"/>
      <c r="BM104" s="836">
        <f>CW104</f>
        <v/>
      </c>
      <c r="BN104" s="812">
        <f>Overview!$P$153</f>
        <v/>
      </c>
      <c r="BO104" s="117"/>
      <c r="BP104" s="117"/>
      <c r="BQ104" s="115"/>
      <c r="BR104" s="1478" t="inlineStr">
        <is>
          <t>N/A</t>
        </is>
      </c>
      <c r="BS104" s="1548"/>
      <c r="BT104" s="1783" t="inlineStr">
        <is>
          <t>GSM</t>
        </is>
      </c>
      <c r="BU104" s="1783">
        <v>900</v>
      </c>
      <c r="BV104" s="400">
        <f>Overview!$H$30</f>
        <v/>
      </c>
      <c r="BW104" s="2010"/>
      <c r="BX104" s="1783"/>
      <c r="BY104" s="2040"/>
      <c r="BZ104" s="2040"/>
      <c r="CA104" s="1997" t="inlineStr">
        <is>
          <t>Back Face</t>
        </is>
      </c>
      <c r="CB104" s="200">
        <v>5</v>
      </c>
      <c r="CC104" s="1063">
        <f>'2G-3G'!BX21</f>
        <v>37</v>
      </c>
      <c r="CD104" s="1063">
        <f>'2G-3G'!BY21</f>
        <v>897.4</v>
      </c>
      <c r="CE104" s="1523"/>
      <c r="CF104" s="1523"/>
      <c r="CG104" s="387" t="str">
        <f>IF(OR($BY$3="",$BY$3=""),"",$BY$3)</f>
        <v/>
      </c>
      <c r="CH104" s="387">
        <f>BZ104</f>
        <v/>
      </c>
      <c r="CI104" s="387">
        <f>CA104</f>
        <v/>
      </c>
      <c r="CJ104" s="1527"/>
      <c r="CK104" s="2042"/>
      <c r="CL104" s="206">
        <f>IF(CF104=""," ",IF(ABS(CE104-CF104)&lt;=0.125,"Valid","Not valid"))</f>
        <v/>
      </c>
      <c r="CM104" s="207">
        <f> IF(CE104="","",IF(AND(CE104&lt;&gt;"",CF104=""),IF(CE104&gt;=1,"Medir+Sig Max","No"),IF(CF104&lt;&gt;"",IF(CF104&gt;=1,"Medir+Sig Max","No"),"")))</f>
        <v/>
      </c>
      <c r="CN104" s="1787"/>
      <c r="CO104" s="220">
        <f>IF(CK104="",IF(AND(CE104="",CF104=""),"",IF(CF104="",IF(DE104&gt;1,ROUND(DE104*CE104,3),CE104),IF(DE104&gt;1,ROUND(DE104*CF104,3),CF104))),IF(AND(CE104="",CF104=""),"",IF(CF104="",IF(DE104&gt;1,ROUND(DE104*CE104*(1/(CK104)),3),CE104*(1/(CK104))),IF(DE104&gt;1,ROUND(DE104*CF104*(1/(CK104)),3),CF104*(1/(CK104))))))</f>
        <v/>
      </c>
      <c r="CP104" s="2043">
        <f>$CP$3</f>
        <v/>
      </c>
      <c r="CQ104" s="1472">
        <f>IF(CO104="","",IF(CO104&gt;CP104,"Fail","Pass"))</f>
        <v/>
      </c>
      <c r="CR104" s="1481">
        <f>IF(AND(MAX(CO103:CO110)=CO104,CO104&lt;&gt;0),COUNT($CR$3:CR103)+1,"")</f>
        <v/>
      </c>
      <c r="CS104" s="1565">
        <f>MyTimestamp(CO104)</f>
        <v/>
      </c>
      <c r="CT104" s="1531">
        <f>IF(CE104="",0,15)+IF(CF104="",0,15)</f>
        <v/>
      </c>
      <c r="CU104" s="1532">
        <f>IF(CT104=0,0,2)</f>
        <v/>
      </c>
      <c r="CV104" s="859" t="inlineStr">
        <is>
          <t>S/02</t>
        </is>
      </c>
      <c r="CW104" s="859" t="inlineStr">
        <is>
          <t>Dasy6</t>
        </is>
      </c>
      <c r="CX104" s="2038"/>
      <c r="CY104" s="2044"/>
      <c r="CZ104" s="1543">
        <f>10^(CJ104/20)*100-100</f>
        <v/>
      </c>
      <c r="DA104" s="1319">
        <f>IF('Tune-Up'!$H$12="","",'Tune-Up'!$H$12)</f>
        <v/>
      </c>
      <c r="DB104" s="695">
        <f>'2G-3G'!BZ21</f>
        <v/>
      </c>
      <c r="DC104" s="797">
        <f>IF(DA104="","",10^(DA104/10))</f>
        <v/>
      </c>
      <c r="DD104" s="1363">
        <f>IF(ISNUMBER(DB104)=FALSE,"",10^(DB104/10))</f>
        <v/>
      </c>
      <c r="DE104" s="1543">
        <f>IF(AND(ISNUMBER(DC104),ISNUMBER(DD104)),IF(DC104/DD104&gt;1,ROUND((DC104)/DD104,3),1),1)</f>
        <v/>
      </c>
      <c r="DF104" s="1541"/>
      <c r="DG104" s="1541"/>
      <c r="DH104" s="1541"/>
      <c r="DI104" s="1541"/>
      <c r="DJ104" s="1541"/>
      <c r="DK104" s="1541"/>
      <c r="DL104" s="1541"/>
      <c r="DM104" s="1541"/>
      <c r="DN104" s="1541"/>
      <c r="DO104" s="1541"/>
      <c r="DP104" s="1541"/>
      <c r="DQ104" s="1541"/>
      <c r="DR104" s="1541"/>
    </row>
    <row r="105" ht="12.75" x14ac:dyDescent="0.2">
      <c r="A105" s="1541"/>
      <c r="B105" s="1541"/>
      <c r="C105"/>
      <c r="D105" s="130">
        <f>IF(BX$103="Close to Ear","EN 62209-1","EN 62209-2")</f>
        <v/>
      </c>
      <c r="E105" s="130">
        <f>IF(CG105="Close to Ear","2016","2010/A1:2019")</f>
        <v/>
      </c>
      <c r="F105" s="1488" t="inlineStr">
        <is>
          <t>5.1</t>
        </is>
      </c>
      <c r="G105" s="1497"/>
      <c r="H105" s="120">
        <f>BV105</f>
        <v/>
      </c>
      <c r="I105" s="120">
        <f>BW105</f>
        <v/>
      </c>
      <c r="J105" s="687" t="str">
        <f>BT105</f>
        <v>GSM</v>
      </c>
      <c r="K105" s="194">
        <f>BU105</f>
        <v>900</v>
      </c>
      <c r="L105" s="115"/>
      <c r="M105" s="120">
        <f>BZ105</f>
        <v>0</v>
      </c>
      <c r="N105" s="119"/>
      <c r="O105" s="131"/>
      <c r="P105" s="6597"/>
      <c r="Q105" s="131"/>
      <c r="R105" s="131"/>
      <c r="S105" s="120">
        <f>CG105</f>
        <v>0</v>
      </c>
      <c r="T105" s="120">
        <f>CC105</f>
        <v>37</v>
      </c>
      <c r="U105" s="120">
        <f>CD105</f>
        <v>897.4</v>
      </c>
      <c r="V105" s="119"/>
      <c r="W105" s="197">
        <f>CK105*100</f>
        <v/>
      </c>
      <c r="X105" s="119"/>
      <c r="Y105" s="119"/>
      <c r="Z105" s="119"/>
      <c r="AA105" s="115"/>
      <c r="AB105" s="115"/>
      <c r="AC105" s="689">
        <f>IF(OR(BX$103="Close to Ear",BX$103="Close to Head"),"Head",IF(BX$103="Extremity","Extremity","Body"))</f>
        <v/>
      </c>
      <c r="AD105" s="690">
        <f>CA105</f>
        <v/>
      </c>
      <c r="AE105" s="688">
        <f>CB105</f>
        <v/>
      </c>
      <c r="AF105" s="115"/>
      <c r="AG105" s="808">
        <f>IF(AZ105="","N/A",IF(CQ105="Pass","P","F"))</f>
        <v/>
      </c>
      <c r="AH105" s="129"/>
      <c r="AI105" s="129"/>
      <c r="AJ105" s="129"/>
      <c r="AK105" s="119"/>
      <c r="AL105" s="115"/>
      <c r="AM105" s="119"/>
      <c r="AN105" s="119"/>
      <c r="AO105" s="692"/>
      <c r="AP105" s="692"/>
      <c r="AQ105" s="692"/>
      <c r="AR105" s="692"/>
      <c r="AS105" s="692"/>
      <c r="AT105" s="691">
        <f>CE105</f>
        <v/>
      </c>
      <c r="AU105" s="691">
        <f>CF105</f>
        <v/>
      </c>
      <c r="AV105" s="813"/>
      <c r="AW105" s="813"/>
      <c r="AX105" s="197">
        <f>CZ105</f>
        <v/>
      </c>
      <c r="AY105" s="197">
        <f>DE105</f>
        <v/>
      </c>
      <c r="AZ105" s="3379">
        <f>CO105</f>
        <v/>
      </c>
      <c r="BA105" s="3380"/>
      <c r="BB105" s="197">
        <f>CP105</f>
        <v/>
      </c>
      <c r="BC105" s="813"/>
      <c r="BD105" s="197">
        <f>CR105</f>
        <v/>
      </c>
      <c r="BE105" s="121">
        <f>CS105</f>
        <v/>
      </c>
      <c r="BF105" s="122">
        <f>CT105*60</f>
        <v/>
      </c>
      <c r="BG105" s="121">
        <f>BE105</f>
        <v/>
      </c>
      <c r="BH105" s="122">
        <f>CU105*60</f>
        <v/>
      </c>
      <c r="BI105" s="122">
        <f>CV105</f>
        <v/>
      </c>
      <c r="BJ105" s="117"/>
      <c r="BK105" s="812">
        <f>Overview!$E$7</f>
        <v/>
      </c>
      <c r="BL105" s="117"/>
      <c r="BM105" s="836">
        <f>CW105</f>
        <v/>
      </c>
      <c r="BN105" s="812">
        <f>Overview!$P$153</f>
        <v/>
      </c>
      <c r="BO105" s="117"/>
      <c r="BP105" s="117"/>
      <c r="BQ105" s="115"/>
      <c r="BR105" s="1478" t="inlineStr">
        <is>
          <t>N/A</t>
        </is>
      </c>
      <c r="BS105" s="1548"/>
      <c r="BT105" s="1783" t="inlineStr">
        <is>
          <t>GSM</t>
        </is>
      </c>
      <c r="BU105" s="1783">
        <v>900</v>
      </c>
      <c r="BV105" s="400">
        <f>Overview!$H$30</f>
        <v/>
      </c>
      <c r="BW105" s="2010"/>
      <c r="BX105" s="1783"/>
      <c r="BY105" s="2040"/>
      <c r="BZ105" s="2040"/>
      <c r="CA105" s="1997" t="inlineStr">
        <is>
          <t>Left Edge</t>
        </is>
      </c>
      <c r="CB105" s="200">
        <v>5</v>
      </c>
      <c r="CC105" s="1063">
        <f>'2G-3G'!BX21</f>
        <v>37</v>
      </c>
      <c r="CD105" s="1063">
        <f>'2G-3G'!BY21</f>
        <v>897.4</v>
      </c>
      <c r="CE105" s="1523"/>
      <c r="CF105" s="1523"/>
      <c r="CG105" s="387" t="str">
        <f>IF(OR($BY$3="",$BY$3=""),"",$BY$3)</f>
        <v/>
      </c>
      <c r="CH105" s="387">
        <f>BZ105</f>
        <v/>
      </c>
      <c r="CI105" s="387">
        <f>CA105</f>
        <v/>
      </c>
      <c r="CJ105" s="1527"/>
      <c r="CK105" s="2042"/>
      <c r="CL105" s="206">
        <f>IF(CF105=""," ",IF(ABS(CE105-CF105)&lt;=0.125,"Valid","Not valid"))</f>
        <v/>
      </c>
      <c r="CM105" s="207">
        <f> IF(CE105="","",IF(AND(CE105&lt;&gt;"",CF105=""),IF(CE105&gt;=1,"Medir+Sig Max","No"),IF(CF105&lt;&gt;"",IF(CF105&gt;=1,"Medir+Sig Max","No"),"")))</f>
        <v/>
      </c>
      <c r="CN105" s="1787"/>
      <c r="CO105" s="220">
        <f>IF(CK105="",IF(AND(CE105="",CF105=""),"",IF(CF105="",IF(DE105&gt;1,ROUND(DE105*CE105,3),CE105),IF(DE105&gt;1,ROUND(DE105*CF105,3),CF105))),IF(AND(CE105="",CF105=""),"",IF(CF105="",IF(DE105&gt;1,ROUND(DE105*CE105*(1/(CK105)),3),CE105*(1/(CK105))),IF(DE105&gt;1,ROUND(DE105*CF105*(1/(CK105)),3),CF105*(1/(CK105))))))</f>
        <v/>
      </c>
      <c r="CP105" s="2043">
        <f>$CP$3</f>
        <v/>
      </c>
      <c r="CQ105" s="1472">
        <f>IF(CO105="","",IF(CO105&gt;CP105,"Fail","Pass"))</f>
        <v/>
      </c>
      <c r="CR105" s="1481">
        <f>IF(AND(MAX(CO103:CO110)=CO105,CO105&lt;&gt;0),COUNT($CR$3:CR104)+1,"")</f>
        <v/>
      </c>
      <c r="CS105" s="1565">
        <f>MyTimestamp(CO105)</f>
        <v/>
      </c>
      <c r="CT105" s="1531">
        <f>IF(CE105="",0,15)+IF(CF105="",0,15)</f>
        <v/>
      </c>
      <c r="CU105" s="1532">
        <f>IF(CT105=0,0,2)</f>
        <v/>
      </c>
      <c r="CV105" s="859" t="inlineStr">
        <is>
          <t>S/02</t>
        </is>
      </c>
      <c r="CW105" s="859" t="inlineStr">
        <is>
          <t>Dasy6</t>
        </is>
      </c>
      <c r="CX105" s="2038"/>
      <c r="CY105" s="2044"/>
      <c r="CZ105" s="1543">
        <f>10^(CJ105/20)*100-100</f>
        <v/>
      </c>
      <c r="DA105" s="1319">
        <f>IF('Tune-Up'!$H$12="","",'Tune-Up'!$H$12)</f>
        <v/>
      </c>
      <c r="DB105" s="695">
        <f>'2G-3G'!BZ21</f>
        <v/>
      </c>
      <c r="DC105" s="797">
        <f>IF(DA105="","",10^(DA105/10))</f>
        <v/>
      </c>
      <c r="DD105" s="1363">
        <f>IF(ISNUMBER(DB105)=FALSE,"",10^(DB105/10))</f>
        <v/>
      </c>
      <c r="DE105" s="1543">
        <f>IF(AND(ISNUMBER(DC105),ISNUMBER(DD105)),IF(DC105/DD105&gt;1,ROUND((DC105)/DD105,3),1),1)</f>
        <v/>
      </c>
      <c r="DF105" s="1541"/>
      <c r="DG105" s="1541"/>
      <c r="DH105" s="1541"/>
      <c r="DI105" s="1541"/>
      <c r="DJ105" s="1541"/>
      <c r="DK105" s="1541"/>
      <c r="DL105" s="1541"/>
      <c r="DM105" s="1541"/>
      <c r="DN105" s="1541"/>
      <c r="DO105" s="1541"/>
      <c r="DP105" s="1541"/>
      <c r="DQ105" s="1541"/>
      <c r="DR105" s="1541"/>
    </row>
    <row r="106" ht="12.75" x14ac:dyDescent="0.2">
      <c r="A106" s="1541"/>
      <c r="B106" s="1541"/>
      <c r="C106"/>
      <c r="D106" s="130">
        <f>IF(BX$103="Close to Ear","EN 62209-1","EN 62209-2")</f>
        <v/>
      </c>
      <c r="E106" s="130">
        <f>IF(CG106="Close to Ear","2016","2010/A1:2019")</f>
        <v/>
      </c>
      <c r="F106" s="1488" t="inlineStr">
        <is>
          <t>5.1</t>
        </is>
      </c>
      <c r="G106" s="1497"/>
      <c r="H106" s="120">
        <f>BV106</f>
        <v/>
      </c>
      <c r="I106" s="120">
        <f>BW106</f>
        <v/>
      </c>
      <c r="J106" s="687" t="str">
        <f>BT106</f>
        <v>GSM</v>
      </c>
      <c r="K106" s="194">
        <f>BU106</f>
        <v>900</v>
      </c>
      <c r="L106" s="115"/>
      <c r="M106" s="120">
        <f>BZ106</f>
        <v>0</v>
      </c>
      <c r="N106" s="119"/>
      <c r="O106" s="131"/>
      <c r="P106" s="6597"/>
      <c r="Q106" s="131"/>
      <c r="R106" s="131"/>
      <c r="S106" s="120">
        <f>CG106</f>
        <v>0</v>
      </c>
      <c r="T106" s="120">
        <f>CC106</f>
        <v>37</v>
      </c>
      <c r="U106" s="120">
        <f>CD106</f>
        <v>897.4</v>
      </c>
      <c r="V106" s="119"/>
      <c r="W106" s="197">
        <f>CK106*100</f>
        <v/>
      </c>
      <c r="X106" s="119"/>
      <c r="Y106" s="119"/>
      <c r="Z106" s="119"/>
      <c r="AA106" s="115"/>
      <c r="AB106" s="115"/>
      <c r="AC106" s="689">
        <f>IF(OR(BX$103="Close to Ear",BX$103="Close to Head"),"Head",IF(BX$103="Extremity","Extremity","Body"))</f>
        <v/>
      </c>
      <c r="AD106" s="690">
        <f>CA106</f>
        <v/>
      </c>
      <c r="AE106" s="688">
        <f>CB106</f>
        <v/>
      </c>
      <c r="AF106" s="115"/>
      <c r="AG106" s="808">
        <f>IF(AZ106="","N/A",IF(CQ106="Pass","P","F"))</f>
        <v/>
      </c>
      <c r="AH106" s="129"/>
      <c r="AI106" s="129"/>
      <c r="AJ106" s="129"/>
      <c r="AK106" s="119"/>
      <c r="AL106" s="115"/>
      <c r="AM106" s="119"/>
      <c r="AN106" s="119"/>
      <c r="AO106" s="692"/>
      <c r="AP106" s="692"/>
      <c r="AQ106" s="692"/>
      <c r="AR106" s="692"/>
      <c r="AS106" s="692"/>
      <c r="AT106" s="691">
        <f>CE106</f>
        <v/>
      </c>
      <c r="AU106" s="691">
        <f>CF106</f>
        <v/>
      </c>
      <c r="AV106" s="813"/>
      <c r="AW106" s="813"/>
      <c r="AX106" s="197">
        <f>CZ106</f>
        <v/>
      </c>
      <c r="AY106" s="197">
        <f>DE106</f>
        <v/>
      </c>
      <c r="AZ106" s="3379">
        <f>CO106</f>
        <v/>
      </c>
      <c r="BA106" s="3380"/>
      <c r="BB106" s="197">
        <f>CP106</f>
        <v/>
      </c>
      <c r="BC106" s="813"/>
      <c r="BD106" s="197">
        <f>CR106</f>
        <v/>
      </c>
      <c r="BE106" s="121">
        <f>CS106</f>
        <v/>
      </c>
      <c r="BF106" s="122">
        <f>CT106*60</f>
        <v/>
      </c>
      <c r="BG106" s="121">
        <f>BE106</f>
        <v/>
      </c>
      <c r="BH106" s="122">
        <f>CU106*60</f>
        <v/>
      </c>
      <c r="BI106" s="122">
        <f>CV106</f>
        <v/>
      </c>
      <c r="BJ106" s="117"/>
      <c r="BK106" s="812">
        <f>Overview!$E$7</f>
        <v/>
      </c>
      <c r="BL106" s="117"/>
      <c r="BM106" s="836">
        <f>CW106</f>
        <v/>
      </c>
      <c r="BN106" s="812">
        <f>Overview!$P$153</f>
        <v/>
      </c>
      <c r="BO106" s="117"/>
      <c r="BP106" s="117"/>
      <c r="BQ106" s="115"/>
      <c r="BR106" s="1478" t="inlineStr">
        <is>
          <t>N/A</t>
        </is>
      </c>
      <c r="BS106" s="1548"/>
      <c r="BT106" s="1791" t="inlineStr">
        <is>
          <t>GSM</t>
        </is>
      </c>
      <c r="BU106" s="1791">
        <v>900</v>
      </c>
      <c r="BV106" s="403">
        <f>Overview!$H$30</f>
        <v/>
      </c>
      <c r="BW106" s="2010"/>
      <c r="BX106" s="1791"/>
      <c r="BY106" s="2040"/>
      <c r="BZ106" s="2040"/>
      <c r="CA106" s="1997" t="inlineStr">
        <is>
          <t>Right Edge</t>
        </is>
      </c>
      <c r="CB106" s="200">
        <v>5</v>
      </c>
      <c r="CC106" s="1063">
        <f>'2G-3G'!BX21</f>
        <v>37</v>
      </c>
      <c r="CD106" s="1063">
        <f>'2G-3G'!BY21</f>
        <v>897.4</v>
      </c>
      <c r="CE106" s="1523"/>
      <c r="CF106" s="1523"/>
      <c r="CG106" s="387" t="str">
        <f>IF(OR($BY$3="",$BY$3=""),"",$BY$3)</f>
        <v/>
      </c>
      <c r="CH106" s="387">
        <f>BZ106</f>
        <v/>
      </c>
      <c r="CI106" s="387">
        <f>CA106</f>
        <v/>
      </c>
      <c r="CJ106" s="1527"/>
      <c r="CK106" s="2042"/>
      <c r="CL106" s="206">
        <f>IF(CF106=""," ",IF(ABS(CE106-CF106)&lt;=0.125,"Valid","Not valid"))</f>
        <v/>
      </c>
      <c r="CM106" s="207">
        <f> IF(CE106="","",IF(AND(CE106&lt;&gt;"",CF106=""),IF(CE106&gt;=1,"Medir+Sig Max","No"),IF(CF106&lt;&gt;"",IF(CF106&gt;=1,"Medir+Sig Max","No"),"")))</f>
        <v/>
      </c>
      <c r="CN106" s="1787"/>
      <c r="CO106" s="220">
        <f>IF(CK106="",IF(AND(CE106="",CF106=""),"",IF(CF106="",IF(DE106&gt;1,ROUND(DE106*CE106,3),CE106),IF(DE106&gt;1,ROUND(DE106*CF106,3),CF106))),IF(AND(CE106="",CF106=""),"",IF(CF106="",IF(DE106&gt;1,ROUND(DE106*CE106*(1/(CK106)),3),CE106*(1/(CK106))),IF(DE106&gt;1,ROUND(DE106*CF106*(1/(CK106)),3),CF106*(1/(CK106))))))</f>
        <v/>
      </c>
      <c r="CP106" s="2043">
        <f>$CP$3</f>
        <v/>
      </c>
      <c r="CQ106" s="1472">
        <f>IF(CO106="","",IF(CO106&gt;CP106,"Fail","Pass"))</f>
        <v/>
      </c>
      <c r="CR106" s="1481">
        <f>IF(AND(MAX(CO103:CO110)=CO106,CO106&lt;&gt;0),COUNT($CR$3:CR105)+1,"")</f>
        <v/>
      </c>
      <c r="CS106" s="1565">
        <f>MyTimestamp(CO106)</f>
        <v/>
      </c>
      <c r="CT106" s="1531">
        <f>IF(CE106="",0,15)+IF(CF106="",0,15)</f>
        <v/>
      </c>
      <c r="CU106" s="1532">
        <f>IF(CT106=0,0,2)</f>
        <v/>
      </c>
      <c r="CV106" s="859" t="inlineStr">
        <is>
          <t>S/02</t>
        </is>
      </c>
      <c r="CW106" s="859" t="inlineStr">
        <is>
          <t>Dasy6</t>
        </is>
      </c>
      <c r="CX106" s="2038"/>
      <c r="CY106" s="2044"/>
      <c r="CZ106" s="1543">
        <f>10^(CJ106/20)*100-100</f>
        <v/>
      </c>
      <c r="DA106" s="1319">
        <f>IF('Tune-Up'!$H$12="","",'Tune-Up'!$H$12)</f>
        <v/>
      </c>
      <c r="DB106" s="695">
        <f>'2G-3G'!BZ21</f>
        <v/>
      </c>
      <c r="DC106" s="797">
        <f>IF(DA106="","",10^(DA106/10))</f>
        <v/>
      </c>
      <c r="DD106" s="1363">
        <f>IF(ISNUMBER(DB106)=FALSE,"",10^(DB106/10))</f>
        <v/>
      </c>
      <c r="DE106" s="1543">
        <f>IF(AND(ISNUMBER(DC106),ISNUMBER(DD106)),IF(DC106/DD106&gt;1,ROUND((DC106)/DD106,3),1),1)</f>
        <v/>
      </c>
      <c r="DF106" s="1541"/>
      <c r="DG106" s="1541"/>
      <c r="DH106" s="1541"/>
      <c r="DI106" s="1541"/>
      <c r="DJ106" s="1541"/>
      <c r="DK106" s="1541"/>
      <c r="DL106" s="1541"/>
      <c r="DM106" s="1541"/>
      <c r="DN106" s="1541"/>
      <c r="DO106" s="1541"/>
      <c r="DP106" s="1541"/>
      <c r="DQ106" s="1541"/>
      <c r="DR106" s="1541"/>
    </row>
    <row r="107" ht="12.75" x14ac:dyDescent="0.2">
      <c r="A107" s="1541"/>
      <c r="B107" s="1541"/>
      <c r="C107"/>
      <c r="D107" s="130">
        <f>IF(BX$103="Close to Ear","EN 62209-1","EN 62209-2")</f>
        <v/>
      </c>
      <c r="E107" s="130">
        <f>IF(CG107="Close to Ear","2016","2010/A1:2019")</f>
        <v/>
      </c>
      <c r="F107" s="1488" t="inlineStr">
        <is>
          <t>5.1</t>
        </is>
      </c>
      <c r="G107" s="1497"/>
      <c r="H107" s="120">
        <f>BV107</f>
        <v/>
      </c>
      <c r="I107" s="120">
        <f>BW107</f>
        <v/>
      </c>
      <c r="J107" s="687" t="str">
        <f>BT107</f>
        <v>GSM</v>
      </c>
      <c r="K107" s="194">
        <f>BU107</f>
        <v>900</v>
      </c>
      <c r="L107" s="115"/>
      <c r="M107" s="120">
        <f>BZ107</f>
        <v>0</v>
      </c>
      <c r="N107" s="119"/>
      <c r="O107" s="131"/>
      <c r="P107" s="6597"/>
      <c r="Q107" s="131"/>
      <c r="R107" s="131"/>
      <c r="S107" s="120">
        <f>CG107</f>
        <v>0</v>
      </c>
      <c r="T107" s="120">
        <f>CC107</f>
        <v>37</v>
      </c>
      <c r="U107" s="120">
        <f>CD107</f>
        <v>897.4</v>
      </c>
      <c r="V107" s="119"/>
      <c r="W107" s="197">
        <f>CK107*100</f>
        <v/>
      </c>
      <c r="X107" s="119"/>
      <c r="Y107" s="119"/>
      <c r="Z107" s="119"/>
      <c r="AA107" s="115"/>
      <c r="AB107" s="115"/>
      <c r="AC107" s="689">
        <f>IF(OR(BX$103="Close to Ear",BX$103="Close to Head"),"Head",IF(BX$103="Extremity","Extremity","Body"))</f>
        <v/>
      </c>
      <c r="AD107" s="690">
        <f>CA107</f>
        <v/>
      </c>
      <c r="AE107" s="688">
        <f>CB107</f>
        <v/>
      </c>
      <c r="AF107" s="115"/>
      <c r="AG107" s="808">
        <f>IF(AZ107="","N/A",IF(CQ107="Pass","P","F"))</f>
        <v/>
      </c>
      <c r="AH107" s="129"/>
      <c r="AI107" s="129"/>
      <c r="AJ107" s="129"/>
      <c r="AK107" s="119"/>
      <c r="AL107" s="115"/>
      <c r="AM107" s="119"/>
      <c r="AN107" s="119"/>
      <c r="AO107" s="692"/>
      <c r="AP107" s="692"/>
      <c r="AQ107" s="692"/>
      <c r="AR107" s="692"/>
      <c r="AS107" s="692"/>
      <c r="AT107" s="691">
        <f>CE107</f>
        <v/>
      </c>
      <c r="AU107" s="691">
        <f>CF107</f>
        <v/>
      </c>
      <c r="AV107" s="813"/>
      <c r="AW107" s="813"/>
      <c r="AX107" s="197">
        <f>CZ107</f>
        <v/>
      </c>
      <c r="AY107" s="197">
        <f>DE107</f>
        <v/>
      </c>
      <c r="AZ107" s="3379">
        <f>CO107</f>
        <v/>
      </c>
      <c r="BA107" s="3380"/>
      <c r="BB107" s="197">
        <f>CP107</f>
        <v/>
      </c>
      <c r="BC107" s="813"/>
      <c r="BD107" s="197">
        <f>CR107</f>
        <v/>
      </c>
      <c r="BE107" s="121">
        <f>CS107</f>
        <v/>
      </c>
      <c r="BF107" s="122">
        <f>CT107*60</f>
        <v/>
      </c>
      <c r="BG107" s="121">
        <f>BE107</f>
        <v/>
      </c>
      <c r="BH107" s="122">
        <f>CU107*60</f>
        <v/>
      </c>
      <c r="BI107" s="122">
        <f>CV107</f>
        <v/>
      </c>
      <c r="BJ107" s="117"/>
      <c r="BK107" s="812">
        <f>Overview!$E$7</f>
        <v/>
      </c>
      <c r="BL107" s="117"/>
      <c r="BM107" s="836">
        <f>CW107</f>
        <v/>
      </c>
      <c r="BN107" s="812">
        <f>Overview!$P$153</f>
        <v/>
      </c>
      <c r="BO107" s="117"/>
      <c r="BP107" s="117"/>
      <c r="BQ107" s="115"/>
      <c r="BR107" s="1478" t="inlineStr">
        <is>
          <t>N/A</t>
        </is>
      </c>
      <c r="BS107" s="1548"/>
      <c r="BT107" s="1783" t="inlineStr">
        <is>
          <t>GSM</t>
        </is>
      </c>
      <c r="BU107" s="1783">
        <v>900</v>
      </c>
      <c r="BV107" s="400">
        <f>Overview!$H$30</f>
        <v/>
      </c>
      <c r="BW107" s="2010"/>
      <c r="BX107" s="1783"/>
      <c r="BY107" s="2040"/>
      <c r="BZ107" s="2040"/>
      <c r="CA107" s="1997" t="inlineStr">
        <is>
          <t>Top Edge</t>
        </is>
      </c>
      <c r="CB107" s="200">
        <v>5</v>
      </c>
      <c r="CC107" s="1063">
        <f>'2G-3G'!BX21</f>
        <v>37</v>
      </c>
      <c r="CD107" s="1063">
        <f>'2G-3G'!BY21</f>
        <v>897.4</v>
      </c>
      <c r="CE107" s="1523"/>
      <c r="CF107" s="1523"/>
      <c r="CG107" s="387" t="str">
        <f>IF(OR($BY$3="",$BY$3=""),"",$BY$3)</f>
        <v/>
      </c>
      <c r="CH107" s="387">
        <f>BZ107</f>
        <v/>
      </c>
      <c r="CI107" s="387">
        <f>CA107</f>
        <v/>
      </c>
      <c r="CJ107" s="1527"/>
      <c r="CK107" s="2042"/>
      <c r="CL107" s="206">
        <f>IF(CF107=""," ",IF(ABS(CE107-CF107)&lt;=0.125,"Valid","Not valid"))</f>
        <v/>
      </c>
      <c r="CM107" s="207">
        <f> IF(CE107="","",IF(AND(CE107&lt;&gt;"",CF107=""),IF(CE107&gt;=1,"Medir+Sig Max","No"),IF(CF107&lt;&gt;"",IF(CF107&gt;=1,"Medir+Sig Max","No"),"")))</f>
        <v/>
      </c>
      <c r="CN107" s="1787"/>
      <c r="CO107" s="220">
        <f>IF(CK107="",IF(AND(CE107="",CF107=""),"",IF(CF107="",IF(DE107&gt;1,ROUND(DE107*CE107,3),CE107),IF(DE107&gt;1,ROUND(DE107*CF107,3),CF107))),IF(AND(CE107="",CF107=""),"",IF(CF107="",IF(DE107&gt;1,ROUND(DE107*CE107*(1/(CK107)),3),CE107*(1/(CK107))),IF(DE107&gt;1,ROUND(DE107*CF107*(1/(CK107)),3),CF107*(1/(CK107))))))</f>
        <v/>
      </c>
      <c r="CP107" s="2043">
        <f>$CP$3</f>
        <v/>
      </c>
      <c r="CQ107" s="1472">
        <f>IF(CO107="","",IF(CO107&gt;CP107,"Fail","Pass"))</f>
        <v/>
      </c>
      <c r="CR107" s="1481">
        <f>IF(AND(MAX(CO103:CO110)=CO107,CO107&lt;&gt;0),COUNT($CR$3:CR106)+1,"")</f>
        <v/>
      </c>
      <c r="CS107" s="1565">
        <f>MyTimestamp(CO107)</f>
        <v/>
      </c>
      <c r="CT107" s="1531">
        <f>IF(CE107="",0,15)+IF(CF107="",0,15)</f>
        <v/>
      </c>
      <c r="CU107" s="1532">
        <f>IF(CT107=0,0,2)</f>
        <v/>
      </c>
      <c r="CV107" s="859" t="inlineStr">
        <is>
          <t>S/02</t>
        </is>
      </c>
      <c r="CW107" s="859" t="inlineStr">
        <is>
          <t>Dasy6</t>
        </is>
      </c>
      <c r="CX107" s="2038"/>
      <c r="CY107" s="2044"/>
      <c r="CZ107" s="1543">
        <f>10^(CJ107/20)*100-100</f>
        <v/>
      </c>
      <c r="DA107" s="1319">
        <f>IF('Tune-Up'!$H$12="","",'Tune-Up'!$H$12)</f>
        <v/>
      </c>
      <c r="DB107" s="695">
        <f>'2G-3G'!BZ21</f>
        <v/>
      </c>
      <c r="DC107" s="797">
        <f>IF(DA107="","",10^(DA107/10))</f>
        <v/>
      </c>
      <c r="DD107" s="1363">
        <f>IF(ISNUMBER(DB107)=FALSE,"",10^(DB107/10))</f>
        <v/>
      </c>
      <c r="DE107" s="1543">
        <f>IF(AND(ISNUMBER(DC107),ISNUMBER(DD107)),IF(DC107/DD107&gt;1,ROUND((DC107)/DD107,3),1),1)</f>
        <v/>
      </c>
      <c r="DF107" s="1541"/>
      <c r="DG107" s="1541"/>
      <c r="DH107" s="1541"/>
      <c r="DI107" s="1541"/>
      <c r="DJ107" s="1541"/>
      <c r="DK107" s="1541"/>
      <c r="DL107" s="1541"/>
      <c r="DM107" s="1541"/>
      <c r="DN107" s="1541"/>
      <c r="DO107" s="1541"/>
      <c r="DP107" s="1541"/>
      <c r="DQ107" s="1541"/>
      <c r="DR107" s="1541"/>
    </row>
    <row r="108" ht="12.75" x14ac:dyDescent="0.2">
      <c r="A108" s="1541"/>
      <c r="B108" s="1541"/>
      <c r="C108"/>
      <c r="D108" s="130">
        <f>IF(BX$103="Close to Ear","EN 62209-1","EN 62209-2")</f>
        <v/>
      </c>
      <c r="E108" s="130">
        <f>IF(CG108="Close to Ear","2016","2010/A1:2019")</f>
        <v/>
      </c>
      <c r="F108" s="1488" t="inlineStr">
        <is>
          <t>5.1</t>
        </is>
      </c>
      <c r="G108" s="1497"/>
      <c r="H108" s="120">
        <f>BV108</f>
        <v/>
      </c>
      <c r="I108" s="120">
        <f>BW108</f>
        <v/>
      </c>
      <c r="J108" s="687" t="str">
        <f>BT108</f>
        <v>GSM</v>
      </c>
      <c r="K108" s="194">
        <f>BU108</f>
        <v>900</v>
      </c>
      <c r="L108" s="115"/>
      <c r="M108" s="120">
        <f>BZ108</f>
        <v>0</v>
      </c>
      <c r="N108" s="119"/>
      <c r="O108" s="131"/>
      <c r="P108" s="6597"/>
      <c r="Q108" s="131"/>
      <c r="R108" s="131"/>
      <c r="S108" s="120">
        <f>CG108</f>
        <v>0</v>
      </c>
      <c r="T108" s="120">
        <f>CC108</f>
        <v>37</v>
      </c>
      <c r="U108" s="120">
        <f>CD108</f>
        <v>897.4</v>
      </c>
      <c r="V108" s="119"/>
      <c r="W108" s="197">
        <f>CK108*100</f>
        <v/>
      </c>
      <c r="X108" s="119"/>
      <c r="Y108" s="119"/>
      <c r="Z108" s="119"/>
      <c r="AA108" s="115"/>
      <c r="AB108" s="115"/>
      <c r="AC108" s="689">
        <f>IF(OR(BX$103="Close to Ear",BX$103="Close to Head"),"Head",IF(BX$103="Extremity","Extremity","Body"))</f>
        <v/>
      </c>
      <c r="AD108" s="690">
        <f>CA108</f>
        <v/>
      </c>
      <c r="AE108" s="688">
        <f>CB108</f>
        <v/>
      </c>
      <c r="AF108" s="115"/>
      <c r="AG108" s="808">
        <f>IF(AZ108="","N/A",IF(CQ108="Pass","P","F"))</f>
        <v/>
      </c>
      <c r="AH108" s="129"/>
      <c r="AI108" s="129"/>
      <c r="AJ108" s="129"/>
      <c r="AK108" s="119"/>
      <c r="AL108" s="115"/>
      <c r="AM108" s="119"/>
      <c r="AN108" s="119"/>
      <c r="AO108" s="692"/>
      <c r="AP108" s="692"/>
      <c r="AQ108" s="692"/>
      <c r="AR108" s="692"/>
      <c r="AS108" s="692"/>
      <c r="AT108" s="691">
        <f>CE108</f>
        <v/>
      </c>
      <c r="AU108" s="691">
        <f>CF108</f>
        <v/>
      </c>
      <c r="AV108" s="813"/>
      <c r="AW108" s="813"/>
      <c r="AX108" s="197">
        <f>CZ108</f>
        <v/>
      </c>
      <c r="AY108" s="197">
        <f>DE108</f>
        <v/>
      </c>
      <c r="AZ108" s="3379">
        <f>CO108</f>
        <v/>
      </c>
      <c r="BA108" s="3380"/>
      <c r="BB108" s="197">
        <f>CP108</f>
        <v/>
      </c>
      <c r="BC108" s="813"/>
      <c r="BD108" s="197">
        <f>CR108</f>
        <v/>
      </c>
      <c r="BE108" s="121">
        <f>CS108</f>
        <v/>
      </c>
      <c r="BF108" s="122">
        <f>CT108*60</f>
        <v/>
      </c>
      <c r="BG108" s="121">
        <f>BE108</f>
        <v/>
      </c>
      <c r="BH108" s="122">
        <f>CU108*60</f>
        <v/>
      </c>
      <c r="BI108" s="122">
        <f>CV108</f>
        <v/>
      </c>
      <c r="BJ108" s="117"/>
      <c r="BK108" s="812">
        <f>Overview!$E$7</f>
        <v/>
      </c>
      <c r="BL108" s="117"/>
      <c r="BM108" s="836">
        <f>CW108</f>
        <v/>
      </c>
      <c r="BN108" s="812">
        <f>Overview!$P$153</f>
        <v/>
      </c>
      <c r="BO108" s="117"/>
      <c r="BP108" s="117"/>
      <c r="BQ108" s="115"/>
      <c r="BR108" s="1478" t="inlineStr">
        <is>
          <t>N/A</t>
        </is>
      </c>
      <c r="BS108" s="1548"/>
      <c r="BT108" s="1783" t="inlineStr">
        <is>
          <t>GSM</t>
        </is>
      </c>
      <c r="BU108" s="1783">
        <v>900</v>
      </c>
      <c r="BV108" s="400">
        <f>Overview!$H$30</f>
        <v/>
      </c>
      <c r="BW108" s="2010"/>
      <c r="BX108" s="1783"/>
      <c r="BY108" s="2040"/>
      <c r="BZ108" s="2040"/>
      <c r="CA108" s="1997" t="inlineStr">
        <is>
          <t>Bottom Edge</t>
        </is>
      </c>
      <c r="CB108" s="200">
        <v>5</v>
      </c>
      <c r="CC108" s="1063">
        <f>'2G-3G'!BX21</f>
        <v>37</v>
      </c>
      <c r="CD108" s="1063">
        <f>'2G-3G'!BY21</f>
        <v>897.4</v>
      </c>
      <c r="CE108" s="1523"/>
      <c r="CF108" s="1523"/>
      <c r="CG108" s="387" t="str">
        <f>IF(OR($BY$3="",$BY$3=""),"",$BY$3)</f>
        <v/>
      </c>
      <c r="CH108" s="387">
        <f>BZ108</f>
        <v/>
      </c>
      <c r="CI108" s="387">
        <f>CA108</f>
        <v/>
      </c>
      <c r="CJ108" s="1527"/>
      <c r="CK108" s="2042"/>
      <c r="CL108" s="206">
        <f>IF(CF108=""," ",IF(ABS(CE108-CF108)&lt;=0.125,"Valid","Not valid"))</f>
        <v/>
      </c>
      <c r="CM108" s="207">
        <f> IF(CE108="","",IF(AND(CE108&lt;&gt;"",CF108=""),IF(CE108&gt;=1,"Medir+Sig Max","No"),IF(CF108&lt;&gt;"",IF(CF108&gt;=1,"Medir+Sig Max","No"),"")))</f>
        <v/>
      </c>
      <c r="CN108" s="1787"/>
      <c r="CO108" s="220">
        <f>IF(CK108="",IF(AND(CE108="",CF108=""),"",IF(CF108="",IF(DE108&gt;1,ROUND(DE108*CE108,3),CE108),IF(DE108&gt;1,ROUND(DE108*CF108,3),CF108))),IF(AND(CE108="",CF108=""),"",IF(CF108="",IF(DE108&gt;1,ROUND(DE108*CE108*(1/(CK108)),3),CE108*(1/(CK108))),IF(DE108&gt;1,ROUND(DE108*CF108*(1/(CK108)),3),CF108*(1/(CK108))))))</f>
        <v/>
      </c>
      <c r="CP108" s="2043">
        <f>$CP$3</f>
        <v/>
      </c>
      <c r="CQ108" s="1472">
        <f>IF(CO108="","",IF(CO108&gt;CP108,"Fail","Pass"))</f>
        <v/>
      </c>
      <c r="CR108" s="1481">
        <f>IF(AND(MAX(CO103:CO110)=CO108,CO108&lt;&gt;0),COUNT($CR$3:CR107)+1,"")</f>
        <v/>
      </c>
      <c r="CS108" s="1565">
        <f>MyTimestamp(CO108)</f>
        <v/>
      </c>
      <c r="CT108" s="1531">
        <f>IF(CE108="",0,15)+IF(CF108="",0,15)</f>
        <v/>
      </c>
      <c r="CU108" s="1532">
        <f>IF(CT108=0,0,2)</f>
        <v/>
      </c>
      <c r="CV108" s="859" t="inlineStr">
        <is>
          <t>S/02</t>
        </is>
      </c>
      <c r="CW108" s="859" t="inlineStr">
        <is>
          <t>Dasy6</t>
        </is>
      </c>
      <c r="CX108" s="2038"/>
      <c r="CY108" s="2044"/>
      <c r="CZ108" s="1543">
        <f>10^(CJ108/20)*100-100</f>
        <v/>
      </c>
      <c r="DA108" s="1319">
        <f>IF('Tune-Up'!$H$12="","",'Tune-Up'!$H$12)</f>
        <v/>
      </c>
      <c r="DB108" s="695">
        <f>'2G-3G'!BZ21</f>
        <v/>
      </c>
      <c r="DC108" s="797">
        <f>IF(DA108="","",10^(DA108/10))</f>
        <v/>
      </c>
      <c r="DD108" s="1363">
        <f>IF(ISNUMBER(DB108)=FALSE,"",10^(DB108/10))</f>
        <v/>
      </c>
      <c r="DE108" s="1543">
        <f>IF(AND(ISNUMBER(DC108),ISNUMBER(DD108)),IF(DC108/DD108&gt;1,ROUND((DC108)/DD108,3),1),1)</f>
        <v/>
      </c>
      <c r="DF108" s="1541"/>
      <c r="DG108" s="1541"/>
      <c r="DH108" s="1541"/>
      <c r="DI108" s="1541"/>
      <c r="DJ108" s="1541"/>
      <c r="DK108" s="1541"/>
      <c r="DL108" s="1541"/>
      <c r="DM108" s="1541"/>
      <c r="DN108" s="1541"/>
      <c r="DO108" s="1541"/>
      <c r="DP108" s="1541"/>
      <c r="DQ108" s="1541"/>
      <c r="DR108" s="1541"/>
    </row>
    <row r="109" ht="12.75" x14ac:dyDescent="0.2">
      <c r="A109" s="1541"/>
      <c r="B109" s="1541"/>
      <c r="C109"/>
      <c r="D109" s="130">
        <f>IF(BX$103="Close to Ear","EN 62209-1","EN 62209-2")</f>
        <v/>
      </c>
      <c r="E109" s="130">
        <f>IF(CG109="Close to Ear","2016","2010/A1:2019")</f>
        <v/>
      </c>
      <c r="F109" s="1488" t="inlineStr">
        <is>
          <t>5.1</t>
        </is>
      </c>
      <c r="G109" s="1497"/>
      <c r="H109" s="120">
        <f>BV109</f>
        <v/>
      </c>
      <c r="I109" s="120">
        <f>BW109</f>
        <v/>
      </c>
      <c r="J109" s="687" t="str">
        <f>BT109</f>
        <v>GSM</v>
      </c>
      <c r="K109" s="194">
        <f>BU109</f>
        <v>900</v>
      </c>
      <c r="L109" s="115"/>
      <c r="M109" s="120">
        <f>BZ109</f>
        <v>0</v>
      </c>
      <c r="N109" s="119"/>
      <c r="O109" s="131"/>
      <c r="P109" s="6597"/>
      <c r="Q109" s="131"/>
      <c r="R109" s="131"/>
      <c r="S109" s="120">
        <f>CG109</f>
        <v>0</v>
      </c>
      <c r="T109" s="120">
        <f>CC109</f>
        <v>975</v>
      </c>
      <c r="U109" s="120">
        <f>CD109</f>
        <v>880.2</v>
      </c>
      <c r="V109" s="119"/>
      <c r="W109" s="197">
        <f>CK109*100</f>
        <v/>
      </c>
      <c r="X109" s="119"/>
      <c r="Y109" s="119"/>
      <c r="Z109" s="119"/>
      <c r="AA109" s="115"/>
      <c r="AB109" s="115"/>
      <c r="AC109" s="689">
        <f>IF(OR(BX$103="Close to Ear",BX$103="Close to Head"),"Head",IF(BX$103="Extremity","Extremity","Body"))</f>
        <v/>
      </c>
      <c r="AD109" s="690">
        <f>CA109</f>
        <v/>
      </c>
      <c r="AE109" s="688">
        <f>CB109</f>
        <v/>
      </c>
      <c r="AF109" s="115"/>
      <c r="AG109" s="808">
        <f>IF(AZ109="","N/A",IF(CQ109="Pass","P","F"))</f>
        <v/>
      </c>
      <c r="AH109" s="129"/>
      <c r="AI109" s="129"/>
      <c r="AJ109" s="129"/>
      <c r="AK109" s="119"/>
      <c r="AL109" s="115"/>
      <c r="AM109" s="119"/>
      <c r="AN109" s="119"/>
      <c r="AO109" s="692"/>
      <c r="AP109" s="692"/>
      <c r="AQ109" s="692"/>
      <c r="AR109" s="692"/>
      <c r="AS109" s="692"/>
      <c r="AT109" s="691">
        <f>CE109</f>
        <v/>
      </c>
      <c r="AU109" s="691">
        <f>CF109</f>
        <v/>
      </c>
      <c r="AV109" s="813"/>
      <c r="AW109" s="813"/>
      <c r="AX109" s="197">
        <f>CZ109</f>
        <v/>
      </c>
      <c r="AY109" s="197">
        <f>DE109</f>
        <v/>
      </c>
      <c r="AZ109" s="3379">
        <f>CO109</f>
        <v/>
      </c>
      <c r="BA109" s="3380"/>
      <c r="BB109" s="197">
        <f>CP109</f>
        <v/>
      </c>
      <c r="BC109" s="813"/>
      <c r="BD109" s="197">
        <f>CR109</f>
        <v/>
      </c>
      <c r="BE109" s="121">
        <f>CS109</f>
        <v/>
      </c>
      <c r="BF109" s="122">
        <f>CT109*60</f>
        <v/>
      </c>
      <c r="BG109" s="121">
        <f>BE109</f>
        <v/>
      </c>
      <c r="BH109" s="122">
        <f>CU109*60</f>
        <v/>
      </c>
      <c r="BI109" s="122">
        <f>CV109</f>
        <v/>
      </c>
      <c r="BJ109" s="117"/>
      <c r="BK109" s="812">
        <f>Overview!$E$7</f>
        <v/>
      </c>
      <c r="BL109" s="117"/>
      <c r="BM109" s="836">
        <f>CW109</f>
        <v/>
      </c>
      <c r="BN109" s="812">
        <f>Overview!$P$153</f>
        <v/>
      </c>
      <c r="BO109" s="117"/>
      <c r="BP109" s="117"/>
      <c r="BQ109" s="115"/>
      <c r="BR109" s="1478" t="inlineStr">
        <is>
          <t>N/A</t>
        </is>
      </c>
      <c r="BS109" s="1548"/>
      <c r="BT109" s="1783" t="inlineStr">
        <is>
          <t>GSM</t>
        </is>
      </c>
      <c r="BU109" s="1783">
        <v>900</v>
      </c>
      <c r="BV109" s="400">
        <f>Overview!$H$30</f>
        <v/>
      </c>
      <c r="BW109" s="2010"/>
      <c r="BX109" s="1783"/>
      <c r="BY109" s="2040"/>
      <c r="BZ109" s="2040"/>
      <c r="CA109" s="401" t="str">
        <f>IF(COUNT(CF103:CF108)=0,IF(COUNT(CE103:CE108)=0,"TBD",VLOOKUP(MAX(CE103:CE108),CE103:CI108,5,FALSE)),VLOOKUP(MAX(CF103:CF108),CF103:CI108,4,FALSE))</f>
        <v>TBD</v>
      </c>
      <c r="CB109" s="200">
        <v>5</v>
      </c>
      <c r="CC109" s="1063">
        <f>'2G-3G'!BX22</f>
        <v>975</v>
      </c>
      <c r="CD109" s="1063">
        <f>'2G-3G'!BY22</f>
        <v>880.2</v>
      </c>
      <c r="CE109" s="1523"/>
      <c r="CF109" s="1523"/>
      <c r="CG109" s="387" t="str">
        <f>IF(OR($BY$3="",$BY$3=""),"",$BY$3)</f>
        <v/>
      </c>
      <c r="CH109" s="387">
        <f>BZ109</f>
        <v/>
      </c>
      <c r="CI109" s="387">
        <f>CA109</f>
        <v/>
      </c>
      <c r="CJ109" s="1527"/>
      <c r="CK109" s="2042"/>
      <c r="CL109" s="206">
        <f>IF(CF109=""," ",IF(ABS(CE109-CF109)&lt;=0.125,"Valid","Not valid"))</f>
        <v/>
      </c>
      <c r="CM109" s="207">
        <f> IF(CE109="","",IF(AND(CE109&lt;&gt;"",CF109=""),IF(CE109&gt;=1,"Medir+Sig Max","No"),IF(CF109&lt;&gt;"",IF(CF109&gt;=1,"Medir+Sig Max","No"),"")))</f>
        <v/>
      </c>
      <c r="CN109" s="1787"/>
      <c r="CO109" s="220">
        <f>IF(CK109="",IF(AND(CE109="",CF109=""),"",IF(CF109="",IF(DE109&gt;1,ROUND(DE109*CE109,3),CE109),IF(DE109&gt;1,ROUND(DE109*CF109,3),CF109))),IF(AND(CE109="",CF109=""),"",IF(CF109="",IF(DE109&gt;1,ROUND(DE109*CE109*(1/(CK109)),3),CE109*(1/(CK109))),IF(DE109&gt;1,ROUND(DE109*CF109*(1/(CK109)),3),CF109*(1/(CK109))))))</f>
        <v/>
      </c>
      <c r="CP109" s="2043">
        <f>$CP$3</f>
        <v/>
      </c>
      <c r="CQ109" s="1472">
        <f>IF(CO109="","",IF(CO109&gt;CP109,"Fail","Pass"))</f>
        <v/>
      </c>
      <c r="CR109" s="1481">
        <f>IF(AND(MAX(CO103:CO110)=CO109,CO109&lt;&gt;0),COUNT($CR$3:CR108)+1,"")</f>
        <v/>
      </c>
      <c r="CS109" s="1565">
        <f>MyTimestamp(CO109)</f>
        <v/>
      </c>
      <c r="CT109" s="1531">
        <f>IF(CE109="",0,15)+IF(CF109="",0,15)</f>
        <v/>
      </c>
      <c r="CU109" s="1532">
        <f>IF(CT109=0,0,2)</f>
        <v/>
      </c>
      <c r="CV109" s="859" t="inlineStr">
        <is>
          <t>S/02</t>
        </is>
      </c>
      <c r="CW109" s="859" t="inlineStr">
        <is>
          <t>Dasy6</t>
        </is>
      </c>
      <c r="CX109" s="2038"/>
      <c r="CY109" s="2044"/>
      <c r="CZ109" s="1543">
        <f>10^(CJ109/20)*100-100</f>
        <v/>
      </c>
      <c r="DA109" s="1319">
        <f>IF('Tune-Up'!$H$12="","",'Tune-Up'!$H$12)</f>
        <v/>
      </c>
      <c r="DB109" s="695">
        <f>'2G-3G'!BZ22</f>
        <v/>
      </c>
      <c r="DC109" s="797">
        <f>IF(DA109="","",10^(DA109/10))</f>
        <v/>
      </c>
      <c r="DD109" s="1363">
        <f>IF(ISNUMBER(DB109)=FALSE,"",10^(DB109/10))</f>
        <v/>
      </c>
      <c r="DE109" s="1543">
        <f>IF(AND(ISNUMBER(DC109),ISNUMBER(DD109)),IF(DC109/DD109&gt;1,ROUND((DC109)/DD109,3),1),1)</f>
        <v/>
      </c>
      <c r="DF109" s="1541"/>
      <c r="DG109" s="1541"/>
      <c r="DH109" s="1541"/>
      <c r="DI109" s="1541"/>
      <c r="DJ109" s="1541"/>
      <c r="DK109" s="1541"/>
      <c r="DL109" s="1541"/>
      <c r="DM109" s="1541"/>
      <c r="DN109" s="1541"/>
      <c r="DO109" s="1541"/>
      <c r="DP109" s="1541"/>
      <c r="DQ109" s="1541"/>
      <c r="DR109" s="1541"/>
    </row>
    <row r="110" ht="12.75" x14ac:dyDescent="0.2">
      <c r="A110" s="1541"/>
      <c r="B110" s="1541"/>
      <c r="C110"/>
      <c r="D110" s="130">
        <f>IF(BX$103="Close to Ear","EN 62209-1","EN 62209-2")</f>
        <v/>
      </c>
      <c r="E110" s="130">
        <f>IF(CG110="Close to Ear","2016","2010/A1:2019")</f>
        <v/>
      </c>
      <c r="F110" s="1488" t="inlineStr">
        <is>
          <t>5.1</t>
        </is>
      </c>
      <c r="G110" s="1497"/>
      <c r="H110" s="120">
        <f>BV110</f>
        <v/>
      </c>
      <c r="I110" s="120">
        <f>BW110</f>
        <v/>
      </c>
      <c r="J110" s="687" t="str">
        <f>BT110</f>
        <v>GSM</v>
      </c>
      <c r="K110" s="194">
        <f>BU110</f>
        <v>900</v>
      </c>
      <c r="L110" s="115"/>
      <c r="M110" s="120">
        <f>BZ110</f>
        <v>0</v>
      </c>
      <c r="N110" s="119"/>
      <c r="O110" s="131"/>
      <c r="P110" s="6597"/>
      <c r="Q110" s="131"/>
      <c r="R110" s="131"/>
      <c r="S110" s="120">
        <f>CG110</f>
        <v>0</v>
      </c>
      <c r="T110" s="120">
        <f>CC110</f>
        <v>124</v>
      </c>
      <c r="U110" s="120">
        <f>CD110</f>
        <v>914.8</v>
      </c>
      <c r="V110" s="119"/>
      <c r="W110" s="197">
        <f>CK110*100</f>
        <v/>
      </c>
      <c r="X110" s="119"/>
      <c r="Y110" s="119"/>
      <c r="Z110" s="119"/>
      <c r="AA110" s="115"/>
      <c r="AB110" s="115"/>
      <c r="AC110" s="689">
        <f>IF(OR(BX$103="Close to Ear",BX$103="Close to Head"),"Head",IF(BX$103="Extremity","Extremity","Body"))</f>
        <v/>
      </c>
      <c r="AD110" s="690">
        <f>CA110</f>
        <v/>
      </c>
      <c r="AE110" s="688">
        <f>CB110</f>
        <v/>
      </c>
      <c r="AF110" s="115"/>
      <c r="AG110" s="808">
        <f>IF(AZ110="","N/A",IF(CQ110="Pass","P","F"))</f>
        <v/>
      </c>
      <c r="AH110" s="129"/>
      <c r="AI110" s="129"/>
      <c r="AJ110" s="129"/>
      <c r="AK110" s="119"/>
      <c r="AL110" s="115"/>
      <c r="AM110" s="119"/>
      <c r="AN110" s="119"/>
      <c r="AO110" s="692"/>
      <c r="AP110" s="692"/>
      <c r="AQ110" s="692"/>
      <c r="AR110" s="692"/>
      <c r="AS110" s="692"/>
      <c r="AT110" s="691">
        <f>CE110</f>
        <v/>
      </c>
      <c r="AU110" s="691">
        <f>CF110</f>
        <v/>
      </c>
      <c r="AV110" s="813"/>
      <c r="AW110" s="813"/>
      <c r="AX110" s="197">
        <f>CZ110</f>
        <v/>
      </c>
      <c r="AY110" s="197">
        <f>DE110</f>
        <v/>
      </c>
      <c r="AZ110" s="3379">
        <f>CO110</f>
        <v/>
      </c>
      <c r="BA110" s="3380"/>
      <c r="BB110" s="197">
        <f>CP110</f>
        <v/>
      </c>
      <c r="BC110" s="813"/>
      <c r="BD110" s="197">
        <f>CR110</f>
        <v/>
      </c>
      <c r="BE110" s="121">
        <f>CS110</f>
        <v/>
      </c>
      <c r="BF110" s="122">
        <f>CT110*60</f>
        <v/>
      </c>
      <c r="BG110" s="121">
        <f>BE110</f>
        <v/>
      </c>
      <c r="BH110" s="122">
        <f>CU110*60</f>
        <v/>
      </c>
      <c r="BI110" s="122">
        <f>CV110</f>
        <v/>
      </c>
      <c r="BJ110" s="117"/>
      <c r="BK110" s="812">
        <f>Overview!$E$7</f>
        <v/>
      </c>
      <c r="BL110" s="117"/>
      <c r="BM110" s="836">
        <f>CW110</f>
        <v/>
      </c>
      <c r="BN110" s="812">
        <f>Overview!$P$153</f>
        <v/>
      </c>
      <c r="BO110" s="117"/>
      <c r="BP110" s="117"/>
      <c r="BQ110" s="115"/>
      <c r="BR110" s="1478" t="inlineStr">
        <is>
          <t>N/A</t>
        </is>
      </c>
      <c r="BS110" s="1548"/>
      <c r="BT110" s="1783" t="inlineStr">
        <is>
          <t>GSM</t>
        </is>
      </c>
      <c r="BU110" s="1783">
        <v>900</v>
      </c>
      <c r="BV110" s="400">
        <f>Overview!$H$30</f>
        <v/>
      </c>
      <c r="BW110" s="2010"/>
      <c r="BX110" s="1800"/>
      <c r="BY110" s="2040"/>
      <c r="BZ110" s="2040"/>
      <c r="CA110" s="404" t="str">
        <f>IF(COUNT(CF103:CF108)=0,IF(COUNT(CE103:CE108)=0,"TBD",VLOOKUP(MAX(CE103:CE108),CE103:CI108,5,FALSE)),VLOOKUP(MAX(CF103:CF108),CF103:CI108,4,FALSE))</f>
        <v>TBD</v>
      </c>
      <c r="CB110" s="201">
        <v>5</v>
      </c>
      <c r="CC110" s="1081">
        <f>'2G-3G'!BX23</f>
        <v>124</v>
      </c>
      <c r="CD110" s="1081">
        <f>'2G-3G'!BY23</f>
        <v>914.8</v>
      </c>
      <c r="CE110" s="1874"/>
      <c r="CF110" s="1874"/>
      <c r="CG110" s="388" t="str">
        <f>IF(OR($BY$3="",$BY$3=""),"",$BY$3)</f>
        <v/>
      </c>
      <c r="CH110" s="388">
        <f>BZ110</f>
        <v/>
      </c>
      <c r="CI110" s="388">
        <f>CA110</f>
        <v/>
      </c>
      <c r="CJ110" s="2046"/>
      <c r="CK110" s="2047"/>
      <c r="CL110" s="212">
        <f>IF(CF110=""," ",IF(ABS(CE110-CF110)&lt;=0.125,"Valid","Not valid"))</f>
        <v/>
      </c>
      <c r="CM110" s="213">
        <f> IF(CE110="","",IF(AND(CE110&lt;&gt;"",CF110=""),IF(CE110&gt;=1,"Medir+Sig Max","No"),IF(CF110&lt;&gt;"",IF(CF110&gt;=1,"Medir+Sig Max","No"),"")))</f>
        <v/>
      </c>
      <c r="CN110" s="1794"/>
      <c r="CO110" s="221">
        <f>IF(CK110="",IF(AND(CE110="",CF110=""),"",IF(CF110="",IF(DE110&gt;1,ROUND(DE110*CE110,3),CE110),IF(DE110&gt;1,ROUND(DE110*CF110,3),CF110))),IF(AND(CE110="",CF110=""),"",IF(CF110="",IF(DE110&gt;1,ROUND(DE110*CE110*(1/(CK110)),3),CE110*(1/(CK110))),IF(DE110&gt;1,ROUND(DE110*CF110*(1/(CK110)),3),CF110*(1/(CK110))))))</f>
        <v/>
      </c>
      <c r="CP110" s="2048">
        <f>$CP$3</f>
        <v/>
      </c>
      <c r="CQ110" s="1473">
        <f>IF(CO110="","",IF(CO110&gt;CP110,"Fail","Pass"))</f>
        <v/>
      </c>
      <c r="CR110" s="1482">
        <f>IF(AND(MAX(CO103:CO110)=CO110,CO110&lt;&gt;0),COUNT($CR$3:CR109)+1,"")</f>
        <v/>
      </c>
      <c r="CS110" s="1566">
        <f>MyTimestamp(CO110)</f>
        <v/>
      </c>
      <c r="CT110" s="1535">
        <f>IF(CE110="",0,15)+IF(CF110="",0,15)</f>
        <v/>
      </c>
      <c r="CU110" s="1536">
        <f>IF(CT110=0,0,2)</f>
        <v/>
      </c>
      <c r="CV110" s="861" t="inlineStr">
        <is>
          <t>S/02</t>
        </is>
      </c>
      <c r="CW110" s="861" t="inlineStr">
        <is>
          <t>Dasy6</t>
        </is>
      </c>
      <c r="CX110" s="2038"/>
      <c r="CY110" s="2050"/>
      <c r="CZ110" s="1545">
        <f>10^(CJ110/20)*100-100</f>
        <v/>
      </c>
      <c r="DA110" s="1320">
        <f>IF('Tune-Up'!$H$12="","",'Tune-Up'!$H$12)</f>
        <v/>
      </c>
      <c r="DB110" s="696">
        <f>'2G-3G'!BZ23</f>
        <v/>
      </c>
      <c r="DC110" s="798">
        <f>IF(DA110="","",10^(DA110/10))</f>
        <v/>
      </c>
      <c r="DD110" s="1364">
        <f>IF(ISNUMBER(DB110)=FALSE,"",10^(DB110/10))</f>
        <v/>
      </c>
      <c r="DE110" s="1545">
        <f>IF(AND(ISNUMBER(DC110),ISNUMBER(DD110)),IF(DC110/DD110&gt;1,ROUND((DC110)/DD110,3),1),1)</f>
        <v/>
      </c>
      <c r="DF110" s="1541"/>
      <c r="DG110" s="1541"/>
      <c r="DH110" s="1541"/>
      <c r="DI110" s="1541"/>
      <c r="DJ110" s="1541"/>
      <c r="DK110" s="1541"/>
      <c r="DL110" s="1541"/>
      <c r="DM110" s="1541"/>
      <c r="DN110" s="1541"/>
      <c r="DO110" s="1541"/>
      <c r="DP110" s="1541"/>
      <c r="DQ110" s="1541"/>
      <c r="DR110" s="1541"/>
    </row>
    <row r="111" ht="12.75" x14ac:dyDescent="0.2">
      <c r="A111" s="1541"/>
      <c r="B111" s="1541"/>
      <c r="C111"/>
      <c r="D111" s="130">
        <f>IF(BX$103="Close to Ear","EN 62209-1","EN 62209-2")</f>
        <v/>
      </c>
      <c r="E111" s="130">
        <f>IF(CG111="Close to Ear","2016","2010/A1:2019")</f>
        <v/>
      </c>
      <c r="F111" s="1488" t="inlineStr">
        <is>
          <t>5.1</t>
        </is>
      </c>
      <c r="G111" s="1497"/>
      <c r="H111" s="120">
        <f>BV111</f>
        <v/>
      </c>
      <c r="I111" s="120">
        <f>BW111</f>
        <v/>
      </c>
      <c r="J111" s="687">
        <f>BT111</f>
        <v/>
      </c>
      <c r="K111" s="194">
        <f>BU111</f>
        <v/>
      </c>
      <c r="L111" s="115"/>
      <c r="M111" s="120">
        <f>BZ111</f>
        <v/>
      </c>
      <c r="N111" s="119"/>
      <c r="O111" s="131"/>
      <c r="P111" s="6597"/>
      <c r="Q111" s="131"/>
      <c r="R111" s="131"/>
      <c r="S111" s="120">
        <f>CG111</f>
        <v/>
      </c>
      <c r="T111" s="120">
        <f>CC111</f>
        <v/>
      </c>
      <c r="U111" s="120">
        <f>CD111</f>
        <v/>
      </c>
      <c r="V111" s="119"/>
      <c r="W111" s="197">
        <f>CK111*100</f>
        <v/>
      </c>
      <c r="X111" s="119"/>
      <c r="Y111" s="119"/>
      <c r="Z111" s="119"/>
      <c r="AA111" s="115"/>
      <c r="AB111" s="115"/>
      <c r="AC111" s="689">
        <f>IF(OR(BX$103="Close to Ear",BX$103="Close to Head"),"Head",IF(BX$103="Extremity","Extremity","Body"))</f>
        <v/>
      </c>
      <c r="AD111" s="690">
        <f>CA111</f>
        <v/>
      </c>
      <c r="AE111" s="688">
        <f>CB111</f>
        <v/>
      </c>
      <c r="AF111" s="115"/>
      <c r="AG111" s="808">
        <f>IF(AZ111="","N/A",IF(CQ111="Pass","P","F"))</f>
        <v/>
      </c>
      <c r="AH111" s="129"/>
      <c r="AI111" s="129"/>
      <c r="AJ111" s="129"/>
      <c r="AK111" s="119"/>
      <c r="AL111" s="115"/>
      <c r="AM111" s="119"/>
      <c r="AN111" s="119"/>
      <c r="AO111" s="692"/>
      <c r="AP111" s="692"/>
      <c r="AQ111" s="692"/>
      <c r="AR111" s="692"/>
      <c r="AS111" s="692"/>
      <c r="AT111" s="691">
        <f>CE111</f>
        <v/>
      </c>
      <c r="AU111" s="691">
        <f>CF111</f>
        <v/>
      </c>
      <c r="AV111" s="813"/>
      <c r="AW111" s="813"/>
      <c r="AX111" s="197">
        <f>CZ111</f>
        <v/>
      </c>
      <c r="AY111" s="197">
        <f>DE111</f>
        <v/>
      </c>
      <c r="AZ111" s="3379">
        <f>CO111</f>
        <v/>
      </c>
      <c r="BA111" s="3380"/>
      <c r="BB111" s="197">
        <f>CP111</f>
        <v/>
      </c>
      <c r="BC111" s="813"/>
      <c r="BD111" s="197">
        <f>CR111</f>
        <v/>
      </c>
      <c r="BE111" s="121">
        <f>CS111</f>
        <v/>
      </c>
      <c r="BF111" s="122">
        <f>CT111*60</f>
        <v/>
      </c>
      <c r="BG111" s="121">
        <f>BE111</f>
        <v/>
      </c>
      <c r="BH111" s="122">
        <f>CU111*60</f>
        <v/>
      </c>
      <c r="BI111" s="122">
        <f>CV111</f>
        <v/>
      </c>
      <c r="BJ111" s="117"/>
      <c r="BK111" s="812">
        <f>Overview!$E$7</f>
        <v/>
      </c>
      <c r="BL111" s="117"/>
      <c r="BM111" s="836">
        <f>CW111</f>
        <v/>
      </c>
      <c r="BN111" s="812">
        <f>Overview!$P$153</f>
        <v/>
      </c>
      <c r="BO111" s="117"/>
      <c r="BP111" s="117"/>
      <c r="BQ111" s="115"/>
      <c r="BR111" s="1478" t="inlineStr">
        <is>
          <t>N/A</t>
        </is>
      </c>
      <c r="BS111" s="1548"/>
      <c r="BT111" s="1783" t="inlineStr">
        <is>
          <t>GSM</t>
        </is>
      </c>
      <c r="BU111" s="1783">
        <v>900</v>
      </c>
      <c r="BV111" s="400">
        <f>Overview!$H$30</f>
        <v/>
      </c>
      <c r="BW111" s="2010"/>
      <c r="BX111" s="1800"/>
      <c r="BY111" s="2040"/>
      <c r="BZ111" s="2040"/>
      <c r="CA111" s="404" t="str">
        <f>CONCATENATE(CA109," - Battery check 1")</f>
        <v>TBD - Battery check 1</v>
      </c>
      <c r="CB111" s="201">
        <v>5</v>
      </c>
      <c r="CC111" s="1081">
        <f>IF(COUNT($CO$103:$CO$110)=0,"N/A",INDEX($CC$103:$CC$110,MATCH(MAX($CO$103:$CO$110),$CO$103:$CO$110,0)))</f>
        <v/>
      </c>
      <c r="CD111" s="1081">
        <f>IF(COUNT($CO$103:$CO$110)=0,"N/A",INDEX($CD$103:$CD$110,MATCH(MAX($CO$103:$CO$110),$CO$103:$CO$110,0)))</f>
        <v/>
      </c>
      <c r="CE111" s="1874"/>
      <c r="CF111" s="1874"/>
      <c r="CG111" s="388" t="inlineStr">
        <is>
          <t>N/A</t>
        </is>
      </c>
      <c r="CH111" s="388">
        <f>BZ111</f>
        <v/>
      </c>
      <c r="CI111" s="388">
        <f>CA111</f>
        <v/>
      </c>
      <c r="CJ111" s="2046"/>
      <c r="CK111" s="2047"/>
      <c r="CL111" s="212">
        <f>IF(CF111=""," ",IF(ABS(CE111-CF111)&lt;=0.125,"Valid","Not valid"))</f>
        <v/>
      </c>
      <c r="CM111" s="213">
        <f> IF(CE111="","",IF(AND(CE111&lt;&gt;"",CF111=""),IF(CE111&gt;=1,"Medir+Sig Max","No"),IF(CF111&lt;&gt;"",IF(CF111&gt;=1,"Medir+Sig Max","No"),"")))</f>
        <v/>
      </c>
      <c r="CN111" s="1794"/>
      <c r="CO111" s="221">
        <f>IF(CK111="",IF(AND(CE111="",CF111=""),"",IF(CF111="",IF(DE111&gt;1,ROUND(DE111*CE111,3),CE111),IF(DE111&gt;1,ROUND(DE111*CF111,3),CF111))),IF(AND(CE111="",CF111=""),"",IF(CF111="",IF(DE111&gt;1,ROUND(DE111*CE111*(1/(CK111)),3),CE111*(1/(CK111))),IF(DE111&gt;1,ROUND(DE111*CF111*(1/(CK111)),3),CF111*(1/(CK111))))))</f>
        <v/>
      </c>
      <c r="CP111" s="2048">
        <f>$CP$3</f>
        <v/>
      </c>
      <c r="CQ111" s="1473">
        <f>IF(CO111="","",IF(CO111&gt;CP111,"Fail","Pass"))</f>
        <v/>
      </c>
      <c r="CR111" s="1482">
        <f>IF(CO111&lt;&gt;"",MAX($CR$3:CR110)+1,"")</f>
        <v/>
      </c>
      <c r="CS111" s="1566">
        <f>MyTimestamp(CQ111)</f>
        <v/>
      </c>
      <c r="CT111" s="1535">
        <f>IF(COUNT(CE111:CF111)=1,15,IF(COUNT(CE111:CF111)=0,0,30))</f>
        <v/>
      </c>
      <c r="CU111" s="1536">
        <f>IF(CT111=0,0,2)</f>
        <v/>
      </c>
      <c r="CV111" s="861" t="inlineStr">
        <is>
          <t>S/02</t>
        </is>
      </c>
      <c r="CW111" s="861" t="inlineStr">
        <is>
          <t>Dasy6</t>
        </is>
      </c>
      <c r="CX111" s="2038"/>
      <c r="CY111" s="2050"/>
      <c r="CZ111" s="1545">
        <f>10^(CJ111/20)*100-100</f>
        <v/>
      </c>
      <c r="DA111" s="1320">
        <f>IF('Tune-Up'!$H$12="","",'Tune-Up'!$H$12)</f>
        <v/>
      </c>
      <c r="DB111" s="696">
        <f>IF(COUNT($CO$103:$CO$110)=0,"N/A",IFERROR(INDEX($DB$103:$DB$110,MATCH(MAX($CO$103:$CO$110),$CO$103:$CO$110,0)),"N/A"))</f>
        <v/>
      </c>
      <c r="DC111" s="798">
        <f>IF(DA111="","",10^(DA111/10))</f>
        <v/>
      </c>
      <c r="DD111" s="1364">
        <f>IF(ISNUMBER(DB111)=FALSE,"N/A",10^(DB111/10))</f>
        <v/>
      </c>
      <c r="DE111" s="1545">
        <f>IF(AND(ISNUMBER(DC111),ISNUMBER(DD111)),IF(DC111/DD111&gt;1,ROUND((DC111)/DD111,3),1),1)</f>
        <v/>
      </c>
      <c r="DF111" s="1541"/>
      <c r="DG111" s="1541"/>
      <c r="DH111" s="1541"/>
      <c r="DI111" s="1541"/>
      <c r="DJ111" s="1541"/>
      <c r="DK111" s="1541"/>
      <c r="DL111" s="1541"/>
      <c r="DM111" s="1541"/>
      <c r="DN111" s="1541"/>
      <c r="DO111" s="1541"/>
      <c r="DP111" s="1541"/>
      <c r="DQ111" s="1541"/>
      <c r="DR111" s="1541"/>
    </row>
    <row r="112" ht="12.75" x14ac:dyDescent="0.2">
      <c r="A112" s="1541"/>
      <c r="B112" s="1541"/>
      <c r="C112"/>
      <c r="D112" s="130">
        <f>IF(BX$103="Close to Ear","EN 62209-1","EN 62209-2")</f>
        <v/>
      </c>
      <c r="E112" s="130">
        <f>IF(CG112="Close to Ear","2016","2010/A1:2019")</f>
        <v/>
      </c>
      <c r="F112" s="1488" t="inlineStr">
        <is>
          <t>5.1</t>
        </is>
      </c>
      <c r="G112" s="1497"/>
      <c r="H112" s="120">
        <f>BV112</f>
        <v/>
      </c>
      <c r="I112" s="120">
        <f>BW112</f>
        <v/>
      </c>
      <c r="J112" s="687">
        <f>BT112</f>
        <v/>
      </c>
      <c r="K112" s="194">
        <f>BU112</f>
        <v/>
      </c>
      <c r="L112" s="115"/>
      <c r="M112" s="120">
        <f>BZ112</f>
        <v/>
      </c>
      <c r="N112" s="119"/>
      <c r="O112" s="131"/>
      <c r="P112" s="6597"/>
      <c r="Q112" s="131"/>
      <c r="R112" s="131"/>
      <c r="S112" s="120">
        <f>CG112</f>
        <v/>
      </c>
      <c r="T112" s="120">
        <f>CC112</f>
        <v/>
      </c>
      <c r="U112" s="120">
        <f>CD112</f>
        <v/>
      </c>
      <c r="V112" s="119"/>
      <c r="W112" s="197">
        <f>CK112*100</f>
        <v/>
      </c>
      <c r="X112" s="119"/>
      <c r="Y112" s="119"/>
      <c r="Z112" s="119"/>
      <c r="AA112" s="115"/>
      <c r="AB112" s="115"/>
      <c r="AC112" s="689">
        <f>IF(OR(BX$103="Close to Ear",BX$103="Close to Head"),"Head",IF(BX$103="Extremity","Extremity","Body"))</f>
        <v/>
      </c>
      <c r="AD112" s="690">
        <f>CA112</f>
        <v/>
      </c>
      <c r="AE112" s="688">
        <f>CB112</f>
        <v/>
      </c>
      <c r="AF112" s="115"/>
      <c r="AG112" s="808">
        <f>IF(AZ112="","N/A",IF(CQ112="Pass","P","F"))</f>
        <v/>
      </c>
      <c r="AH112" s="129"/>
      <c r="AI112" s="129"/>
      <c r="AJ112" s="129"/>
      <c r="AK112" s="119"/>
      <c r="AL112" s="115"/>
      <c r="AM112" s="119"/>
      <c r="AN112" s="119"/>
      <c r="AO112" s="692"/>
      <c r="AP112" s="692"/>
      <c r="AQ112" s="692"/>
      <c r="AR112" s="692"/>
      <c r="AS112" s="692"/>
      <c r="AT112" s="691">
        <f>CE112</f>
        <v/>
      </c>
      <c r="AU112" s="691">
        <f>CF112</f>
        <v/>
      </c>
      <c r="AV112" s="813"/>
      <c r="AW112" s="813"/>
      <c r="AX112" s="197">
        <f>CZ112</f>
        <v/>
      </c>
      <c r="AY112" s="197">
        <f>DE112</f>
        <v/>
      </c>
      <c r="AZ112" s="3379">
        <f>CO112</f>
        <v/>
      </c>
      <c r="BA112" s="3380"/>
      <c r="BB112" s="197">
        <f>CP112</f>
        <v/>
      </c>
      <c r="BC112" s="813"/>
      <c r="BD112" s="197">
        <f>CR112</f>
        <v/>
      </c>
      <c r="BE112" s="121">
        <f>CS112</f>
        <v/>
      </c>
      <c r="BF112" s="122">
        <f>CT112*60</f>
        <v/>
      </c>
      <c r="BG112" s="121">
        <f>BE112</f>
        <v/>
      </c>
      <c r="BH112" s="122">
        <f>CU112*60</f>
        <v/>
      </c>
      <c r="BI112" s="122">
        <f>CV112</f>
        <v/>
      </c>
      <c r="BJ112" s="117"/>
      <c r="BK112" s="812">
        <f>Overview!$E$7</f>
        <v/>
      </c>
      <c r="BL112" s="117"/>
      <c r="BM112" s="836">
        <f>CW112</f>
        <v/>
      </c>
      <c r="BN112" s="812">
        <f>Overview!$P$153</f>
        <v/>
      </c>
      <c r="BO112" s="117"/>
      <c r="BP112" s="117"/>
      <c r="BQ112" s="115"/>
      <c r="BR112" s="1478" t="inlineStr">
        <is>
          <t>N/A</t>
        </is>
      </c>
      <c r="BS112" s="1548"/>
      <c r="BT112" s="1783" t="inlineStr">
        <is>
          <t>GSM</t>
        </is>
      </c>
      <c r="BU112" s="1783">
        <v>900</v>
      </c>
      <c r="BV112" s="400">
        <f>Overview!$H$30</f>
        <v/>
      </c>
      <c r="BW112" s="2010"/>
      <c r="BX112" s="1800"/>
      <c r="BY112" s="2040"/>
      <c r="BZ112" s="2040"/>
      <c r="CA112" s="404" t="str">
        <f>CONCATENATE(CA110," - Battery check 2")</f>
        <v>TBD - Battery check 2</v>
      </c>
      <c r="CB112" s="201">
        <v>5</v>
      </c>
      <c r="CC112" s="1081">
        <f>IF(COUNT($CO$103:$CO$110)=0,"N/A",INDEX($CC$103:$CC$110,MATCH(MAX($CO$103:$CO$110),$CO$103:$CO$110,0)))</f>
        <v/>
      </c>
      <c r="CD112" s="1081">
        <f>IF(COUNT($CO$103:$CO$110)=0,"N/A",INDEX($CD$103:$CD$110,MATCH(MAX($CO$103:$CO$110),$CO$103:$CO$110,0)))</f>
        <v/>
      </c>
      <c r="CE112" s="1874"/>
      <c r="CF112" s="1874"/>
      <c r="CG112" s="388" t="inlineStr">
        <is>
          <t>N/A</t>
        </is>
      </c>
      <c r="CH112" s="388">
        <f>BZ112</f>
        <v/>
      </c>
      <c r="CI112" s="388">
        <f>CA112</f>
        <v/>
      </c>
      <c r="CJ112" s="2046"/>
      <c r="CK112" s="2047"/>
      <c r="CL112" s="212">
        <f>IF(CF112=""," ",IF(ABS(CE112-CF112)&lt;=0.125,"Valid","Not valid"))</f>
        <v/>
      </c>
      <c r="CM112" s="213">
        <f> IF(CE112="","",IF(AND(CE112&lt;&gt;"",CF112=""),IF(CE112&gt;=1,"Medir+Sig Max","No"),IF(CF112&lt;&gt;"",IF(CF112&gt;=1,"Medir+Sig Max","No"),"")))</f>
        <v/>
      </c>
      <c r="CN112" s="1794"/>
      <c r="CO112" s="221">
        <f>IF(CK112="",IF(AND(CE112="",CF112=""),"",IF(CF112="",IF(DE112&gt;1,ROUND(DE112*CE112,3),CE112),IF(DE112&gt;1,ROUND(DE112*CF112,3),CF112))),IF(AND(CE112="",CF112=""),"",IF(CF112="",IF(DE112&gt;1,ROUND(DE112*CE112*(1/(CK112)),3),CE112*(1/(CK112))),IF(DE112&gt;1,ROUND(DE112*CF112*(1/(CK112)),3),CF112*(1/(CK112))))))</f>
        <v/>
      </c>
      <c r="CP112" s="2048">
        <f>$CP$3</f>
        <v/>
      </c>
      <c r="CQ112" s="1473">
        <f>IF(CO112="","",IF(CO112&gt;CP112,"Fail","Pass"))</f>
        <v/>
      </c>
      <c r="CR112" s="1482">
        <f>IF(CO112&lt;&gt;"",MAX($CR$3:CR111)+1,"")</f>
        <v/>
      </c>
      <c r="CS112" s="1566">
        <f>MyTimestamp(CQ112)</f>
        <v/>
      </c>
      <c r="CT112" s="1535">
        <f>IF(COUNT(CE112:CF112)=1,15,IF(COUNT(CE112:CF112)=0,0,30))</f>
        <v/>
      </c>
      <c r="CU112" s="1536">
        <f>IF(CT112=0,0,2)</f>
        <v/>
      </c>
      <c r="CV112" s="861" t="inlineStr">
        <is>
          <t>S/02</t>
        </is>
      </c>
      <c r="CW112" s="861" t="inlineStr">
        <is>
          <t>Dasy6</t>
        </is>
      </c>
      <c r="CX112" s="2038"/>
      <c r="CY112" s="2050"/>
      <c r="CZ112" s="1545">
        <f>10^(CJ112/20)*100-100</f>
        <v/>
      </c>
      <c r="DA112" s="1320">
        <f>IF('Tune-Up'!$H$12="","",'Tune-Up'!$H$12)</f>
        <v/>
      </c>
      <c r="DB112" s="696">
        <f>IF(COUNT($CO$103:$CO$110)=0,"N/A",IFERROR(INDEX($DB$103:$DB$110,MATCH(MAX($CO$103:$CO$110),$CO$103:$CO$110,0)),"N/A"))</f>
        <v/>
      </c>
      <c r="DC112" s="798">
        <f>IF(DA112="","",10^(DA112/10))</f>
        <v/>
      </c>
      <c r="DD112" s="1364">
        <f>IF(ISNUMBER(DB112)=FALSE,"N/A",10^(DB112/10))</f>
        <v/>
      </c>
      <c r="DE112" s="1545">
        <f>IF(AND(ISNUMBER(DC112),ISNUMBER(DD112)),IF(DC112/DD112&gt;1,ROUND((DC112)/DD112,3),1),1)</f>
        <v/>
      </c>
      <c r="DF112" s="1541"/>
      <c r="DG112" s="1541"/>
      <c r="DH112" s="1541"/>
      <c r="DI112" s="1541"/>
      <c r="DJ112" s="1541"/>
      <c r="DK112" s="1541"/>
      <c r="DL112" s="1541"/>
      <c r="DM112" s="1541"/>
      <c r="DN112" s="1541"/>
      <c r="DO112" s="1541"/>
      <c r="DP112" s="1541"/>
      <c r="DQ112" s="1541"/>
      <c r="DR112" s="1541"/>
    </row>
    <row r="113" ht="12.75" x14ac:dyDescent="0.2">
      <c r="A113" s="1541"/>
      <c r="B113" s="1541"/>
      <c r="C113"/>
      <c r="D113" s="130">
        <f>IF(BX$103="Close to Ear","EN 62209-1","EN 62209-2")</f>
        <v/>
      </c>
      <c r="E113" s="130">
        <f>IF(CG113="Close to Ear","2016","2010/A1:2019")</f>
        <v/>
      </c>
      <c r="F113" s="1488" t="inlineStr">
        <is>
          <t>5.1</t>
        </is>
      </c>
      <c r="G113" s="1497"/>
      <c r="H113" s="120">
        <f>BV113</f>
        <v/>
      </c>
      <c r="I113" s="120">
        <f>BW113</f>
        <v/>
      </c>
      <c r="J113" s="687">
        <f>BT113</f>
        <v/>
      </c>
      <c r="K113" s="194">
        <f>BU113</f>
        <v/>
      </c>
      <c r="L113" s="115"/>
      <c r="M113" s="120">
        <f>BZ113</f>
        <v/>
      </c>
      <c r="N113" s="119"/>
      <c r="O113" s="131"/>
      <c r="P113" s="6597"/>
      <c r="Q113" s="131"/>
      <c r="R113" s="131"/>
      <c r="S113" s="120">
        <f>CG113</f>
        <v/>
      </c>
      <c r="T113" s="120">
        <f>CC113</f>
        <v/>
      </c>
      <c r="U113" s="120">
        <f>CD113</f>
        <v/>
      </c>
      <c r="V113" s="119"/>
      <c r="W113" s="197">
        <f>CK113*100</f>
        <v/>
      </c>
      <c r="X113" s="119"/>
      <c r="Y113" s="119"/>
      <c r="Z113" s="119"/>
      <c r="AA113" s="115"/>
      <c r="AB113" s="115"/>
      <c r="AC113" s="689">
        <f>IF(OR(BX$103="Close to Ear",BX$103="Close to Head"),"Head",IF(BX$103="Extremity","Extremity","Body"))</f>
        <v/>
      </c>
      <c r="AD113" s="690">
        <f>CA113</f>
        <v/>
      </c>
      <c r="AE113" s="688">
        <f>CB113</f>
        <v/>
      </c>
      <c r="AF113" s="115"/>
      <c r="AG113" s="808">
        <f>IF(AZ113="","N/A",IF(CQ113="Pass","P","F"))</f>
        <v/>
      </c>
      <c r="AH113" s="129"/>
      <c r="AI113" s="129"/>
      <c r="AJ113" s="129"/>
      <c r="AK113" s="119"/>
      <c r="AL113" s="115"/>
      <c r="AM113" s="119"/>
      <c r="AN113" s="119"/>
      <c r="AO113" s="692"/>
      <c r="AP113" s="692"/>
      <c r="AQ113" s="692"/>
      <c r="AR113" s="692"/>
      <c r="AS113" s="692"/>
      <c r="AT113" s="691">
        <f>CE113</f>
        <v/>
      </c>
      <c r="AU113" s="691">
        <f>CF113</f>
        <v/>
      </c>
      <c r="AV113" s="813"/>
      <c r="AW113" s="813"/>
      <c r="AX113" s="197">
        <f>CZ113</f>
        <v/>
      </c>
      <c r="AY113" s="197">
        <f>DE113</f>
        <v/>
      </c>
      <c r="AZ113" s="3379">
        <f>CO113</f>
        <v/>
      </c>
      <c r="BA113" s="3380"/>
      <c r="BB113" s="197">
        <f>CP113</f>
        <v/>
      </c>
      <c r="BC113" s="813"/>
      <c r="BD113" s="197">
        <f>CR113</f>
        <v/>
      </c>
      <c r="BE113" s="121">
        <f>CS113</f>
        <v/>
      </c>
      <c r="BF113" s="122">
        <f>CT113*60</f>
        <v/>
      </c>
      <c r="BG113" s="121">
        <f>BE113</f>
        <v/>
      </c>
      <c r="BH113" s="122">
        <f>CU113*60</f>
        <v/>
      </c>
      <c r="BI113" s="122">
        <f>CV113</f>
        <v/>
      </c>
      <c r="BJ113" s="117"/>
      <c r="BK113" s="812">
        <f>Overview!$E$7</f>
        <v/>
      </c>
      <c r="BL113" s="117"/>
      <c r="BM113" s="836">
        <f>CW113</f>
        <v/>
      </c>
      <c r="BN113" s="812">
        <f>Overview!$P$153</f>
        <v/>
      </c>
      <c r="BO113" s="117"/>
      <c r="BP113" s="117"/>
      <c r="BQ113" s="115"/>
      <c r="BR113" s="1478" t="inlineStr">
        <is>
          <t>N/A</t>
        </is>
      </c>
      <c r="BS113" s="1548"/>
      <c r="BT113" s="1783" t="inlineStr">
        <is>
          <t>GSM</t>
        </is>
      </c>
      <c r="BU113" s="1783">
        <v>900</v>
      </c>
      <c r="BV113" s="400">
        <f>Overview!$H$30</f>
        <v/>
      </c>
      <c r="BW113" s="2010"/>
      <c r="BX113" s="1800"/>
      <c r="BY113" s="2040"/>
      <c r="BZ113" s="2040"/>
      <c r="CA113" s="404" t="inlineStr">
        <is>
          <t>Front Face</t>
        </is>
      </c>
      <c r="CB113" s="201">
        <v>25</v>
      </c>
      <c r="CC113" s="1081">
        <f>IF(COUNT($CO$103:$CO$110)=0,"N/A",INDEX($CC$103:$CC$110,MATCH(MAX($CO$103:$CO$110),$CO$103:$CO$110,0)))</f>
        <v/>
      </c>
      <c r="CD113" s="1081">
        <f>IF(COUNT($CO$103:$CO$110)=0,"N/A",INDEX($CD$103:$CD$110,MATCH(MAX($CO$103:$CO$110),$CO$103:$CO$110,0)))</f>
        <v/>
      </c>
      <c r="CE113" s="1874"/>
      <c r="CF113" s="1874"/>
      <c r="CG113" s="388" t="inlineStr">
        <is>
          <t>N/A</t>
        </is>
      </c>
      <c r="CH113" s="388">
        <f>BZ113</f>
        <v/>
      </c>
      <c r="CI113" s="388">
        <f>CA113</f>
        <v/>
      </c>
      <c r="CJ113" s="2046"/>
      <c r="CK113" s="2047"/>
      <c r="CL113" s="212">
        <f>IF(CF113=""," ",IF(ABS(CE113-CF113)&lt;=0.125,"Valid","Not valid"))</f>
        <v/>
      </c>
      <c r="CM113" s="213">
        <f> IF(CE113="","",IF(AND(CE113&lt;&gt;"",CF113=""),IF(CE113&gt;=1,"Medir+Sig Max","No"),IF(CF113&lt;&gt;"",IF(CF113&gt;=1,"Medir+Sig Max","No"),"")))</f>
        <v/>
      </c>
      <c r="CN113" s="1794"/>
      <c r="CO113" s="221">
        <f>IF(CK113="",IF(AND(CE113="",CF113=""),"",IF(CF113="",IF(DE113&gt;1,ROUND(DE113*CE113,3),CE113),IF(DE113&gt;1,ROUND(DE113*CF113,3),CF113))),IF(AND(CE113="",CF113=""),"",IF(CF113="",IF(DE113&gt;1,ROUND(DE113*CE113*(1/(CK113)),3),CE113*(1/(CK113))),IF(DE113&gt;1,ROUND(DE113*CF113*(1/(CK113)),3),CF113*(1/(CK113))))))</f>
        <v/>
      </c>
      <c r="CP113" s="2048">
        <f>$CP$3</f>
        <v/>
      </c>
      <c r="CQ113" s="1473">
        <f>IF(CO113="","",IF(CO113&gt;CP113,"Fail","Pass"))</f>
        <v/>
      </c>
      <c r="CR113" s="1482">
        <f>IF(CO113&lt;&gt;"",MAX($CR$3:CR112)+1,"")</f>
        <v/>
      </c>
      <c r="CS113" s="1566">
        <f>MyTimestamp(CQ113)</f>
        <v/>
      </c>
      <c r="CT113" s="1535">
        <f>IF(COUNT(CE113:CF113)=1,15,IF(COUNT(CE113:CF113)=0,0,30))</f>
        <v/>
      </c>
      <c r="CU113" s="1536">
        <f>IF(CT113=0,0,2)</f>
        <v/>
      </c>
      <c r="CV113" s="861" t="inlineStr">
        <is>
          <t>S/02</t>
        </is>
      </c>
      <c r="CW113" s="861" t="inlineStr">
        <is>
          <t>Dasy6</t>
        </is>
      </c>
      <c r="CX113" s="2038"/>
      <c r="CY113" s="2050"/>
      <c r="CZ113" s="1545">
        <f>10^(CJ113/20)*100-100</f>
        <v/>
      </c>
      <c r="DA113" s="1320">
        <f>IF('Tune-Up'!$H$12="","",'Tune-Up'!$H$12)</f>
        <v/>
      </c>
      <c r="DB113" s="696">
        <f>IF(COUNT($CO$103:$CO$110)=0,"N/A",IFERROR(INDEX($DB$103:$DB$110,MATCH(MAX($CO$103:$CO$110),$CO$103:$CO$110,0)),"N/A"))</f>
        <v/>
      </c>
      <c r="DC113" s="798">
        <f>IF(DA113="","",10^(DA113/10))</f>
        <v/>
      </c>
      <c r="DD113" s="1364">
        <f>IF(ISNUMBER(DB113)=FALSE,"N/A",10^(DB113/10))</f>
        <v/>
      </c>
      <c r="DE113" s="1545">
        <f>IF(AND(ISNUMBER(DC113),ISNUMBER(DD113)),IF(DC113/DD113&gt;1,ROUND((DC113)/DD113,3),1),1)</f>
        <v/>
      </c>
      <c r="DF113" s="1541"/>
      <c r="DG113" s="1541"/>
      <c r="DH113" s="1541"/>
      <c r="DI113" s="1541"/>
      <c r="DJ113" s="1541"/>
      <c r="DK113" s="1541"/>
      <c r="DL113" s="1541"/>
      <c r="DM113" s="1541"/>
      <c r="DN113" s="1541"/>
      <c r="DO113" s="1541"/>
      <c r="DP113" s="1541"/>
      <c r="DQ113" s="1541"/>
      <c r="DR113" s="1541"/>
    </row>
    <row r="114" ht="12.75" x14ac:dyDescent="0.2">
      <c r="A114" s="1541"/>
      <c r="B114" s="1541"/>
      <c r="C114"/>
      <c r="D114" s="130">
        <f>IF(BX$103="Close to Ear","EN 62209-1","EN 62209-2")</f>
        <v/>
      </c>
      <c r="E114" s="130">
        <f>IF(CG114="Close to Ear","2016","2010/A1:2019")</f>
        <v/>
      </c>
      <c r="F114" s="1488" t="inlineStr">
        <is>
          <t>5.1</t>
        </is>
      </c>
      <c r="G114" s="1497"/>
      <c r="H114" s="120">
        <f>BV114</f>
        <v/>
      </c>
      <c r="I114" s="120">
        <f>BW114</f>
        <v/>
      </c>
      <c r="J114" s="687">
        <f>BT114</f>
        <v/>
      </c>
      <c r="K114" s="194">
        <f>BU114</f>
        <v/>
      </c>
      <c r="L114" s="115"/>
      <c r="M114" s="120">
        <f>BZ114</f>
        <v/>
      </c>
      <c r="N114" s="119"/>
      <c r="O114" s="131"/>
      <c r="P114" s="6597"/>
      <c r="Q114" s="131"/>
      <c r="R114" s="131"/>
      <c r="S114" s="120">
        <f>CG114</f>
        <v/>
      </c>
      <c r="T114" s="120">
        <f>CC114</f>
        <v/>
      </c>
      <c r="U114" s="120">
        <f>CD114</f>
        <v/>
      </c>
      <c r="V114" s="119"/>
      <c r="W114" s="197">
        <f>CK114*100</f>
        <v/>
      </c>
      <c r="X114" s="119"/>
      <c r="Y114" s="119"/>
      <c r="Z114" s="119"/>
      <c r="AA114" s="115"/>
      <c r="AB114" s="115"/>
      <c r="AC114" s="689">
        <f>IF(OR(BX$103="Close to Ear",BX$103="Close to Head"),"Head",IF(BX$103="Extremity","Extremity","Body"))</f>
        <v/>
      </c>
      <c r="AD114" s="690">
        <f>CA114</f>
        <v/>
      </c>
      <c r="AE114" s="688">
        <f>CB114</f>
        <v/>
      </c>
      <c r="AF114" s="115"/>
      <c r="AG114" s="808">
        <f>IF(AZ114="","N/A",IF(CQ114="Pass","P","F"))</f>
        <v/>
      </c>
      <c r="AH114" s="129"/>
      <c r="AI114" s="129"/>
      <c r="AJ114" s="129"/>
      <c r="AK114" s="119"/>
      <c r="AL114" s="115"/>
      <c r="AM114" s="119"/>
      <c r="AN114" s="119"/>
      <c r="AO114" s="692"/>
      <c r="AP114" s="692"/>
      <c r="AQ114" s="692"/>
      <c r="AR114" s="692"/>
      <c r="AS114" s="692"/>
      <c r="AT114" s="691">
        <f>CE114</f>
        <v/>
      </c>
      <c r="AU114" s="691">
        <f>CF114</f>
        <v/>
      </c>
      <c r="AV114" s="813"/>
      <c r="AW114" s="813"/>
      <c r="AX114" s="197">
        <f>CZ114</f>
        <v/>
      </c>
      <c r="AY114" s="197">
        <f>DE114</f>
        <v/>
      </c>
      <c r="AZ114" s="3379">
        <f>CO114</f>
        <v/>
      </c>
      <c r="BA114" s="3380"/>
      <c r="BB114" s="197">
        <f>CP114</f>
        <v/>
      </c>
      <c r="BC114" s="813"/>
      <c r="BD114" s="197">
        <f>CR114</f>
        <v/>
      </c>
      <c r="BE114" s="121">
        <f>CS114</f>
        <v/>
      </c>
      <c r="BF114" s="122">
        <f>CT114*60</f>
        <v/>
      </c>
      <c r="BG114" s="121">
        <f>BE114</f>
        <v/>
      </c>
      <c r="BH114" s="122">
        <f>CU114*60</f>
        <v/>
      </c>
      <c r="BI114" s="122">
        <f>CV114</f>
        <v/>
      </c>
      <c r="BJ114" s="117"/>
      <c r="BK114" s="812">
        <f>Overview!$E$7</f>
        <v/>
      </c>
      <c r="BL114" s="117"/>
      <c r="BM114" s="836">
        <f>CW114</f>
        <v/>
      </c>
      <c r="BN114" s="812">
        <f>Overview!$P$153</f>
        <v/>
      </c>
      <c r="BO114" s="117"/>
      <c r="BP114" s="117"/>
      <c r="BQ114" s="115"/>
      <c r="BR114" s="1478" t="inlineStr">
        <is>
          <t>N/A</t>
        </is>
      </c>
      <c r="BS114" s="1548"/>
      <c r="BT114" s="1783" t="inlineStr">
        <is>
          <t>GSM</t>
        </is>
      </c>
      <c r="BU114" s="1783">
        <v>900</v>
      </c>
      <c r="BV114" s="400">
        <f>Overview!$H$30</f>
        <v/>
      </c>
      <c r="BW114" s="2010"/>
      <c r="BX114" s="1800"/>
      <c r="BY114" s="2040"/>
      <c r="BZ114" s="2040"/>
      <c r="CA114" s="404" t="inlineStr">
        <is>
          <t>Accesorio 1: Funda</t>
        </is>
      </c>
      <c r="CB114" s="201">
        <v>0</v>
      </c>
      <c r="CC114" s="1081">
        <f>IF(COUNT($CO$103:$CO$110)=0,"N/A",INDEX($CC$103:$CC$110,MATCH(MAX($CO$103:$CO$110),$CO$103:$CO$110,0)))</f>
        <v/>
      </c>
      <c r="CD114" s="1081">
        <f>IF(COUNT($CO$103:$CO$110)=0,"N/A",INDEX($CD$103:$CD$110,MATCH(MAX($CO$103:$CO$110),$CO$103:$CO$110,0)))</f>
        <v/>
      </c>
      <c r="CE114" s="1874"/>
      <c r="CF114" s="1874"/>
      <c r="CG114" s="388" t="inlineStr">
        <is>
          <t>N/A</t>
        </is>
      </c>
      <c r="CH114" s="388">
        <f>BZ114</f>
        <v/>
      </c>
      <c r="CI114" s="388">
        <f>CA114</f>
        <v/>
      </c>
      <c r="CJ114" s="2046"/>
      <c r="CK114" s="2047"/>
      <c r="CL114" s="212">
        <f>IF(CF114=""," ",IF(ABS(CE114-CF114)&lt;=0.125,"Valid","Not valid"))</f>
        <v/>
      </c>
      <c r="CM114" s="213">
        <f> IF(CE114="","",IF(AND(CE114&lt;&gt;"",CF114=""),IF(CE114&gt;=1,"Medir+Sig Max","No"),IF(CF114&lt;&gt;"",IF(CF114&gt;=1,"Medir+Sig Max","No"),"")))</f>
        <v/>
      </c>
      <c r="CN114" s="1794"/>
      <c r="CO114" s="221">
        <f>IF(CK114="",IF(AND(CE114="",CF114=""),"",IF(CF114="",IF(DE114&gt;1,ROUND(DE114*CE114,3),CE114),IF(DE114&gt;1,ROUND(DE114*CF114,3),CF114))),IF(AND(CE114="",CF114=""),"",IF(CF114="",IF(DE114&gt;1,ROUND(DE114*CE114*(1/(CK114)),3),CE114*(1/(CK114))),IF(DE114&gt;1,ROUND(DE114*CF114*(1/(CK114)),3),CF114*(1/(CK114))))))</f>
        <v/>
      </c>
      <c r="CP114" s="2048">
        <f>$CP$3</f>
        <v/>
      </c>
      <c r="CQ114" s="1473">
        <f>IF(CO114="","",IF(CO114&gt;CP114,"Fail","Pass"))</f>
        <v/>
      </c>
      <c r="CR114" s="1482">
        <f>IF(CO114&lt;&gt;"",MAX($CR$3:CR113)+1,"")</f>
        <v/>
      </c>
      <c r="CS114" s="1566">
        <f>MyTimestamp(CQ114)</f>
        <v/>
      </c>
      <c r="CT114" s="1535">
        <f>IF(COUNT(CE114:CF114)=1,15,IF(COUNT(CE114:CF114)=0,0,30))</f>
        <v/>
      </c>
      <c r="CU114" s="1536">
        <f>IF(CT114=0,0,2)</f>
        <v/>
      </c>
      <c r="CV114" s="861" t="inlineStr">
        <is>
          <t>S/02</t>
        </is>
      </c>
      <c r="CW114" s="861" t="inlineStr">
        <is>
          <t>Dasy6</t>
        </is>
      </c>
      <c r="CX114" s="2038"/>
      <c r="CY114" s="2050"/>
      <c r="CZ114" s="1545">
        <f>10^(CJ114/20)*100-100</f>
        <v/>
      </c>
      <c r="DA114" s="1320">
        <f>IF('Tune-Up'!$H$12="","",'Tune-Up'!$H$12)</f>
        <v/>
      </c>
      <c r="DB114" s="696">
        <f>IF(COUNT($CO$103:$CO$110)=0,"N/A",IFERROR(INDEX($DB$103:$DB$110,MATCH(MAX($CO$103:$CO$110),$CO$103:$CO$110,0)),"N/A"))</f>
        <v/>
      </c>
      <c r="DC114" s="798">
        <f>IF(DA114="","",10^(DA114/10))</f>
        <v/>
      </c>
      <c r="DD114" s="1364">
        <f>IF(ISNUMBER(DB114)=FALSE,"N/A",10^(DB114/10))</f>
        <v/>
      </c>
      <c r="DE114" s="1545">
        <f>IF(AND(ISNUMBER(DC114),ISNUMBER(DD114)),IF(DC114/DD114&gt;1,ROUND((DC114)/DD114,3),1),1)</f>
        <v/>
      </c>
      <c r="DF114" s="1541"/>
      <c r="DG114" s="1541"/>
      <c r="DH114" s="1541"/>
      <c r="DI114" s="1541"/>
      <c r="DJ114" s="1541"/>
      <c r="DK114" s="1541"/>
      <c r="DL114" s="1541"/>
      <c r="DM114" s="1541"/>
      <c r="DN114" s="1541"/>
      <c r="DO114" s="1541"/>
      <c r="DP114" s="1541"/>
      <c r="DQ114" s="1541"/>
      <c r="DR114" s="1541"/>
    </row>
    <row r="115" ht="12.75" x14ac:dyDescent="0.2">
      <c r="A115" s="1541"/>
      <c r="B115" s="1541"/>
      <c r="C115"/>
      <c r="D115" s="130">
        <f>IF(BX$103="Close to Ear","EN 62209-1","EN 62209-2")</f>
        <v/>
      </c>
      <c r="E115" s="130">
        <f>IF(CG115="Close to Ear","2016","2010/A1:2019")</f>
        <v/>
      </c>
      <c r="F115" s="1488" t="inlineStr">
        <is>
          <t>5.1</t>
        </is>
      </c>
      <c r="G115" s="1497"/>
      <c r="H115" s="120">
        <f>BV115</f>
        <v/>
      </c>
      <c r="I115" s="120">
        <f>BW115</f>
        <v/>
      </c>
      <c r="J115" s="687">
        <f>BT115</f>
        <v/>
      </c>
      <c r="K115" s="194">
        <f>BU115</f>
        <v/>
      </c>
      <c r="L115" s="115"/>
      <c r="M115" s="120">
        <f>BZ115</f>
        <v/>
      </c>
      <c r="N115" s="119"/>
      <c r="O115" s="131"/>
      <c r="P115" s="6597"/>
      <c r="Q115" s="131"/>
      <c r="R115" s="131"/>
      <c r="S115" s="120">
        <f>CG115</f>
        <v/>
      </c>
      <c r="T115" s="120">
        <f>CC115</f>
        <v/>
      </c>
      <c r="U115" s="120">
        <f>CD115</f>
        <v/>
      </c>
      <c r="V115" s="119"/>
      <c r="W115" s="197">
        <f>CK115*100</f>
        <v/>
      </c>
      <c r="X115" s="119"/>
      <c r="Y115" s="119"/>
      <c r="Z115" s="119"/>
      <c r="AA115" s="115"/>
      <c r="AB115" s="115"/>
      <c r="AC115" s="689">
        <f>IF(OR(BX$103="Close to Ear",BX$103="Close to Head"),"Head",IF(BX$103="Extremity","Extremity","Body"))</f>
        <v/>
      </c>
      <c r="AD115" s="690">
        <f>CA115</f>
        <v/>
      </c>
      <c r="AE115" s="688">
        <f>CB115</f>
        <v/>
      </c>
      <c r="AF115" s="115"/>
      <c r="AG115" s="808">
        <f>IF(AZ115="","N/A",IF(CQ115="Pass","P","F"))</f>
        <v/>
      </c>
      <c r="AH115" s="129"/>
      <c r="AI115" s="129"/>
      <c r="AJ115" s="129"/>
      <c r="AK115" s="119"/>
      <c r="AL115" s="115"/>
      <c r="AM115" s="119"/>
      <c r="AN115" s="119"/>
      <c r="AO115" s="692"/>
      <c r="AP115" s="692"/>
      <c r="AQ115" s="692"/>
      <c r="AR115" s="692"/>
      <c r="AS115" s="692"/>
      <c r="AT115" s="691">
        <f>CE115</f>
        <v/>
      </c>
      <c r="AU115" s="691">
        <f>CF115</f>
        <v/>
      </c>
      <c r="AV115" s="813"/>
      <c r="AW115" s="813"/>
      <c r="AX115" s="197">
        <f>CZ115</f>
        <v/>
      </c>
      <c r="AY115" s="197">
        <f>DE115</f>
        <v/>
      </c>
      <c r="AZ115" s="3379">
        <f>CO115</f>
        <v/>
      </c>
      <c r="BA115" s="3380"/>
      <c r="BB115" s="197">
        <f>CP115</f>
        <v/>
      </c>
      <c r="BC115" s="813"/>
      <c r="BD115" s="197">
        <f>CR115</f>
        <v/>
      </c>
      <c r="BE115" s="121">
        <f>CS115</f>
        <v/>
      </c>
      <c r="BF115" s="122">
        <f>CT115*60</f>
        <v/>
      </c>
      <c r="BG115" s="121">
        <f>BE115</f>
        <v/>
      </c>
      <c r="BH115" s="122">
        <f>CU115*60</f>
        <v/>
      </c>
      <c r="BI115" s="122">
        <f>CV115</f>
        <v/>
      </c>
      <c r="BJ115" s="117"/>
      <c r="BK115" s="812">
        <f>Overview!$E$7</f>
        <v/>
      </c>
      <c r="BL115" s="117"/>
      <c r="BM115" s="836">
        <f>CW115</f>
        <v/>
      </c>
      <c r="BN115" s="812">
        <f>Overview!$P$153</f>
        <v/>
      </c>
      <c r="BO115" s="117"/>
      <c r="BP115" s="117"/>
      <c r="BQ115" s="115"/>
      <c r="BR115" s="1478" t="inlineStr">
        <is>
          <t>N/A</t>
        </is>
      </c>
      <c r="BS115" s="1548"/>
      <c r="BT115" s="1783" t="inlineStr">
        <is>
          <t>GSM</t>
        </is>
      </c>
      <c r="BU115" s="1783">
        <v>900</v>
      </c>
      <c r="BV115" s="400">
        <f>Overview!$H$30</f>
        <v/>
      </c>
      <c r="BW115" s="2010"/>
      <c r="BX115" s="1800"/>
      <c r="BY115" s="2040"/>
      <c r="BZ115" s="2040"/>
      <c r="CA115" s="404" t="inlineStr">
        <is>
          <t>Accesorio 2: Clip</t>
        </is>
      </c>
      <c r="CB115" s="201">
        <v>0</v>
      </c>
      <c r="CC115" s="1081">
        <f>IF(COUNT($CO$103:$CO$110)=0,"N/A",INDEX($CC$103:$CC$110,MATCH(MAX($CO$103:$CO$110),$CO$103:$CO$110,0)))</f>
        <v/>
      </c>
      <c r="CD115" s="1081">
        <f>IF(COUNT($CO$103:$CO$110)=0,"N/A",INDEX($CD$103:$CD$110,MATCH(MAX($CO$103:$CO$110),$CO$103:$CO$110,0)))</f>
        <v/>
      </c>
      <c r="CE115" s="1874"/>
      <c r="CF115" s="1874"/>
      <c r="CG115" s="388" t="inlineStr">
        <is>
          <t>N/A</t>
        </is>
      </c>
      <c r="CH115" s="388">
        <f>BZ115</f>
        <v/>
      </c>
      <c r="CI115" s="388">
        <f>CA115</f>
        <v/>
      </c>
      <c r="CJ115" s="2046"/>
      <c r="CK115" s="2047"/>
      <c r="CL115" s="212">
        <f>IF(CF115=""," ",IF(ABS(CE115-CF115)&lt;=0.125,"Valid","Not valid"))</f>
        <v/>
      </c>
      <c r="CM115" s="213">
        <f> IF(CE115="","",IF(AND(CE115&lt;&gt;"",CF115=""),IF(CE115&gt;=1,"Medir+Sig Max","No"),IF(CF115&lt;&gt;"",IF(CF115&gt;=1,"Medir+Sig Max","No"),"")))</f>
        <v/>
      </c>
      <c r="CN115" s="1794"/>
      <c r="CO115" s="221">
        <f>IF(CK115="",IF(AND(CE115="",CF115=""),"",IF(CF115="",IF(DE115&gt;1,ROUND(DE115*CE115,3),CE115),IF(DE115&gt;1,ROUND(DE115*CF115,3),CF115))),IF(AND(CE115="",CF115=""),"",IF(CF115="",IF(DE115&gt;1,ROUND(DE115*CE115*(1/(CK115)),3),CE115*(1/(CK115))),IF(DE115&gt;1,ROUND(DE115*CF115*(1/(CK115)),3),CF115*(1/(CK115))))))</f>
        <v/>
      </c>
      <c r="CP115" s="2048">
        <f>$CP$3</f>
        <v/>
      </c>
      <c r="CQ115" s="1473">
        <f>IF(CO115="","",IF(CO115&gt;CP115,"Fail","Pass"))</f>
        <v/>
      </c>
      <c r="CR115" s="1482">
        <f>IF(CO115&lt;&gt;"",MAX($CR$3:CR114)+1,"")</f>
        <v/>
      </c>
      <c r="CS115" s="1566">
        <f>MyTimestamp(CQ115)</f>
        <v/>
      </c>
      <c r="CT115" s="1535">
        <f>IF(COUNT(CE115:CF115)=1,15,IF(COUNT(CE115:CF115)=0,0,30))</f>
        <v/>
      </c>
      <c r="CU115" s="1536">
        <f>IF(CT115=0,0,2)</f>
        <v/>
      </c>
      <c r="CV115" s="861" t="inlineStr">
        <is>
          <t>S/02</t>
        </is>
      </c>
      <c r="CW115" s="861" t="inlineStr">
        <is>
          <t>Dasy6</t>
        </is>
      </c>
      <c r="CX115" s="2038"/>
      <c r="CY115" s="2050"/>
      <c r="CZ115" s="1545">
        <f>10^(CJ115/20)*100-100</f>
        <v/>
      </c>
      <c r="DA115" s="1320">
        <f>IF('Tune-Up'!$H$12="","",'Tune-Up'!$H$12)</f>
        <v/>
      </c>
      <c r="DB115" s="696">
        <f>IF(COUNT($CO$103:$CO$110)=0,"N/A",IFERROR(INDEX($DB$103:$DB$110,MATCH(MAX($CO$103:$CO$110),$CO$103:$CO$110,0)),"N/A"))</f>
        <v/>
      </c>
      <c r="DC115" s="798">
        <f>IF(DA115="","",10^(DA115/10))</f>
        <v/>
      </c>
      <c r="DD115" s="1364">
        <f>IF(ISNUMBER(DB115)=FALSE,"N/A",10^(DB115/10))</f>
        <v/>
      </c>
      <c r="DE115" s="1545">
        <f>IF(AND(ISNUMBER(DC115),ISNUMBER(DD115)),IF(DC115/DD115&gt;1,ROUND((DC115)/DD115,3),1),1)</f>
        <v/>
      </c>
      <c r="DF115" s="1541"/>
      <c r="DG115" s="1541"/>
      <c r="DH115" s="1541"/>
      <c r="DI115" s="1541"/>
      <c r="DJ115" s="1541"/>
      <c r="DK115" s="1541"/>
      <c r="DL115" s="1541"/>
      <c r="DM115" s="1541"/>
      <c r="DN115" s="1541"/>
      <c r="DO115" s="1541"/>
      <c r="DP115" s="1541"/>
      <c r="DQ115" s="1541"/>
      <c r="DR115" s="1541"/>
    </row>
    <row r="116" ht="12.75" x14ac:dyDescent="0.2">
      <c r="A116" s="1541"/>
      <c r="B116" s="1541"/>
      <c r="C116"/>
      <c r="D116" s="130">
        <f>IF(BX$116="Close to Ear","EN 62209-1","EN 62209-2")</f>
        <v/>
      </c>
      <c r="E116" s="130">
        <f>IF(CG116="Close to Ear","2016","2010/A1:2019")</f>
        <v/>
      </c>
      <c r="F116" s="1488" t="inlineStr">
        <is>
          <t>5.1</t>
        </is>
      </c>
      <c r="G116" s="1497"/>
      <c r="H116" s="120">
        <f>BV116</f>
        <v/>
      </c>
      <c r="I116" s="120">
        <f>BW116</f>
        <v/>
      </c>
      <c r="J116" s="687" t="str">
        <f>BT116</f>
        <v>GSM</v>
      </c>
      <c r="K116" s="194">
        <f>BU116</f>
        <v>900</v>
      </c>
      <c r="L116" s="115"/>
      <c r="M116" s="120">
        <f>BZ116</f>
        <v>0</v>
      </c>
      <c r="N116" s="119"/>
      <c r="O116" s="131"/>
      <c r="P116" s="6597"/>
      <c r="Q116" s="131"/>
      <c r="R116" s="131"/>
      <c r="S116" s="120">
        <f>CG116</f>
        <v>0</v>
      </c>
      <c r="T116" s="120">
        <f>CC116</f>
        <v>37</v>
      </c>
      <c r="U116" s="120">
        <f>CD116</f>
        <v>897.4</v>
      </c>
      <c r="V116" s="119"/>
      <c r="W116" s="197">
        <f>CK116*100</f>
        <v/>
      </c>
      <c r="X116" s="119"/>
      <c r="Y116" s="119"/>
      <c r="Z116" s="119"/>
      <c r="AA116" s="115"/>
      <c r="AB116" s="115"/>
      <c r="AC116" s="689">
        <f>IF(OR(BX$116="Close to Ear",BX$116="Close to Head"),"Head",IF(BX$116="Extremity","Extremity","Body"))</f>
        <v/>
      </c>
      <c r="AD116" s="690">
        <f>CA116</f>
        <v/>
      </c>
      <c r="AE116" s="688">
        <f>CB116</f>
        <v/>
      </c>
      <c r="AF116" s="115"/>
      <c r="AG116" s="808">
        <f>IF(AZ116="","N/A",IF(CQ116="Pass","P","F"))</f>
        <v/>
      </c>
      <c r="AH116" s="129"/>
      <c r="AI116" s="129"/>
      <c r="AJ116" s="129"/>
      <c r="AK116" s="119"/>
      <c r="AL116" s="115"/>
      <c r="AM116" s="119"/>
      <c r="AN116" s="119"/>
      <c r="AO116" s="692"/>
      <c r="AP116" s="692"/>
      <c r="AQ116" s="692"/>
      <c r="AR116" s="692"/>
      <c r="AS116" s="692"/>
      <c r="AT116" s="691">
        <f>CE116</f>
        <v/>
      </c>
      <c r="AU116" s="691">
        <f>CF116</f>
        <v/>
      </c>
      <c r="AV116" s="813"/>
      <c r="AW116" s="813"/>
      <c r="AX116" s="197">
        <f>CZ116</f>
        <v/>
      </c>
      <c r="AY116" s="197">
        <f>DE116</f>
        <v/>
      </c>
      <c r="AZ116" s="3379">
        <f>CO116</f>
        <v/>
      </c>
      <c r="BA116" s="3380"/>
      <c r="BB116" s="197">
        <f>CP116</f>
        <v/>
      </c>
      <c r="BC116" s="813"/>
      <c r="BD116" s="197">
        <f>CR116</f>
        <v/>
      </c>
      <c r="BE116" s="121">
        <f>CS116</f>
        <v/>
      </c>
      <c r="BF116" s="122">
        <f>CT116*60</f>
        <v/>
      </c>
      <c r="BG116" s="121">
        <f>BE116</f>
        <v/>
      </c>
      <c r="BH116" s="122">
        <f>CU116*60</f>
        <v/>
      </c>
      <c r="BI116" s="122">
        <f>CV116</f>
        <v/>
      </c>
      <c r="BJ116" s="117"/>
      <c r="BK116" s="812">
        <f>Overview!$E$7</f>
        <v/>
      </c>
      <c r="BL116" s="117"/>
      <c r="BM116" s="836">
        <f>CW116</f>
        <v/>
      </c>
      <c r="BN116" s="812">
        <f>Overview!$P$153</f>
        <v/>
      </c>
      <c r="BO116" s="117"/>
      <c r="BP116" s="117"/>
      <c r="BQ116" s="115"/>
      <c r="BR116" s="1478" t="inlineStr">
        <is>
          <t>N/A</t>
        </is>
      </c>
      <c r="BS116" s="1548"/>
      <c r="BT116" s="1783" t="inlineStr">
        <is>
          <t>GSM</t>
        </is>
      </c>
      <c r="BU116" s="1783">
        <v>900</v>
      </c>
      <c r="BV116" s="400">
        <f>Overview!$H$30</f>
        <v/>
      </c>
      <c r="BW116" s="2010"/>
      <c r="BX116" s="7673" t="inlineStr">
        <is>
          <t>Extremity</t>
        </is>
      </c>
      <c r="BY116" s="2040"/>
      <c r="BZ116" s="2040"/>
      <c r="CA116" s="1996" t="inlineStr">
        <is>
          <t>Front Face</t>
        </is>
      </c>
      <c r="CB116" s="200">
        <v>5</v>
      </c>
      <c r="CC116" s="1062">
        <f>'2G-3G'!BX21</f>
        <v>37</v>
      </c>
      <c r="CD116" s="1062">
        <f>'2G-3G'!BY21</f>
        <v>897.4</v>
      </c>
      <c r="CE116" s="2051"/>
      <c r="CF116" s="2051"/>
      <c r="CG116" s="389" t="str">
        <f>IF(OR($BY$3="",$BY$3=""),"",$BY$3)</f>
        <v/>
      </c>
      <c r="CH116" s="389">
        <f>BZ116</f>
        <v/>
      </c>
      <c r="CI116" s="389">
        <f>CA116</f>
        <v/>
      </c>
      <c r="CJ116" s="2052"/>
      <c r="CK116" s="2036"/>
      <c r="CL116" s="203">
        <f>IF(CF116=""," ",IF(ABS(CE116-CF116)&lt;=0.25,"Valid","Not valid"))</f>
        <v/>
      </c>
      <c r="CM116" s="204">
        <f> IF(CE116="","",IF(AND(CE116&lt;&gt;"",CF116=""),IF(CE116&gt;=2,"Medir+Sig Max","No"),IF(CF116&lt;&gt;"",IF(CF116&gt;=2,"Medir+Sig Max","No"),"")))</f>
        <v/>
      </c>
      <c r="CN116" s="1798"/>
      <c r="CO116" s="222">
        <f>IF(CK116="",IF(AND(CE116="",CF116=""),"",IF(CF116="",IF(DE116&gt;1,ROUND(DE116*CE116,3),CE116),IF(DE116&gt;1,ROUND(DE116*CF116,3),CF116))),IF(AND(CE116="",CF116=""),"",IF(CF116="",IF(DE116&gt;1,ROUND(DE116*CE116*(1/(CK116)),3),CE116*(1/(CK116))),IF(DE116&gt;1,ROUND(DE116*CF116*(1/(CK116)),3),CF116*(1/(CK116))))))</f>
        <v/>
      </c>
      <c r="CP116" s="2053">
        <f>$CP$34</f>
        <v/>
      </c>
      <c r="CQ116" s="1474">
        <f>IF(CO116="","",IF(CO116&gt;CP116,"Fail","Pass"))</f>
        <v/>
      </c>
      <c r="CR116" s="1480">
        <f>IF(AND(MAX(CO116:CO123)=CO116,CO116&lt;&gt;0),COUNT($CR$3:CR110)+1,"")</f>
        <v/>
      </c>
      <c r="CS116" s="2054">
        <f>MyTimestamp(CO116)</f>
        <v/>
      </c>
      <c r="CT116" s="1537">
        <f>IF(CE116="",0,15)+IF(CF116="",0,15)</f>
        <v/>
      </c>
      <c r="CU116" s="1538">
        <f>IF(CT116=0,0,2)</f>
        <v/>
      </c>
      <c r="CV116" s="2055" t="inlineStr">
        <is>
          <t>S/02</t>
        </is>
      </c>
      <c r="CW116" s="2055" t="inlineStr">
        <is>
          <t>Dasy6</t>
        </is>
      </c>
      <c r="CX116" s="2038"/>
      <c r="CY116" s="2056"/>
      <c r="CZ116" s="1546">
        <f>10^(CJ116/20)*100-100</f>
        <v/>
      </c>
      <c r="DA116" s="1318">
        <f>IF('Tune-Up'!$H$12="","",'Tune-Up'!$H$12)</f>
        <v/>
      </c>
      <c r="DB116" s="694">
        <f>'2G-3G'!BZ21</f>
        <v/>
      </c>
      <c r="DC116" s="796">
        <f>IF(DA116="","",10^(DA116/10))</f>
        <v/>
      </c>
      <c r="DD116" s="1362">
        <f>IF(ISNUMBER(DB116)=FALSE,"",10^(DB116/10))</f>
        <v/>
      </c>
      <c r="DE116" s="1546">
        <f>IF(AND(ISNUMBER(DC116),ISNUMBER(DD116)),IF(DC116/DD116&gt;1,ROUND((DC116)/DD116,3),1),1)</f>
        <v/>
      </c>
      <c r="DF116" s="1541"/>
      <c r="DG116" s="1541"/>
      <c r="DH116" s="1541"/>
      <c r="DI116" s="1541"/>
      <c r="DJ116" s="1541"/>
      <c r="DK116" s="1541"/>
      <c r="DL116" s="1541"/>
      <c r="DM116" s="1541"/>
      <c r="DN116" s="1541"/>
      <c r="DO116" s="1541"/>
      <c r="DP116" s="1541"/>
      <c r="DQ116" s="1541"/>
      <c r="DR116" s="1541"/>
    </row>
    <row r="117" ht="12.75" x14ac:dyDescent="0.2">
      <c r="A117" s="1541"/>
      <c r="B117" s="1541"/>
      <c r="C117"/>
      <c r="D117" s="130">
        <f>IF(BX$116="Close to Ear","EN 62209-1","EN 62209-2")</f>
        <v/>
      </c>
      <c r="E117" s="130">
        <f>IF(CG117="Close to Ear","2016","2010/A1:2019")</f>
        <v/>
      </c>
      <c r="F117" s="1488" t="inlineStr">
        <is>
          <t>5.1</t>
        </is>
      </c>
      <c r="G117" s="1497"/>
      <c r="H117" s="120">
        <f>BV117</f>
        <v/>
      </c>
      <c r="I117" s="120">
        <f>BW117</f>
        <v/>
      </c>
      <c r="J117" s="687" t="str">
        <f>BT117</f>
        <v>GSM</v>
      </c>
      <c r="K117" s="194">
        <f>BU117</f>
        <v>900</v>
      </c>
      <c r="L117" s="115"/>
      <c r="M117" s="120">
        <f>BZ117</f>
        <v>0</v>
      </c>
      <c r="N117" s="119"/>
      <c r="O117" s="131"/>
      <c r="P117" s="6597"/>
      <c r="Q117" s="131"/>
      <c r="R117" s="131"/>
      <c r="S117" s="120">
        <f>CG117</f>
        <v>0</v>
      </c>
      <c r="T117" s="120">
        <f>CC117</f>
        <v>37</v>
      </c>
      <c r="U117" s="120">
        <f>CD117</f>
        <v>897.4</v>
      </c>
      <c r="V117" s="119"/>
      <c r="W117" s="197">
        <f>CK117*100</f>
        <v/>
      </c>
      <c r="X117" s="119"/>
      <c r="Y117" s="119"/>
      <c r="Z117" s="119"/>
      <c r="AA117" s="115"/>
      <c r="AB117" s="115"/>
      <c r="AC117" s="689">
        <f>IF(OR(BX$116="Close to Ear",BX$116="Close to Head"),"Head",IF(BX$116="Extremity","Extremity","Body"))</f>
        <v/>
      </c>
      <c r="AD117" s="690">
        <f>CA117</f>
        <v/>
      </c>
      <c r="AE117" s="688">
        <f>CB117</f>
        <v/>
      </c>
      <c r="AF117" s="115"/>
      <c r="AG117" s="808">
        <f>IF(AZ117="","N/A",IF(CQ117="Pass","P","F"))</f>
        <v/>
      </c>
      <c r="AH117" s="129"/>
      <c r="AI117" s="129"/>
      <c r="AJ117" s="129"/>
      <c r="AK117" s="119"/>
      <c r="AL117" s="115"/>
      <c r="AM117" s="119"/>
      <c r="AN117" s="119"/>
      <c r="AO117" s="692"/>
      <c r="AP117" s="692"/>
      <c r="AQ117" s="692"/>
      <c r="AR117" s="692"/>
      <c r="AS117" s="692"/>
      <c r="AT117" s="691">
        <f>CE117</f>
        <v/>
      </c>
      <c r="AU117" s="691">
        <f>CF117</f>
        <v/>
      </c>
      <c r="AV117" s="813"/>
      <c r="AW117" s="813"/>
      <c r="AX117" s="197">
        <f>CZ117</f>
        <v/>
      </c>
      <c r="AY117" s="197">
        <f>DE117</f>
        <v/>
      </c>
      <c r="AZ117" s="3379">
        <f>CO117</f>
        <v/>
      </c>
      <c r="BA117" s="3380"/>
      <c r="BB117" s="197">
        <f>CP117</f>
        <v/>
      </c>
      <c r="BC117" s="813"/>
      <c r="BD117" s="197">
        <f>CR117</f>
        <v/>
      </c>
      <c r="BE117" s="121">
        <f>CS117</f>
        <v/>
      </c>
      <c r="BF117" s="122">
        <f>CT117*60</f>
        <v/>
      </c>
      <c r="BG117" s="121">
        <f>BE117</f>
        <v/>
      </c>
      <c r="BH117" s="122">
        <f>CU117*60</f>
        <v/>
      </c>
      <c r="BI117" s="122">
        <f>CV117</f>
        <v/>
      </c>
      <c r="BJ117" s="117"/>
      <c r="BK117" s="812">
        <f>Overview!$E$7</f>
        <v/>
      </c>
      <c r="BL117" s="117"/>
      <c r="BM117" s="836">
        <f>CW117</f>
        <v/>
      </c>
      <c r="BN117" s="812">
        <f>Overview!$P$153</f>
        <v/>
      </c>
      <c r="BO117" s="117"/>
      <c r="BP117" s="117"/>
      <c r="BQ117" s="115"/>
      <c r="BR117" s="1478" t="inlineStr">
        <is>
          <t>N/A</t>
        </is>
      </c>
      <c r="BS117" s="1548"/>
      <c r="BT117" s="1783" t="inlineStr">
        <is>
          <t>GSM</t>
        </is>
      </c>
      <c r="BU117" s="1783">
        <v>900</v>
      </c>
      <c r="BV117" s="400">
        <f>Overview!$H$30</f>
        <v/>
      </c>
      <c r="BW117" s="2010"/>
      <c r="BX117" s="1783"/>
      <c r="BY117" s="2040"/>
      <c r="BZ117" s="2040"/>
      <c r="CA117" s="1997" t="inlineStr">
        <is>
          <t>Back Face</t>
        </is>
      </c>
      <c r="CB117" s="200">
        <v>5</v>
      </c>
      <c r="CC117" s="1063">
        <f>'2G-3G'!BX21</f>
        <v>37</v>
      </c>
      <c r="CD117" s="1063">
        <f>'2G-3G'!BY21</f>
        <v>897.4</v>
      </c>
      <c r="CE117" s="1523"/>
      <c r="CF117" s="1523"/>
      <c r="CG117" s="387" t="str">
        <f>IF(OR($BY$3="",$BY$3=""),"",$BY$3)</f>
        <v/>
      </c>
      <c r="CH117" s="387">
        <f>BZ117</f>
        <v/>
      </c>
      <c r="CI117" s="387">
        <f>CA117</f>
        <v/>
      </c>
      <c r="CJ117" s="1527"/>
      <c r="CK117" s="2042"/>
      <c r="CL117" s="206">
        <f>IF(CF117=""," ",IF(ABS(CE117-CF117)&lt;=0.25,"Valid","Not valid"))</f>
        <v/>
      </c>
      <c r="CM117" s="207">
        <f> IF(CE117="","",IF(AND(CE117&lt;&gt;"",CF117=""),IF(CE117&gt;=2,"Medir+Sig Max","No"),IF(CF117&lt;&gt;"",IF(CF117&gt;=2,"Medir+Sig Max","No"),"")))</f>
        <v/>
      </c>
      <c r="CN117" s="1787"/>
      <c r="CO117" s="220">
        <f>IF(CK117="",IF(AND(CE117="",CF117=""),"",IF(CF117="",IF(DE117&gt;1,ROUND(DE117*CE117,3),CE117),IF(DE117&gt;1,ROUND(DE117*CF117,3),CF117))),IF(AND(CE117="",CF117=""),"",IF(CF117="",IF(DE117&gt;1,ROUND(DE117*CE117*(1/(CK117)),3),CE117*(1/(CK117))),IF(DE117&gt;1,ROUND(DE117*CF117*(1/(CK117)),3),CF117*(1/(CK117))))))</f>
        <v/>
      </c>
      <c r="CP117" s="2043">
        <f>$CP$34</f>
        <v/>
      </c>
      <c r="CQ117" s="1472">
        <f>IF(CO117="","",IF(CO117&gt;CP117,"Fail","Pass"))</f>
        <v/>
      </c>
      <c r="CR117" s="1481">
        <f>IF(AND(MAX(CO116:CO123)=CO117,CO117&lt;&gt;0),COUNT($CR$3:CR116)+1,"")</f>
        <v/>
      </c>
      <c r="CS117" s="1565">
        <f>MyTimestamp(CO117)</f>
        <v/>
      </c>
      <c r="CT117" s="1531">
        <f>IF(CE117="",0,15)+IF(CF117="",0,15)</f>
        <v/>
      </c>
      <c r="CU117" s="1532">
        <f>IF(CT117=0,0,2)</f>
        <v/>
      </c>
      <c r="CV117" s="859" t="inlineStr">
        <is>
          <t>S/02</t>
        </is>
      </c>
      <c r="CW117" s="859" t="inlineStr">
        <is>
          <t>Dasy6</t>
        </is>
      </c>
      <c r="CX117" s="2038"/>
      <c r="CY117" s="2044"/>
      <c r="CZ117" s="1543">
        <f>10^(CJ117/20)*100-100</f>
        <v/>
      </c>
      <c r="DA117" s="1319">
        <f>IF('Tune-Up'!$H$12="","",'Tune-Up'!$H$12)</f>
        <v/>
      </c>
      <c r="DB117" s="695">
        <f>'2G-3G'!BZ21</f>
        <v/>
      </c>
      <c r="DC117" s="797">
        <f>IF(DA117="","",10^(DA117/10))</f>
        <v/>
      </c>
      <c r="DD117" s="1363">
        <f>IF(ISNUMBER(DB117)=FALSE,"",10^(DB117/10))</f>
        <v/>
      </c>
      <c r="DE117" s="1543">
        <f>IF(AND(ISNUMBER(DC117),ISNUMBER(DD117)),IF(DC117/DD117&gt;1,ROUND((DC117)/DD117,3),1),1)</f>
        <v/>
      </c>
      <c r="DF117" s="1541"/>
      <c r="DG117" s="1541"/>
      <c r="DH117" s="1541"/>
      <c r="DI117" s="1541"/>
      <c r="DJ117" s="1541"/>
      <c r="DK117" s="1541"/>
      <c r="DL117" s="1541"/>
      <c r="DM117" s="1541"/>
      <c r="DN117" s="1541"/>
      <c r="DO117" s="1541"/>
      <c r="DP117" s="1541"/>
      <c r="DQ117" s="1541"/>
      <c r="DR117" s="1541"/>
    </row>
    <row r="118" ht="12.75" x14ac:dyDescent="0.2">
      <c r="A118" s="1541"/>
      <c r="B118" s="1541"/>
      <c r="C118"/>
      <c r="D118" s="130">
        <f>IF(BX$116="Close to Ear","EN 62209-1","EN 62209-2")</f>
        <v/>
      </c>
      <c r="E118" s="130">
        <f>IF(CG118="Close to Ear","2016","2010/A1:2019")</f>
        <v/>
      </c>
      <c r="F118" s="1488" t="inlineStr">
        <is>
          <t>5.1</t>
        </is>
      </c>
      <c r="G118" s="1497"/>
      <c r="H118" s="120">
        <f>BV118</f>
        <v/>
      </c>
      <c r="I118" s="120">
        <f>BW118</f>
        <v/>
      </c>
      <c r="J118" s="687" t="str">
        <f>BT118</f>
        <v>GSM</v>
      </c>
      <c r="K118" s="194">
        <f>BU118</f>
        <v>900</v>
      </c>
      <c r="L118" s="115"/>
      <c r="M118" s="120">
        <f>BZ118</f>
        <v>0</v>
      </c>
      <c r="N118" s="119"/>
      <c r="O118" s="131"/>
      <c r="P118" s="6597"/>
      <c r="Q118" s="131"/>
      <c r="R118" s="131"/>
      <c r="S118" s="120">
        <f>CG118</f>
        <v>0</v>
      </c>
      <c r="T118" s="120">
        <f>CC118</f>
        <v>37</v>
      </c>
      <c r="U118" s="120">
        <f>CD118</f>
        <v>897.4</v>
      </c>
      <c r="V118" s="119"/>
      <c r="W118" s="197">
        <f>CK118*100</f>
        <v/>
      </c>
      <c r="X118" s="119"/>
      <c r="Y118" s="119"/>
      <c r="Z118" s="119"/>
      <c r="AA118" s="115"/>
      <c r="AB118" s="115"/>
      <c r="AC118" s="689">
        <f>IF(OR(BX$116="Close to Ear",BX$116="Close to Head"),"Head",IF(BX$116="Extremity","Extremity","Body"))</f>
        <v/>
      </c>
      <c r="AD118" s="690">
        <f>CA118</f>
        <v/>
      </c>
      <c r="AE118" s="688">
        <f>CB118</f>
        <v/>
      </c>
      <c r="AF118" s="115"/>
      <c r="AG118" s="808">
        <f>IF(AZ118="","N/A",IF(CQ118="Pass","P","F"))</f>
        <v/>
      </c>
      <c r="AH118" s="129"/>
      <c r="AI118" s="129"/>
      <c r="AJ118" s="129"/>
      <c r="AK118" s="119"/>
      <c r="AL118" s="115"/>
      <c r="AM118" s="119"/>
      <c r="AN118" s="119"/>
      <c r="AO118" s="692"/>
      <c r="AP118" s="692"/>
      <c r="AQ118" s="692"/>
      <c r="AR118" s="692"/>
      <c r="AS118" s="692"/>
      <c r="AT118" s="691">
        <f>CE118</f>
        <v/>
      </c>
      <c r="AU118" s="691">
        <f>CF118</f>
        <v/>
      </c>
      <c r="AV118" s="813"/>
      <c r="AW118" s="813"/>
      <c r="AX118" s="197">
        <f>CZ118</f>
        <v/>
      </c>
      <c r="AY118" s="197">
        <f>DE118</f>
        <v/>
      </c>
      <c r="AZ118" s="3379">
        <f>CO118</f>
        <v/>
      </c>
      <c r="BA118" s="3380"/>
      <c r="BB118" s="197">
        <f>CP118</f>
        <v/>
      </c>
      <c r="BC118" s="813"/>
      <c r="BD118" s="197">
        <f>CR118</f>
        <v/>
      </c>
      <c r="BE118" s="121">
        <f>CS118</f>
        <v/>
      </c>
      <c r="BF118" s="122">
        <f>CT118*60</f>
        <v/>
      </c>
      <c r="BG118" s="121">
        <f>BE118</f>
        <v/>
      </c>
      <c r="BH118" s="122">
        <f>CU118*60</f>
        <v/>
      </c>
      <c r="BI118" s="122">
        <f>CV118</f>
        <v/>
      </c>
      <c r="BJ118" s="117"/>
      <c r="BK118" s="812">
        <f>Overview!$E$7</f>
        <v/>
      </c>
      <c r="BL118" s="117"/>
      <c r="BM118" s="836">
        <f>CW118</f>
        <v/>
      </c>
      <c r="BN118" s="812">
        <f>Overview!$P$153</f>
        <v/>
      </c>
      <c r="BO118" s="117"/>
      <c r="BP118" s="117"/>
      <c r="BQ118" s="115"/>
      <c r="BR118" s="1478" t="inlineStr">
        <is>
          <t>N/A</t>
        </is>
      </c>
      <c r="BS118" s="1548"/>
      <c r="BT118" s="1783" t="inlineStr">
        <is>
          <t>GSM</t>
        </is>
      </c>
      <c r="BU118" s="1783">
        <v>900</v>
      </c>
      <c r="BV118" s="400">
        <f>Overview!$H$30</f>
        <v/>
      </c>
      <c r="BW118" s="2010"/>
      <c r="BX118" s="1783"/>
      <c r="BY118" s="2040"/>
      <c r="BZ118" s="2040"/>
      <c r="CA118" s="1997" t="inlineStr">
        <is>
          <t>Left Edge</t>
        </is>
      </c>
      <c r="CB118" s="200">
        <v>5</v>
      </c>
      <c r="CC118" s="1063">
        <f>'2G-3G'!BX21</f>
        <v>37</v>
      </c>
      <c r="CD118" s="1063">
        <f>'2G-3G'!BY21</f>
        <v>897.4</v>
      </c>
      <c r="CE118" s="1523"/>
      <c r="CF118" s="1523"/>
      <c r="CG118" s="387" t="str">
        <f>IF(OR($BY$3="",$BY$3=""),"",$BY$3)</f>
        <v/>
      </c>
      <c r="CH118" s="387">
        <f>BZ118</f>
        <v/>
      </c>
      <c r="CI118" s="387">
        <f>CA118</f>
        <v/>
      </c>
      <c r="CJ118" s="1527"/>
      <c r="CK118" s="2042"/>
      <c r="CL118" s="206">
        <f>IF(CF118=""," ",IF(ABS(CE118-CF118)&lt;=0.25,"Valid","Not valid"))</f>
        <v/>
      </c>
      <c r="CM118" s="207">
        <f> IF(CE118="","",IF(AND(CE118&lt;&gt;"",CF118=""),IF(CE118&gt;=2,"Medir+Sig Max","No"),IF(CF118&lt;&gt;"",IF(CF118&gt;=2,"Medir+Sig Max","No"),"")))</f>
        <v/>
      </c>
      <c r="CN118" s="1787"/>
      <c r="CO118" s="220">
        <f>IF(CK118="",IF(AND(CE118="",CF118=""),"",IF(CF118="",IF(DE118&gt;1,ROUND(DE118*CE118,3),CE118),IF(DE118&gt;1,ROUND(DE118*CF118,3),CF118))),IF(AND(CE118="",CF118=""),"",IF(CF118="",IF(DE118&gt;1,ROUND(DE118*CE118*(1/(CK118)),3),CE118*(1/(CK118))),IF(DE118&gt;1,ROUND(DE118*CF118*(1/(CK118)),3),CF118*(1/(CK118))))))</f>
        <v/>
      </c>
      <c r="CP118" s="2043">
        <f>$CP$34</f>
        <v/>
      </c>
      <c r="CQ118" s="1472">
        <f>IF(CO118="","",IF(CO118&gt;CP118,"Fail","Pass"))</f>
        <v/>
      </c>
      <c r="CR118" s="1481">
        <f>IF(AND(MAX(CO116:CO123)=CO118,CO118&lt;&gt;0),COUNT($CR$3:CR117)+1,"")</f>
        <v/>
      </c>
      <c r="CS118" s="1565">
        <f>MyTimestamp(CO118)</f>
        <v/>
      </c>
      <c r="CT118" s="1531">
        <f>IF(CE118="",0,15)+IF(CF118="",0,15)</f>
        <v/>
      </c>
      <c r="CU118" s="1532">
        <f>IF(CT118=0,0,2)</f>
        <v/>
      </c>
      <c r="CV118" s="859" t="inlineStr">
        <is>
          <t>S/02</t>
        </is>
      </c>
      <c r="CW118" s="859" t="inlineStr">
        <is>
          <t>Dasy6</t>
        </is>
      </c>
      <c r="CX118" s="2038"/>
      <c r="CY118" s="2044"/>
      <c r="CZ118" s="1543">
        <f>10^(CJ118/20)*100-100</f>
        <v/>
      </c>
      <c r="DA118" s="1319">
        <f>IF('Tune-Up'!$H$12="","",'Tune-Up'!$H$12)</f>
        <v/>
      </c>
      <c r="DB118" s="695">
        <f>'2G-3G'!BZ21</f>
        <v/>
      </c>
      <c r="DC118" s="797">
        <f>IF(DA118="","",10^(DA118/10))</f>
        <v/>
      </c>
      <c r="DD118" s="1363">
        <f>IF(ISNUMBER(DB118)=FALSE,"",10^(DB118/10))</f>
        <v/>
      </c>
      <c r="DE118" s="1543">
        <f>IF(AND(ISNUMBER(DC118),ISNUMBER(DD118)),IF(DC118/DD118&gt;1,ROUND((DC118)/DD118,3),1),1)</f>
        <v/>
      </c>
      <c r="DF118" s="1541"/>
      <c r="DG118" s="1541"/>
      <c r="DH118" s="1541"/>
      <c r="DI118" s="1541"/>
      <c r="DJ118" s="1541"/>
      <c r="DK118" s="1541"/>
      <c r="DL118" s="1541"/>
      <c r="DM118" s="1541"/>
      <c r="DN118" s="1541"/>
      <c r="DO118" s="1541"/>
      <c r="DP118" s="1541"/>
      <c r="DQ118" s="1541"/>
      <c r="DR118" s="1541"/>
    </row>
    <row r="119" ht="12.75" x14ac:dyDescent="0.2">
      <c r="A119" s="1541"/>
      <c r="B119" s="1541"/>
      <c r="C119"/>
      <c r="D119" s="130">
        <f>IF(BX$116="Close to Ear","EN 62209-1","EN 62209-2")</f>
        <v/>
      </c>
      <c r="E119" s="130">
        <f>IF(CG119="Close to Ear","2016","2010/A1:2019")</f>
        <v/>
      </c>
      <c r="F119" s="1488" t="inlineStr">
        <is>
          <t>5.1</t>
        </is>
      </c>
      <c r="G119" s="1497"/>
      <c r="H119" s="120">
        <f>BV119</f>
        <v/>
      </c>
      <c r="I119" s="120">
        <f>BW119</f>
        <v/>
      </c>
      <c r="J119" s="687" t="str">
        <f>BT119</f>
        <v>GSM</v>
      </c>
      <c r="K119" s="194">
        <f>BU119</f>
        <v>900</v>
      </c>
      <c r="L119" s="115"/>
      <c r="M119" s="120">
        <f>BZ119</f>
        <v>0</v>
      </c>
      <c r="N119" s="119"/>
      <c r="O119" s="131"/>
      <c r="P119" s="6597"/>
      <c r="Q119" s="131"/>
      <c r="R119" s="131"/>
      <c r="S119" s="120">
        <f>CG119</f>
        <v>0</v>
      </c>
      <c r="T119" s="120">
        <f>CC119</f>
        <v>37</v>
      </c>
      <c r="U119" s="120">
        <f>CD119</f>
        <v>897.4</v>
      </c>
      <c r="V119" s="119"/>
      <c r="W119" s="197">
        <f>CK119*100</f>
        <v/>
      </c>
      <c r="X119" s="119"/>
      <c r="Y119" s="119"/>
      <c r="Z119" s="119"/>
      <c r="AA119" s="115"/>
      <c r="AB119" s="115"/>
      <c r="AC119" s="689">
        <f>IF(OR(BX$116="Close to Ear",BX$116="Close to Head"),"Head",IF(BX$116="Extremity","Extremity","Body"))</f>
        <v/>
      </c>
      <c r="AD119" s="690">
        <f>CA119</f>
        <v/>
      </c>
      <c r="AE119" s="688">
        <f>CB119</f>
        <v/>
      </c>
      <c r="AF119" s="115"/>
      <c r="AG119" s="808">
        <f>IF(AZ119="","N/A",IF(CQ119="Pass","P","F"))</f>
        <v/>
      </c>
      <c r="AH119" s="129"/>
      <c r="AI119" s="129"/>
      <c r="AJ119" s="129"/>
      <c r="AK119" s="119"/>
      <c r="AL119" s="115"/>
      <c r="AM119" s="119"/>
      <c r="AN119" s="119"/>
      <c r="AO119" s="692"/>
      <c r="AP119" s="692"/>
      <c r="AQ119" s="692"/>
      <c r="AR119" s="692"/>
      <c r="AS119" s="692"/>
      <c r="AT119" s="691">
        <f>CE119</f>
        <v/>
      </c>
      <c r="AU119" s="691">
        <f>CF119</f>
        <v/>
      </c>
      <c r="AV119" s="813"/>
      <c r="AW119" s="813"/>
      <c r="AX119" s="197">
        <f>CZ119</f>
        <v/>
      </c>
      <c r="AY119" s="197">
        <f>DE119</f>
        <v/>
      </c>
      <c r="AZ119" s="3379">
        <f>CO119</f>
        <v/>
      </c>
      <c r="BA119" s="3380"/>
      <c r="BB119" s="197">
        <f>CP119</f>
        <v/>
      </c>
      <c r="BC119" s="813"/>
      <c r="BD119" s="197">
        <f>CR119</f>
        <v/>
      </c>
      <c r="BE119" s="121">
        <f>CS119</f>
        <v/>
      </c>
      <c r="BF119" s="122">
        <f>CT119*60</f>
        <v/>
      </c>
      <c r="BG119" s="121">
        <f>BE119</f>
        <v/>
      </c>
      <c r="BH119" s="122">
        <f>CU119*60</f>
        <v/>
      </c>
      <c r="BI119" s="122">
        <f>CV119</f>
        <v/>
      </c>
      <c r="BJ119" s="117"/>
      <c r="BK119" s="812">
        <f>Overview!$E$7</f>
        <v/>
      </c>
      <c r="BL119" s="117"/>
      <c r="BM119" s="836">
        <f>CW119</f>
        <v/>
      </c>
      <c r="BN119" s="812">
        <f>Overview!$P$153</f>
        <v/>
      </c>
      <c r="BO119" s="117"/>
      <c r="BP119" s="117"/>
      <c r="BQ119" s="115"/>
      <c r="BR119" s="1478" t="inlineStr">
        <is>
          <t>N/A</t>
        </is>
      </c>
      <c r="BS119" s="1548"/>
      <c r="BT119" s="1791" t="inlineStr">
        <is>
          <t>GSM</t>
        </is>
      </c>
      <c r="BU119" s="1791">
        <v>900</v>
      </c>
      <c r="BV119" s="403">
        <f>Overview!$H$30</f>
        <v/>
      </c>
      <c r="BW119" s="2010"/>
      <c r="BX119" s="1791"/>
      <c r="BY119" s="2040"/>
      <c r="BZ119" s="2040"/>
      <c r="CA119" s="1997" t="inlineStr">
        <is>
          <t>Right Edge</t>
        </is>
      </c>
      <c r="CB119" s="200">
        <v>5</v>
      </c>
      <c r="CC119" s="1063">
        <f>'2G-3G'!BX21</f>
        <v>37</v>
      </c>
      <c r="CD119" s="1063">
        <f>'2G-3G'!BY21</f>
        <v>897.4</v>
      </c>
      <c r="CE119" s="1523"/>
      <c r="CF119" s="1523"/>
      <c r="CG119" s="387" t="str">
        <f>IF(OR($BY$3="",$BY$3=""),"",$BY$3)</f>
        <v/>
      </c>
      <c r="CH119" s="387">
        <f>BZ119</f>
        <v/>
      </c>
      <c r="CI119" s="387">
        <f>CA119</f>
        <v/>
      </c>
      <c r="CJ119" s="1527"/>
      <c r="CK119" s="2042"/>
      <c r="CL119" s="206">
        <f>IF(CF119=""," ",IF(ABS(CE119-CF119)&lt;=0.25,"Valid","Not valid"))</f>
        <v/>
      </c>
      <c r="CM119" s="207">
        <f> IF(CE119="","",IF(AND(CE119&lt;&gt;"",CF119=""),IF(CE119&gt;=2,"Medir+Sig Max","No"),IF(CF119&lt;&gt;"",IF(CF119&gt;=2,"Medir+Sig Max","No"),"")))</f>
        <v/>
      </c>
      <c r="CN119" s="1787"/>
      <c r="CO119" s="220">
        <f>IF(CK119="",IF(AND(CE119="",CF119=""),"",IF(CF119="",IF(DE119&gt;1,ROUND(DE119*CE119,3),CE119),IF(DE119&gt;1,ROUND(DE119*CF119,3),CF119))),IF(AND(CE119="",CF119=""),"",IF(CF119="",IF(DE119&gt;1,ROUND(DE119*CE119*(1/(CK119)),3),CE119*(1/(CK119))),IF(DE119&gt;1,ROUND(DE119*CF119*(1/(CK119)),3),CF119*(1/(CK119))))))</f>
        <v/>
      </c>
      <c r="CP119" s="2043">
        <f>$CP$34</f>
        <v/>
      </c>
      <c r="CQ119" s="1472">
        <f>IF(CO119="","",IF(CO119&gt;CP119,"Fail","Pass"))</f>
        <v/>
      </c>
      <c r="CR119" s="1481">
        <f>IF(AND(MAX(CO116:CO123)=CO119,CO119&lt;&gt;0),COUNT($CR$3:CR118)+1,"")</f>
        <v/>
      </c>
      <c r="CS119" s="1565">
        <f>MyTimestamp(CO119)</f>
        <v/>
      </c>
      <c r="CT119" s="1531">
        <f>IF(CE119="",0,15)+IF(CF119="",0,15)</f>
        <v/>
      </c>
      <c r="CU119" s="1532">
        <f>IF(CT119=0,0,2)</f>
        <v/>
      </c>
      <c r="CV119" s="859" t="inlineStr">
        <is>
          <t>S/02</t>
        </is>
      </c>
      <c r="CW119" s="859" t="inlineStr">
        <is>
          <t>Dasy6</t>
        </is>
      </c>
      <c r="CX119" s="2038"/>
      <c r="CY119" s="2044"/>
      <c r="CZ119" s="1543">
        <f>10^(CJ119/20)*100-100</f>
        <v/>
      </c>
      <c r="DA119" s="1319">
        <f>IF('Tune-Up'!$H$12="","",'Tune-Up'!$H$12)</f>
        <v/>
      </c>
      <c r="DB119" s="695">
        <f>'2G-3G'!BZ21</f>
        <v/>
      </c>
      <c r="DC119" s="797">
        <f>IF(DA119="","",10^(DA119/10))</f>
        <v/>
      </c>
      <c r="DD119" s="1363">
        <f>IF(ISNUMBER(DB119)=FALSE,"",10^(DB119/10))</f>
        <v/>
      </c>
      <c r="DE119" s="1543">
        <f>IF(AND(ISNUMBER(DC119),ISNUMBER(DD119)),IF(DC119/DD119&gt;1,ROUND((DC119)/DD119,3),1),1)</f>
        <v/>
      </c>
      <c r="DF119" s="1541"/>
      <c r="DG119" s="1541"/>
      <c r="DH119" s="1541"/>
      <c r="DI119" s="1541"/>
      <c r="DJ119" s="1541"/>
      <c r="DK119" s="1541"/>
      <c r="DL119" s="1541"/>
      <c r="DM119" s="1541"/>
      <c r="DN119" s="1541"/>
      <c r="DO119" s="1541"/>
      <c r="DP119" s="1541"/>
      <c r="DQ119" s="1541"/>
      <c r="DR119" s="1541"/>
    </row>
    <row r="120" ht="12.75" x14ac:dyDescent="0.2">
      <c r="A120" s="1541"/>
      <c r="B120" s="1541"/>
      <c r="C120"/>
      <c r="D120" s="130">
        <f>IF(BX$116="Close to Ear","EN 62209-1","EN 62209-2")</f>
        <v/>
      </c>
      <c r="E120" s="130">
        <f>IF(CG120="Close to Ear","2016","2010/A1:2019")</f>
        <v/>
      </c>
      <c r="F120" s="1488" t="inlineStr">
        <is>
          <t>5.1</t>
        </is>
      </c>
      <c r="G120" s="1497"/>
      <c r="H120" s="120">
        <f>BV120</f>
        <v/>
      </c>
      <c r="I120" s="120">
        <f>BW120</f>
        <v/>
      </c>
      <c r="J120" s="687" t="str">
        <f>BT120</f>
        <v>GSM</v>
      </c>
      <c r="K120" s="194">
        <f>BU120</f>
        <v>900</v>
      </c>
      <c r="L120" s="115"/>
      <c r="M120" s="120">
        <f>BZ120</f>
        <v>0</v>
      </c>
      <c r="N120" s="119"/>
      <c r="O120" s="131"/>
      <c r="P120" s="6597"/>
      <c r="Q120" s="131"/>
      <c r="R120" s="131"/>
      <c r="S120" s="120">
        <f>CG120</f>
        <v>0</v>
      </c>
      <c r="T120" s="120">
        <f>CC120</f>
        <v>37</v>
      </c>
      <c r="U120" s="120">
        <f>CD120</f>
        <v>897.4</v>
      </c>
      <c r="V120" s="119"/>
      <c r="W120" s="197">
        <f>CK120*100</f>
        <v/>
      </c>
      <c r="X120" s="119"/>
      <c r="Y120" s="119"/>
      <c r="Z120" s="119"/>
      <c r="AA120" s="115"/>
      <c r="AB120" s="115"/>
      <c r="AC120" s="689">
        <f>IF(OR(BX$116="Close to Ear",BX$116="Close to Head"),"Head",IF(BX$116="Extremity","Extremity","Body"))</f>
        <v/>
      </c>
      <c r="AD120" s="690">
        <f>CA120</f>
        <v/>
      </c>
      <c r="AE120" s="688">
        <f>CB120</f>
        <v/>
      </c>
      <c r="AF120" s="115"/>
      <c r="AG120" s="808">
        <f>IF(AZ120="","N/A",IF(CQ120="Pass","P","F"))</f>
        <v/>
      </c>
      <c r="AH120" s="129"/>
      <c r="AI120" s="129"/>
      <c r="AJ120" s="129"/>
      <c r="AK120" s="119"/>
      <c r="AL120" s="115"/>
      <c r="AM120" s="119"/>
      <c r="AN120" s="119"/>
      <c r="AO120" s="692"/>
      <c r="AP120" s="692"/>
      <c r="AQ120" s="692"/>
      <c r="AR120" s="692"/>
      <c r="AS120" s="692"/>
      <c r="AT120" s="691">
        <f>CE120</f>
        <v/>
      </c>
      <c r="AU120" s="691">
        <f>CF120</f>
        <v/>
      </c>
      <c r="AV120" s="813"/>
      <c r="AW120" s="813"/>
      <c r="AX120" s="197">
        <f>CZ120</f>
        <v/>
      </c>
      <c r="AY120" s="197">
        <f>DE120</f>
        <v/>
      </c>
      <c r="AZ120" s="3379">
        <f>CO120</f>
        <v/>
      </c>
      <c r="BA120" s="3380"/>
      <c r="BB120" s="197">
        <f>CP120</f>
        <v/>
      </c>
      <c r="BC120" s="813"/>
      <c r="BD120" s="197">
        <f>CR120</f>
        <v/>
      </c>
      <c r="BE120" s="121">
        <f>CS120</f>
        <v/>
      </c>
      <c r="BF120" s="122">
        <f>CT120*60</f>
        <v/>
      </c>
      <c r="BG120" s="121">
        <f>BE120</f>
        <v/>
      </c>
      <c r="BH120" s="122">
        <f>CU120*60</f>
        <v/>
      </c>
      <c r="BI120" s="122">
        <f>CV120</f>
        <v/>
      </c>
      <c r="BJ120" s="117"/>
      <c r="BK120" s="812">
        <f>Overview!$E$7</f>
        <v/>
      </c>
      <c r="BL120" s="117"/>
      <c r="BM120" s="836">
        <f>CW120</f>
        <v/>
      </c>
      <c r="BN120" s="812">
        <f>Overview!$P$153</f>
        <v/>
      </c>
      <c r="BO120" s="117"/>
      <c r="BP120" s="117"/>
      <c r="BQ120" s="115"/>
      <c r="BR120" s="1478" t="inlineStr">
        <is>
          <t>N/A</t>
        </is>
      </c>
      <c r="BS120" s="1548"/>
      <c r="BT120" s="1783" t="inlineStr">
        <is>
          <t>GSM</t>
        </is>
      </c>
      <c r="BU120" s="1783">
        <v>900</v>
      </c>
      <c r="BV120" s="400">
        <f>Overview!$H$30</f>
        <v/>
      </c>
      <c r="BW120" s="2010"/>
      <c r="BX120" s="1783"/>
      <c r="BY120" s="2040"/>
      <c r="BZ120" s="2040"/>
      <c r="CA120" s="1997" t="inlineStr">
        <is>
          <t>Top Edge</t>
        </is>
      </c>
      <c r="CB120" s="200">
        <v>5</v>
      </c>
      <c r="CC120" s="1063">
        <f>'2G-3G'!BX21</f>
        <v>37</v>
      </c>
      <c r="CD120" s="1063">
        <f>'2G-3G'!BY21</f>
        <v>897.4</v>
      </c>
      <c r="CE120" s="1523"/>
      <c r="CF120" s="1523"/>
      <c r="CG120" s="387" t="str">
        <f>IF(OR($BY$3="",$BY$3=""),"",$BY$3)</f>
        <v/>
      </c>
      <c r="CH120" s="387">
        <f>BZ120</f>
        <v/>
      </c>
      <c r="CI120" s="387">
        <f>CA120</f>
        <v/>
      </c>
      <c r="CJ120" s="1527"/>
      <c r="CK120" s="2042"/>
      <c r="CL120" s="206">
        <f>IF(CF120=""," ",IF(ABS(CE120-CF120)&lt;=0.25,"Valid","Not valid"))</f>
        <v/>
      </c>
      <c r="CM120" s="207">
        <f> IF(CE120="","",IF(AND(CE120&lt;&gt;"",CF120=""),IF(CE120&gt;=2,"Medir+Sig Max","No"),IF(CF120&lt;&gt;"",IF(CF120&gt;=2,"Medir+Sig Max","No"),"")))</f>
        <v/>
      </c>
      <c r="CN120" s="1787"/>
      <c r="CO120" s="220">
        <f>IF(CK120="",IF(AND(CE120="",CF120=""),"",IF(CF120="",IF(DE120&gt;1,ROUND(DE120*CE120,3),CE120),IF(DE120&gt;1,ROUND(DE120*CF120,3),CF120))),IF(AND(CE120="",CF120=""),"",IF(CF120="",IF(DE120&gt;1,ROUND(DE120*CE120*(1/(CK120)),3),CE120*(1/(CK120))),IF(DE120&gt;1,ROUND(DE120*CF120*(1/(CK120)),3),CF120*(1/(CK120))))))</f>
        <v/>
      </c>
      <c r="CP120" s="2043">
        <f>$CP$34</f>
        <v/>
      </c>
      <c r="CQ120" s="1472">
        <f>IF(CO120="","",IF(CO120&gt;CP120,"Fail","Pass"))</f>
        <v/>
      </c>
      <c r="CR120" s="1481">
        <f>IF(AND(MAX(CO116:CO123)=CO120,CO120&lt;&gt;0),COUNT($CR$3:CR119)+1,"")</f>
        <v/>
      </c>
      <c r="CS120" s="1565">
        <f>MyTimestamp(CO120)</f>
        <v/>
      </c>
      <c r="CT120" s="1531">
        <f>IF(CE120="",0,15)+IF(CF120="",0,15)</f>
        <v/>
      </c>
      <c r="CU120" s="1532">
        <f>IF(CT120=0,0,2)</f>
        <v/>
      </c>
      <c r="CV120" s="859" t="inlineStr">
        <is>
          <t>S/02</t>
        </is>
      </c>
      <c r="CW120" s="859" t="inlineStr">
        <is>
          <t>Dasy6</t>
        </is>
      </c>
      <c r="CX120" s="2038"/>
      <c r="CY120" s="2044"/>
      <c r="CZ120" s="1543">
        <f>10^(CJ120/20)*100-100</f>
        <v/>
      </c>
      <c r="DA120" s="1319">
        <f>IF('Tune-Up'!$H$12="","",'Tune-Up'!$H$12)</f>
        <v/>
      </c>
      <c r="DB120" s="695">
        <f>'2G-3G'!BZ21</f>
        <v/>
      </c>
      <c r="DC120" s="797">
        <f>IF(DA120="","",10^(DA120/10))</f>
        <v/>
      </c>
      <c r="DD120" s="1363">
        <f>IF(ISNUMBER(DB120)=FALSE,"",10^(DB120/10))</f>
        <v/>
      </c>
      <c r="DE120" s="1543">
        <f>IF(AND(ISNUMBER(DC120),ISNUMBER(DD120)),IF(DC120/DD120&gt;1,ROUND((DC120)/DD120,3),1),1)</f>
        <v/>
      </c>
      <c r="DF120" s="1541"/>
      <c r="DG120" s="1541"/>
      <c r="DH120" s="1541"/>
      <c r="DI120" s="1541"/>
      <c r="DJ120" s="1541"/>
      <c r="DK120" s="1541"/>
      <c r="DL120" s="1541"/>
      <c r="DM120" s="1541"/>
      <c r="DN120" s="1541"/>
      <c r="DO120" s="1541"/>
      <c r="DP120" s="1541"/>
      <c r="DQ120" s="1541"/>
      <c r="DR120" s="1541"/>
    </row>
    <row r="121" ht="12.75" x14ac:dyDescent="0.2">
      <c r="A121" s="1541"/>
      <c r="B121" s="1541"/>
      <c r="C121"/>
      <c r="D121" s="130">
        <f>IF(BX$116="Close to Ear","EN 62209-1","EN 62209-2")</f>
        <v/>
      </c>
      <c r="E121" s="130">
        <f>IF(CG121="Close to Ear","2016","2010/A1:2019")</f>
        <v/>
      </c>
      <c r="F121" s="1488" t="inlineStr">
        <is>
          <t>5.1</t>
        </is>
      </c>
      <c r="G121" s="1497"/>
      <c r="H121" s="120">
        <f>BV121</f>
        <v/>
      </c>
      <c r="I121" s="120">
        <f>BW121</f>
        <v/>
      </c>
      <c r="J121" s="687" t="str">
        <f>BT121</f>
        <v>GSM</v>
      </c>
      <c r="K121" s="194">
        <f>BU121</f>
        <v>900</v>
      </c>
      <c r="L121" s="115"/>
      <c r="M121" s="120">
        <f>BZ121</f>
        <v>0</v>
      </c>
      <c r="N121" s="119"/>
      <c r="O121" s="131"/>
      <c r="P121" s="6597"/>
      <c r="Q121" s="131"/>
      <c r="R121" s="131"/>
      <c r="S121" s="120">
        <f>CG121</f>
        <v>0</v>
      </c>
      <c r="T121" s="120">
        <f>CC121</f>
        <v>37</v>
      </c>
      <c r="U121" s="120">
        <f>CD121</f>
        <v>897.4</v>
      </c>
      <c r="V121" s="119"/>
      <c r="W121" s="197">
        <f>CK121*100</f>
        <v/>
      </c>
      <c r="X121" s="119"/>
      <c r="Y121" s="119"/>
      <c r="Z121" s="119"/>
      <c r="AA121" s="115"/>
      <c r="AB121" s="115"/>
      <c r="AC121" s="689">
        <f>IF(OR(BX$116="Close to Ear",BX$116="Close to Head"),"Head",IF(BX$116="Extremity","Extremity","Body"))</f>
        <v/>
      </c>
      <c r="AD121" s="690">
        <f>CA121</f>
        <v/>
      </c>
      <c r="AE121" s="688">
        <f>CB121</f>
        <v/>
      </c>
      <c r="AF121" s="115"/>
      <c r="AG121" s="808">
        <f>IF(AZ121="","N/A",IF(CQ121="Pass","P","F"))</f>
        <v/>
      </c>
      <c r="AH121" s="129"/>
      <c r="AI121" s="129"/>
      <c r="AJ121" s="129"/>
      <c r="AK121" s="119"/>
      <c r="AL121" s="115"/>
      <c r="AM121" s="119"/>
      <c r="AN121" s="119"/>
      <c r="AO121" s="692"/>
      <c r="AP121" s="692"/>
      <c r="AQ121" s="692"/>
      <c r="AR121" s="692"/>
      <c r="AS121" s="692"/>
      <c r="AT121" s="691">
        <f>CE121</f>
        <v/>
      </c>
      <c r="AU121" s="691">
        <f>CF121</f>
        <v/>
      </c>
      <c r="AV121" s="813"/>
      <c r="AW121" s="813"/>
      <c r="AX121" s="197">
        <f>CZ121</f>
        <v/>
      </c>
      <c r="AY121" s="197">
        <f>DE121</f>
        <v/>
      </c>
      <c r="AZ121" s="3379">
        <f>CO121</f>
        <v/>
      </c>
      <c r="BA121" s="3380"/>
      <c r="BB121" s="197">
        <f>CP121</f>
        <v/>
      </c>
      <c r="BC121" s="813"/>
      <c r="BD121" s="197">
        <f>CR121</f>
        <v/>
      </c>
      <c r="BE121" s="121">
        <f>CS121</f>
        <v/>
      </c>
      <c r="BF121" s="122">
        <f>CT121*60</f>
        <v/>
      </c>
      <c r="BG121" s="121">
        <f>BE121</f>
        <v/>
      </c>
      <c r="BH121" s="122">
        <f>CU121*60</f>
        <v/>
      </c>
      <c r="BI121" s="122">
        <f>CV121</f>
        <v/>
      </c>
      <c r="BJ121" s="117"/>
      <c r="BK121" s="812">
        <f>Overview!$E$7</f>
        <v/>
      </c>
      <c r="BL121" s="117"/>
      <c r="BM121" s="836">
        <f>CW121</f>
        <v/>
      </c>
      <c r="BN121" s="812">
        <f>Overview!$P$153</f>
        <v/>
      </c>
      <c r="BO121" s="117"/>
      <c r="BP121" s="117"/>
      <c r="BQ121" s="115"/>
      <c r="BR121" s="1478" t="inlineStr">
        <is>
          <t>N/A</t>
        </is>
      </c>
      <c r="BS121" s="1548"/>
      <c r="BT121" s="1783" t="inlineStr">
        <is>
          <t>GSM</t>
        </is>
      </c>
      <c r="BU121" s="1783">
        <v>900</v>
      </c>
      <c r="BV121" s="400">
        <f>Overview!$H$30</f>
        <v/>
      </c>
      <c r="BW121" s="2010"/>
      <c r="BX121" s="1783"/>
      <c r="BY121" s="2040"/>
      <c r="BZ121" s="2040"/>
      <c r="CA121" s="1997" t="inlineStr">
        <is>
          <t>Bottom Edge</t>
        </is>
      </c>
      <c r="CB121" s="200">
        <v>5</v>
      </c>
      <c r="CC121" s="1063">
        <f>'2G-3G'!BX21</f>
        <v>37</v>
      </c>
      <c r="CD121" s="1063">
        <f>'2G-3G'!BY21</f>
        <v>897.4</v>
      </c>
      <c r="CE121" s="1523"/>
      <c r="CF121" s="1523"/>
      <c r="CG121" s="387" t="str">
        <f>IF(OR($BY$3="",$BY$3=""),"",$BY$3)</f>
        <v/>
      </c>
      <c r="CH121" s="387">
        <f>BZ121</f>
        <v/>
      </c>
      <c r="CI121" s="387">
        <f>CA121</f>
        <v/>
      </c>
      <c r="CJ121" s="1527"/>
      <c r="CK121" s="2042"/>
      <c r="CL121" s="206">
        <f>IF(CF121=""," ",IF(ABS(CE121-CF121)&lt;=0.25,"Valid","Not valid"))</f>
        <v/>
      </c>
      <c r="CM121" s="207">
        <f> IF(CE121="","",IF(AND(CE121&lt;&gt;"",CF121=""),IF(CE121&gt;=2,"Medir+Sig Max","No"),IF(CF121&lt;&gt;"",IF(CF121&gt;=2,"Medir+Sig Max","No"),"")))</f>
        <v/>
      </c>
      <c r="CN121" s="1787"/>
      <c r="CO121" s="220">
        <f>IF(CK121="",IF(AND(CE121="",CF121=""),"",IF(CF121="",IF(DE121&gt;1,ROUND(DE121*CE121,3),CE121),IF(DE121&gt;1,ROUND(DE121*CF121,3),CF121))),IF(AND(CE121="",CF121=""),"",IF(CF121="",IF(DE121&gt;1,ROUND(DE121*CE121*(1/(CK121)),3),CE121*(1/(CK121))),IF(DE121&gt;1,ROUND(DE121*CF121*(1/(CK121)),3),CF121*(1/(CK121))))))</f>
        <v/>
      </c>
      <c r="CP121" s="2043">
        <f>$CP$34</f>
        <v/>
      </c>
      <c r="CQ121" s="1472">
        <f>IF(CO121="","",IF(CO121&gt;CP121,"Fail","Pass"))</f>
        <v/>
      </c>
      <c r="CR121" s="1481">
        <f>IF(AND(MAX(CO116:CO123)=CO121,CO121&lt;&gt;0),COUNT($CR$3:CR120)+1,"")</f>
        <v/>
      </c>
      <c r="CS121" s="1565">
        <f>MyTimestamp(CO121)</f>
        <v/>
      </c>
      <c r="CT121" s="1531">
        <f>IF(CE121="",0,15)+IF(CF121="",0,15)</f>
        <v/>
      </c>
      <c r="CU121" s="1532">
        <f>IF(CT121=0,0,2)</f>
        <v/>
      </c>
      <c r="CV121" s="859" t="inlineStr">
        <is>
          <t>S/02</t>
        </is>
      </c>
      <c r="CW121" s="859" t="inlineStr">
        <is>
          <t>Dasy6</t>
        </is>
      </c>
      <c r="CX121" s="2038"/>
      <c r="CY121" s="2044"/>
      <c r="CZ121" s="1543">
        <f>10^(CJ121/20)*100-100</f>
        <v/>
      </c>
      <c r="DA121" s="1319">
        <f>IF('Tune-Up'!$H$12="","",'Tune-Up'!$H$12)</f>
        <v/>
      </c>
      <c r="DB121" s="695">
        <f>'2G-3G'!BZ21</f>
        <v/>
      </c>
      <c r="DC121" s="797">
        <f>IF(DA121="","",10^(DA121/10))</f>
        <v/>
      </c>
      <c r="DD121" s="1363">
        <f>IF(ISNUMBER(DB121)=FALSE,"",10^(DB121/10))</f>
        <v/>
      </c>
      <c r="DE121" s="1543">
        <f>IF(AND(ISNUMBER(DC121),ISNUMBER(DD121)),IF(DC121/DD121&gt;1,ROUND((DC121)/DD121,3),1),1)</f>
        <v/>
      </c>
      <c r="DF121" s="1541"/>
      <c r="DG121" s="1541"/>
      <c r="DH121" s="1541"/>
      <c r="DI121" s="1541"/>
      <c r="DJ121" s="1541"/>
      <c r="DK121" s="1541"/>
      <c r="DL121" s="1541"/>
      <c r="DM121" s="1541"/>
      <c r="DN121" s="1541"/>
      <c r="DO121" s="1541"/>
      <c r="DP121" s="1541"/>
      <c r="DQ121" s="1541"/>
      <c r="DR121" s="1541"/>
    </row>
    <row r="122" ht="12.75" x14ac:dyDescent="0.2">
      <c r="A122" s="1541"/>
      <c r="B122" s="1541"/>
      <c r="C122"/>
      <c r="D122" s="130">
        <f>IF(BX$116="Close to Ear","EN 62209-1","EN 62209-2")</f>
        <v/>
      </c>
      <c r="E122" s="130">
        <f>IF(CG122="Close to Ear","2016","2010/A1:2019")</f>
        <v/>
      </c>
      <c r="F122" s="1488" t="inlineStr">
        <is>
          <t>5.1</t>
        </is>
      </c>
      <c r="G122" s="1497"/>
      <c r="H122" s="120">
        <f>BV122</f>
        <v/>
      </c>
      <c r="I122" s="120">
        <f>BW122</f>
        <v/>
      </c>
      <c r="J122" s="687" t="str">
        <f>BT122</f>
        <v>GSM</v>
      </c>
      <c r="K122" s="194">
        <f>BU122</f>
        <v>900</v>
      </c>
      <c r="L122" s="115"/>
      <c r="M122" s="120">
        <f>BZ122</f>
        <v>0</v>
      </c>
      <c r="N122" s="119"/>
      <c r="O122" s="131"/>
      <c r="P122" s="6597"/>
      <c r="Q122" s="131"/>
      <c r="R122" s="131"/>
      <c r="S122" s="120">
        <f>CG122</f>
        <v>0</v>
      </c>
      <c r="T122" s="120">
        <f>CC122</f>
        <v>975</v>
      </c>
      <c r="U122" s="120">
        <f>CD122</f>
        <v>880.2</v>
      </c>
      <c r="V122" s="119"/>
      <c r="W122" s="197">
        <f>CK122*100</f>
        <v/>
      </c>
      <c r="X122" s="119"/>
      <c r="Y122" s="119"/>
      <c r="Z122" s="119"/>
      <c r="AA122" s="115"/>
      <c r="AB122" s="115"/>
      <c r="AC122" s="689">
        <f>IF(OR(BX$116="Close to Ear",BX$116="Close to Head"),"Head",IF(BX$116="Extremity","Extremity","Body"))</f>
        <v/>
      </c>
      <c r="AD122" s="690">
        <f>CA122</f>
        <v/>
      </c>
      <c r="AE122" s="688">
        <f>CB122</f>
        <v/>
      </c>
      <c r="AF122" s="115"/>
      <c r="AG122" s="808">
        <f>IF(AZ122="","N/A",IF(CQ122="Pass","P","F"))</f>
        <v/>
      </c>
      <c r="AH122" s="129"/>
      <c r="AI122" s="129"/>
      <c r="AJ122" s="129"/>
      <c r="AK122" s="119"/>
      <c r="AL122" s="115"/>
      <c r="AM122" s="119"/>
      <c r="AN122" s="119"/>
      <c r="AO122" s="692"/>
      <c r="AP122" s="692"/>
      <c r="AQ122" s="692"/>
      <c r="AR122" s="692"/>
      <c r="AS122" s="692"/>
      <c r="AT122" s="691">
        <f>CE122</f>
        <v/>
      </c>
      <c r="AU122" s="691">
        <f>CF122</f>
        <v/>
      </c>
      <c r="AV122" s="813"/>
      <c r="AW122" s="813"/>
      <c r="AX122" s="197">
        <f>CZ122</f>
        <v/>
      </c>
      <c r="AY122" s="197">
        <f>DE122</f>
        <v/>
      </c>
      <c r="AZ122" s="3379">
        <f>CO122</f>
        <v/>
      </c>
      <c r="BA122" s="3380"/>
      <c r="BB122" s="197">
        <f>CP122</f>
        <v/>
      </c>
      <c r="BC122" s="813"/>
      <c r="BD122" s="197">
        <f>CR122</f>
        <v/>
      </c>
      <c r="BE122" s="121">
        <f>CS122</f>
        <v/>
      </c>
      <c r="BF122" s="122">
        <f>CT122*60</f>
        <v/>
      </c>
      <c r="BG122" s="121">
        <f>BE122</f>
        <v/>
      </c>
      <c r="BH122" s="122">
        <f>CU122*60</f>
        <v/>
      </c>
      <c r="BI122" s="122">
        <f>CV122</f>
        <v/>
      </c>
      <c r="BJ122" s="117"/>
      <c r="BK122" s="812">
        <f>Overview!$E$7</f>
        <v/>
      </c>
      <c r="BL122" s="117"/>
      <c r="BM122" s="836">
        <f>CW122</f>
        <v/>
      </c>
      <c r="BN122" s="812">
        <f>Overview!$P$153</f>
        <v/>
      </c>
      <c r="BO122" s="117"/>
      <c r="BP122" s="117"/>
      <c r="BQ122" s="115"/>
      <c r="BR122" s="1478" t="inlineStr">
        <is>
          <t>N/A</t>
        </is>
      </c>
      <c r="BS122" s="1548"/>
      <c r="BT122" s="1783" t="inlineStr">
        <is>
          <t>GSM</t>
        </is>
      </c>
      <c r="BU122" s="1783">
        <v>900</v>
      </c>
      <c r="BV122" s="400">
        <f>Overview!$H$30</f>
        <v/>
      </c>
      <c r="BW122" s="2010"/>
      <c r="BX122" s="1783"/>
      <c r="BY122" s="2040"/>
      <c r="BZ122" s="2040"/>
      <c r="CA122" s="401" t="str">
        <f>IF(COUNT(CF116:CF121)=0,IF(COUNT(CE116:CE121)=0,"TBD",VLOOKUP(MAX(CE116:CE121),CE116:CI121,5,FALSE)),VLOOKUP(MAX(CF116:CF121),CF116:CI121,4,FALSE))</f>
        <v>TBD</v>
      </c>
      <c r="CB122" s="200">
        <v>5</v>
      </c>
      <c r="CC122" s="1063">
        <f>'2G-3G'!BX22</f>
        <v>975</v>
      </c>
      <c r="CD122" s="1063">
        <f>'2G-3G'!BY22</f>
        <v>880.2</v>
      </c>
      <c r="CE122" s="1523"/>
      <c r="CF122" s="1523"/>
      <c r="CG122" s="387" t="str">
        <f>IF(OR($BY$3="",$BY$3=""),"",$BY$3)</f>
        <v/>
      </c>
      <c r="CH122" s="387">
        <f>BZ122</f>
        <v/>
      </c>
      <c r="CI122" s="387">
        <f>CA122</f>
        <v/>
      </c>
      <c r="CJ122" s="1527"/>
      <c r="CK122" s="2042"/>
      <c r="CL122" s="206">
        <f>IF(CF122=""," ",IF(ABS(CE122-CF122)&lt;=0.25,"Valid","Not valid"))</f>
        <v/>
      </c>
      <c r="CM122" s="207">
        <f> IF(CE122="","",IF(AND(CE122&lt;&gt;"",CF122=""),IF(CE122&gt;=2,"Medir+Sig Max","No"),IF(CF122&lt;&gt;"",IF(CF122&gt;=2,"Medir+Sig Max","No"),"")))</f>
        <v/>
      </c>
      <c r="CN122" s="1787"/>
      <c r="CO122" s="220">
        <f>IF(CK122="",IF(AND(CE122="",CF122=""),"",IF(CF122="",IF(DE122&gt;1,ROUND(DE122*CE122,3),CE122),IF(DE122&gt;1,ROUND(DE122*CF122,3),CF122))),IF(AND(CE122="",CF122=""),"",IF(CF122="",IF(DE122&gt;1,ROUND(DE122*CE122*(1/(CK122)),3),CE122*(1/(CK122))),IF(DE122&gt;1,ROUND(DE122*CF122*(1/(CK122)),3),CF122*(1/(CK122))))))</f>
        <v/>
      </c>
      <c r="CP122" s="2043">
        <f>$CP$34</f>
        <v/>
      </c>
      <c r="CQ122" s="1472">
        <f>IF(CO122="","",IF(CO122&gt;CP122,"Fail","Pass"))</f>
        <v/>
      </c>
      <c r="CR122" s="1481">
        <f>IF(AND(MAX(CO116:CO123)=CO122,CO122&lt;&gt;0),COUNT($CR$3:CR121)+1,"")</f>
        <v/>
      </c>
      <c r="CS122" s="1565">
        <f>MyTimestamp(CO122)</f>
        <v/>
      </c>
      <c r="CT122" s="1531">
        <f>IF(CE122="",0,15)+IF(CF122="",0,15)</f>
        <v/>
      </c>
      <c r="CU122" s="1532">
        <f>IF(CT122=0,0,2)</f>
        <v/>
      </c>
      <c r="CV122" s="859" t="inlineStr">
        <is>
          <t>S/02</t>
        </is>
      </c>
      <c r="CW122" s="859" t="inlineStr">
        <is>
          <t>Dasy6</t>
        </is>
      </c>
      <c r="CX122" s="2038"/>
      <c r="CY122" s="2044"/>
      <c r="CZ122" s="1543">
        <f>10^(CJ122/20)*100-100</f>
        <v/>
      </c>
      <c r="DA122" s="1319">
        <f>IF('Tune-Up'!$H$12="","",'Tune-Up'!$H$12)</f>
        <v/>
      </c>
      <c r="DB122" s="695">
        <f>'2G-3G'!BZ22</f>
        <v/>
      </c>
      <c r="DC122" s="797">
        <f>IF(DA122="","",10^(DA122/10))</f>
        <v/>
      </c>
      <c r="DD122" s="1363">
        <f>IF(ISNUMBER(DB122)=FALSE,"",10^(DB122/10))</f>
        <v/>
      </c>
      <c r="DE122" s="1543">
        <f>IF(AND(ISNUMBER(DC122),ISNUMBER(DD122)),IF(DC122/DD122&gt;1,ROUND((DC122)/DD122,3),1),1)</f>
        <v/>
      </c>
      <c r="DF122" s="1541"/>
      <c r="DG122" s="1541"/>
      <c r="DH122" s="1541"/>
      <c r="DI122" s="1541"/>
      <c r="DJ122" s="1541"/>
      <c r="DK122" s="1541"/>
      <c r="DL122" s="1541"/>
      <c r="DM122" s="1541"/>
      <c r="DN122" s="1541"/>
      <c r="DO122" s="1541"/>
      <c r="DP122" s="1541"/>
      <c r="DQ122" s="1541"/>
      <c r="DR122" s="1541"/>
    </row>
    <row r="123" ht="12.75" x14ac:dyDescent="0.2">
      <c r="A123" s="1541"/>
      <c r="B123" s="1541"/>
      <c r="C123"/>
      <c r="D123" s="130">
        <f>IF(BX$116="Close to Ear","EN 62209-1","EN 62209-2")</f>
        <v/>
      </c>
      <c r="E123" s="130">
        <f>IF(CG123="Close to Ear","2016","2010/A1:2019")</f>
        <v/>
      </c>
      <c r="F123" s="1488" t="inlineStr">
        <is>
          <t>5.1</t>
        </is>
      </c>
      <c r="G123" s="1497"/>
      <c r="H123" s="120">
        <f>BV123</f>
        <v/>
      </c>
      <c r="I123" s="120">
        <f>BW123</f>
        <v/>
      </c>
      <c r="J123" s="687" t="str">
        <f>BT123</f>
        <v>GSM</v>
      </c>
      <c r="K123" s="194">
        <f>BU123</f>
        <v>900</v>
      </c>
      <c r="L123" s="115"/>
      <c r="M123" s="120">
        <f>BZ123</f>
        <v>0</v>
      </c>
      <c r="N123" s="119"/>
      <c r="O123" s="131"/>
      <c r="P123" s="6597"/>
      <c r="Q123" s="131"/>
      <c r="R123" s="131"/>
      <c r="S123" s="120">
        <f>CG123</f>
        <v>0</v>
      </c>
      <c r="T123" s="120">
        <f>CC123</f>
        <v>124</v>
      </c>
      <c r="U123" s="120">
        <f>CD123</f>
        <v>914.8</v>
      </c>
      <c r="V123" s="119"/>
      <c r="W123" s="197">
        <f>CK123*100</f>
        <v/>
      </c>
      <c r="X123" s="119"/>
      <c r="Y123" s="119"/>
      <c r="Z123" s="119"/>
      <c r="AA123" s="115"/>
      <c r="AB123" s="115"/>
      <c r="AC123" s="689">
        <f>IF(OR(BX$116="Close to Ear",BX$116="Close to Head"),"Head",IF(BX$116="Extremity","Extremity","Body"))</f>
        <v/>
      </c>
      <c r="AD123" s="690">
        <f>CA123</f>
        <v/>
      </c>
      <c r="AE123" s="688">
        <f>CB123</f>
        <v/>
      </c>
      <c r="AF123" s="115"/>
      <c r="AG123" s="808">
        <f>IF(AZ123="","N/A",IF(CQ123="Pass","P","F"))</f>
        <v/>
      </c>
      <c r="AH123" s="129"/>
      <c r="AI123" s="129"/>
      <c r="AJ123" s="129"/>
      <c r="AK123" s="119"/>
      <c r="AL123" s="115"/>
      <c r="AM123" s="119"/>
      <c r="AN123" s="119"/>
      <c r="AO123" s="692"/>
      <c r="AP123" s="692"/>
      <c r="AQ123" s="692"/>
      <c r="AR123" s="692"/>
      <c r="AS123" s="692"/>
      <c r="AT123" s="691">
        <f>CE123</f>
        <v/>
      </c>
      <c r="AU123" s="691">
        <f>CF123</f>
        <v/>
      </c>
      <c r="AV123" s="813"/>
      <c r="AW123" s="813"/>
      <c r="AX123" s="197">
        <f>CZ123</f>
        <v/>
      </c>
      <c r="AY123" s="197">
        <f>DE123</f>
        <v/>
      </c>
      <c r="AZ123" s="3379">
        <f>CO123</f>
        <v/>
      </c>
      <c r="BA123" s="3380"/>
      <c r="BB123" s="197">
        <f>CP123</f>
        <v/>
      </c>
      <c r="BC123" s="813"/>
      <c r="BD123" s="197">
        <f>CR123</f>
        <v/>
      </c>
      <c r="BE123" s="121">
        <f>CS123</f>
        <v/>
      </c>
      <c r="BF123" s="122">
        <f>CT123*60</f>
        <v/>
      </c>
      <c r="BG123" s="121">
        <f>BE123</f>
        <v/>
      </c>
      <c r="BH123" s="122">
        <f>CU123*60</f>
        <v/>
      </c>
      <c r="BI123" s="122">
        <f>CV123</f>
        <v/>
      </c>
      <c r="BJ123" s="117"/>
      <c r="BK123" s="812">
        <f>Overview!$E$7</f>
        <v/>
      </c>
      <c r="BL123" s="117"/>
      <c r="BM123" s="836">
        <f>CW123</f>
        <v/>
      </c>
      <c r="BN123" s="812">
        <f>Overview!$P$153</f>
        <v/>
      </c>
      <c r="BO123" s="117"/>
      <c r="BP123" s="117"/>
      <c r="BQ123" s="115"/>
      <c r="BR123" s="1478" t="inlineStr">
        <is>
          <t>N/A</t>
        </is>
      </c>
      <c r="BS123" s="1548"/>
      <c r="BT123" s="1800" t="inlineStr">
        <is>
          <t>GSM</t>
        </is>
      </c>
      <c r="BU123" s="1800">
        <v>900</v>
      </c>
      <c r="BV123" s="406">
        <f>Overview!$H$30</f>
        <v/>
      </c>
      <c r="BW123" s="2016"/>
      <c r="BX123" s="1800"/>
      <c r="BY123" s="2057"/>
      <c r="BZ123" s="2040"/>
      <c r="CA123" s="404" t="str">
        <f>IF(COUNT(CF116:CF121)=0,IF(COUNT(CE116:CE121)=0,"TBD",VLOOKUP(MAX(CE116:CE121),CE116:CI121,5,FALSE)),VLOOKUP(MAX(CF116:CF121),CF116:CI121,4,FALSE))</f>
        <v>TBD</v>
      </c>
      <c r="CB123" s="201">
        <v>5</v>
      </c>
      <c r="CC123" s="1081">
        <f>'2G-3G'!BX23</f>
        <v>124</v>
      </c>
      <c r="CD123" s="1081">
        <f>'2G-3G'!BY23</f>
        <v>914.8</v>
      </c>
      <c r="CE123" s="1874"/>
      <c r="CF123" s="1874"/>
      <c r="CG123" s="388" t="str">
        <f>IF(OR($BY$3="",$BY$3=""),"",$BY$3)</f>
        <v/>
      </c>
      <c r="CH123" s="388">
        <f>BZ123</f>
        <v/>
      </c>
      <c r="CI123" s="388">
        <f>CA123</f>
        <v/>
      </c>
      <c r="CJ123" s="2046"/>
      <c r="CK123" s="2047"/>
      <c r="CL123" s="212">
        <f>IF(CF123=""," ",IF(ABS(CE123-CF123)&lt;=0.25,"Valid","Not valid"))</f>
        <v/>
      </c>
      <c r="CM123" s="213">
        <f> IF(CE123="","",IF(AND(CE123&lt;&gt;"",CF123=""),IF(CE123&gt;=2,"Medir+Sig Max","No"),IF(CF123&lt;&gt;"",IF(CF123&gt;=2,"Medir+Sig Max","No"),"")))</f>
        <v/>
      </c>
      <c r="CN123" s="1794"/>
      <c r="CO123" s="221">
        <f>IF(CK123="",IF(AND(CE123="",CF123=""),"",IF(CF123="",IF(DE123&gt;1,ROUND(DE123*CE123,3),CE123),IF(DE123&gt;1,ROUND(DE123*CF123,3),CF123))),IF(AND(CE123="",CF123=""),"",IF(CF123="",IF(DE123&gt;1,ROUND(DE123*CE123*(1/(CK123)),3),CE123*(1/(CK123))),IF(DE123&gt;1,ROUND(DE123*CF123*(1/(CK123)),3),CF123*(1/(CK123))))))</f>
        <v/>
      </c>
      <c r="CP123" s="2048">
        <f>$CP$34</f>
        <v/>
      </c>
      <c r="CQ123" s="1473">
        <f>IF(CO123="","",IF(CO123&gt;CP123,"Fail","Pass"))</f>
        <v/>
      </c>
      <c r="CR123" s="1482">
        <f>IF(AND(MAX(CO116:CO123)=CO123,CO123&lt;&gt;0),COUNT($CR$3:CR122)+1,"")</f>
        <v/>
      </c>
      <c r="CS123" s="1566">
        <f>MyTimestamp(CO123)</f>
        <v/>
      </c>
      <c r="CT123" s="1535">
        <f>IF(CE123="",0,15)+IF(CF123="",0,15)</f>
        <v/>
      </c>
      <c r="CU123" s="1536">
        <f>IF(CT123=0,0,2)</f>
        <v/>
      </c>
      <c r="CV123" s="861" t="inlineStr">
        <is>
          <t>S/02</t>
        </is>
      </c>
      <c r="CW123" s="861" t="inlineStr">
        <is>
          <t>Dasy6</t>
        </is>
      </c>
      <c r="CX123" s="2038"/>
      <c r="CY123" s="2050"/>
      <c r="CZ123" s="1545">
        <f>10^(CJ123/20)*100-100</f>
        <v/>
      </c>
      <c r="DA123" s="1320">
        <f>IF('Tune-Up'!$H$12="","",'Tune-Up'!$H$12)</f>
        <v/>
      </c>
      <c r="DB123" s="696">
        <f>'2G-3G'!BZ23</f>
        <v/>
      </c>
      <c r="DC123" s="798">
        <f>IF(DA123="","",10^(DA123/10))</f>
        <v/>
      </c>
      <c r="DD123" s="1364">
        <f>IF(ISNUMBER(DB123)=FALSE,"",10^(DB123/10))</f>
        <v/>
      </c>
      <c r="DE123" s="1545">
        <f>IF(AND(ISNUMBER(DC123),ISNUMBER(DD123)),IF(DC123/DD123&gt;1,ROUND((DC123)/DD123,3),1),1)</f>
        <v/>
      </c>
      <c r="DF123" s="1541"/>
      <c r="DG123" s="1541"/>
      <c r="DH123" s="1541"/>
      <c r="DI123" s="1541"/>
      <c r="DJ123" s="1541"/>
      <c r="DK123" s="1541"/>
      <c r="DL123" s="1541"/>
      <c r="DM123" s="1541"/>
      <c r="DN123" s="1541"/>
      <c r="DO123" s="1541"/>
      <c r="DP123" s="1541"/>
      <c r="DQ123" s="1541"/>
      <c r="DR123" s="1541"/>
    </row>
    <row r="124" ht="12.75" x14ac:dyDescent="0.2">
      <c r="A124" s="1541"/>
      <c r="B124" s="1541"/>
      <c r="C124"/>
      <c r="D124" s="130">
        <f>IF(BX$116="Close to Ear","EN 62209-1","EN 62209-2")</f>
        <v/>
      </c>
      <c r="E124" s="130">
        <f>IF(CG124="Close to Ear","2016","2010/A1:2019")</f>
        <v/>
      </c>
      <c r="F124" s="1488" t="inlineStr">
        <is>
          <t>5.1</t>
        </is>
      </c>
      <c r="G124" s="1497"/>
      <c r="H124" s="120">
        <f>BV124</f>
        <v/>
      </c>
      <c r="I124" s="120">
        <f>BW124</f>
        <v/>
      </c>
      <c r="J124" s="687">
        <f>BT124</f>
        <v/>
      </c>
      <c r="K124" s="194">
        <f>BU124</f>
        <v/>
      </c>
      <c r="L124" s="115"/>
      <c r="M124" s="120">
        <f>BZ124</f>
        <v/>
      </c>
      <c r="N124" s="119"/>
      <c r="O124" s="131"/>
      <c r="P124" s="6597"/>
      <c r="Q124" s="131"/>
      <c r="R124" s="131"/>
      <c r="S124" s="120">
        <f>CG124</f>
        <v/>
      </c>
      <c r="T124" s="120">
        <f>CC124</f>
        <v/>
      </c>
      <c r="U124" s="120">
        <f>CD124</f>
        <v/>
      </c>
      <c r="V124" s="119"/>
      <c r="W124" s="197">
        <f>CK124*100</f>
        <v/>
      </c>
      <c r="X124" s="119"/>
      <c r="Y124" s="119"/>
      <c r="Z124" s="119"/>
      <c r="AA124" s="115"/>
      <c r="AB124" s="115"/>
      <c r="AC124" s="689">
        <f>IF(OR(BX$116="Close to Ear",BX$116="Close to Head"),"Head",IF(BX$116="Extremity","Extremity","Body"))</f>
        <v/>
      </c>
      <c r="AD124" s="690">
        <f>CA124</f>
        <v/>
      </c>
      <c r="AE124" s="688">
        <f>CB124</f>
        <v/>
      </c>
      <c r="AF124" s="115"/>
      <c r="AG124" s="808">
        <f>IF(AZ124="","N/A",IF(CQ124="Pass","P","F"))</f>
        <v/>
      </c>
      <c r="AH124" s="129"/>
      <c r="AI124" s="129"/>
      <c r="AJ124" s="129"/>
      <c r="AK124" s="119"/>
      <c r="AL124" s="115"/>
      <c r="AM124" s="119"/>
      <c r="AN124" s="119"/>
      <c r="AO124" s="692"/>
      <c r="AP124" s="692"/>
      <c r="AQ124" s="692"/>
      <c r="AR124" s="692"/>
      <c r="AS124" s="692"/>
      <c r="AT124" s="691">
        <f>CE124</f>
        <v/>
      </c>
      <c r="AU124" s="691">
        <f>CF124</f>
        <v/>
      </c>
      <c r="AV124" s="813"/>
      <c r="AW124" s="813"/>
      <c r="AX124" s="197">
        <f>CZ124</f>
        <v/>
      </c>
      <c r="AY124" s="197">
        <f>DE124</f>
        <v/>
      </c>
      <c r="AZ124" s="3379">
        <f>CO124</f>
        <v/>
      </c>
      <c r="BA124" s="3380"/>
      <c r="BB124" s="197">
        <f>CP124</f>
        <v/>
      </c>
      <c r="BC124" s="813"/>
      <c r="BD124" s="197">
        <f>CR124</f>
        <v/>
      </c>
      <c r="BE124" s="121">
        <f>CS124</f>
        <v/>
      </c>
      <c r="BF124" s="122">
        <f>CT124*60</f>
        <v/>
      </c>
      <c r="BG124" s="121">
        <f>BE124</f>
        <v/>
      </c>
      <c r="BH124" s="122">
        <f>CU124*60</f>
        <v/>
      </c>
      <c r="BI124" s="122">
        <f>CV124</f>
        <v/>
      </c>
      <c r="BJ124" s="117"/>
      <c r="BK124" s="812">
        <f>Overview!$E$7</f>
        <v/>
      </c>
      <c r="BL124" s="117"/>
      <c r="BM124" s="836">
        <f>CW124</f>
        <v/>
      </c>
      <c r="BN124" s="812">
        <f>Overview!$P$153</f>
        <v/>
      </c>
      <c r="BO124" s="117"/>
      <c r="BP124" s="117"/>
      <c r="BQ124" s="115"/>
      <c r="BR124" s="1478" t="inlineStr">
        <is>
          <t>N/A</t>
        </is>
      </c>
      <c r="BS124" s="1548"/>
      <c r="BT124" s="1800" t="inlineStr">
        <is>
          <t>GSM</t>
        </is>
      </c>
      <c r="BU124" s="1800">
        <v>900</v>
      </c>
      <c r="BV124" s="406">
        <f>Overview!$H$30</f>
        <v/>
      </c>
      <c r="BW124" s="2016"/>
      <c r="BX124" s="1800"/>
      <c r="BY124" s="2057"/>
      <c r="BZ124" s="2040"/>
      <c r="CA124" s="404" t="str">
        <f>CONCATENATE(CA122," - Battery check 1")</f>
        <v>TBD - Battery check 1</v>
      </c>
      <c r="CB124" s="201">
        <v>5</v>
      </c>
      <c r="CC124" s="1081">
        <f>IF(COUNT($CO$116:$CO$123)=0,"N/A",INDEX($CC$116:$CC$123,MATCH(MAX($CO$116:$CO$123),$CO$116:$CO$123,0)))</f>
        <v/>
      </c>
      <c r="CD124" s="1081">
        <f>IF(COUNT($CO$116:$CO$123)=0,"N/A",INDEX($CD$116:$CD$123,MATCH(MAX($CO$116:$CO$123),$CO$116:$CO$123,0)))</f>
        <v/>
      </c>
      <c r="CE124" s="1874"/>
      <c r="CF124" s="1874"/>
      <c r="CG124" s="388" t="inlineStr">
        <is>
          <t>N/A</t>
        </is>
      </c>
      <c r="CH124" s="388">
        <f>BZ124</f>
        <v/>
      </c>
      <c r="CI124" s="388">
        <f>CA124</f>
        <v/>
      </c>
      <c r="CJ124" s="2046"/>
      <c r="CK124" s="2047"/>
      <c r="CL124" s="212">
        <f>IF(CF124=""," ",IF(ABS(CE124-CF124)&lt;=0.25,"Valid","Not valid"))</f>
        <v/>
      </c>
      <c r="CM124" s="213">
        <f> IF(CE124="","",IF(AND(CE124&lt;&gt;"",CF124=""),IF(CE124&gt;=2,"Medir+Sig Max","No"),IF(CF124&lt;&gt;"",IF(CF124&gt;=2,"Medir+Sig Max","No"),"")))</f>
        <v/>
      </c>
      <c r="CN124" s="1794"/>
      <c r="CO124" s="221">
        <f>IF(CK124="",IF(AND(CE124="",CF124=""),"",IF(CF124="",IF(DE124&gt;1,ROUND(DE124*CE124,3),CE124),IF(DE124&gt;1,ROUND(DE124*CF124,3),CF124))),IF(AND(CE124="",CF124=""),"",IF(CF124="",IF(DE124&gt;1,ROUND(DE124*CE124*(1/(CK124)),3),CE124*(1/(CK124))),IF(DE124&gt;1,ROUND(DE124*CF124*(1/(CK124)),3),CF124*(1/(CK124))))))</f>
        <v/>
      </c>
      <c r="CP124" s="2048">
        <f>$CP$34</f>
        <v/>
      </c>
      <c r="CQ124" s="1473">
        <f>IF(CO124="","",IF(CO124&gt;CP124,"Fail","Pass"))</f>
        <v/>
      </c>
      <c r="CR124" s="1482">
        <f>IF(CO124&lt;&gt;"",MAX($CR$3:CR123)+1,"")</f>
        <v/>
      </c>
      <c r="CS124" s="1566">
        <f>MyTimestamp(CQ124)</f>
        <v/>
      </c>
      <c r="CT124" s="1535">
        <f>IF(COUNT(CE124:CF124)=1,15,IF(COUNT(CE124:CF124)=0,0,30))</f>
        <v/>
      </c>
      <c r="CU124" s="1536">
        <f>IF(CT124=0,0,2)</f>
        <v/>
      </c>
      <c r="CV124" s="861" t="inlineStr">
        <is>
          <t>S/02</t>
        </is>
      </c>
      <c r="CW124" s="861" t="inlineStr">
        <is>
          <t>Dasy6</t>
        </is>
      </c>
      <c r="CX124" s="2038"/>
      <c r="CY124" s="2050"/>
      <c r="CZ124" s="1545">
        <f>10^(CJ124/20)*100-100</f>
        <v/>
      </c>
      <c r="DA124" s="1320">
        <f>IF('Tune-Up'!$H$12="","",'Tune-Up'!$H$12)</f>
        <v/>
      </c>
      <c r="DB124" s="696">
        <f>IF(COUNT($CO$116:$CO$123)=0,"N/A",IFERROR(INDEX($DB$116:$DB$123,MATCH(MAX($CO$116:$CO$123),$CO$116:$CO$123,0)),"N/A"))</f>
        <v/>
      </c>
      <c r="DC124" s="798">
        <f>IF(DA124="","",10^(DA124/10))</f>
        <v/>
      </c>
      <c r="DD124" s="1364">
        <f>IF(ISNUMBER(DB124)=FALSE,"N/A",10^(DB124/10))</f>
        <v/>
      </c>
      <c r="DE124" s="1545">
        <f>IF(AND(ISNUMBER(DC124),ISNUMBER(DD124)),IF(DC124/DD124&gt;1,ROUND((DC124)/DD124,3),1),1)</f>
        <v/>
      </c>
      <c r="DF124" s="1541"/>
      <c r="DG124" s="1541"/>
      <c r="DH124" s="1541"/>
      <c r="DI124" s="1541"/>
      <c r="DJ124" s="1541"/>
      <c r="DK124" s="1541"/>
      <c r="DL124" s="1541"/>
      <c r="DM124" s="1541"/>
      <c r="DN124" s="1541"/>
      <c r="DO124" s="1541"/>
      <c r="DP124" s="1541"/>
      <c r="DQ124" s="1541"/>
      <c r="DR124" s="1541"/>
    </row>
    <row r="125" ht="12.75" x14ac:dyDescent="0.2">
      <c r="A125" s="1541"/>
      <c r="B125" s="1541"/>
      <c r="C125"/>
      <c r="D125" s="130">
        <f>IF(BX$116="Close to Ear","EN 62209-1","EN 62209-2")</f>
        <v/>
      </c>
      <c r="E125" s="130">
        <f>IF(CG125="Close to Ear","2016","2010/A1:2019")</f>
        <v/>
      </c>
      <c r="F125" s="1488" t="inlineStr">
        <is>
          <t>5.1</t>
        </is>
      </c>
      <c r="G125" s="1497"/>
      <c r="H125" s="120">
        <f>BV125</f>
        <v/>
      </c>
      <c r="I125" s="120">
        <f>BW125</f>
        <v/>
      </c>
      <c r="J125" s="687">
        <f>BT125</f>
        <v/>
      </c>
      <c r="K125" s="194">
        <f>BU125</f>
        <v/>
      </c>
      <c r="L125" s="115"/>
      <c r="M125" s="120">
        <f>BZ125</f>
        <v/>
      </c>
      <c r="N125" s="119"/>
      <c r="O125" s="131"/>
      <c r="P125" s="6597"/>
      <c r="Q125" s="131"/>
      <c r="R125" s="131"/>
      <c r="S125" s="120">
        <f>CG125</f>
        <v/>
      </c>
      <c r="T125" s="120">
        <f>CC125</f>
        <v/>
      </c>
      <c r="U125" s="120">
        <f>CD125</f>
        <v/>
      </c>
      <c r="V125" s="119"/>
      <c r="W125" s="197">
        <f>CK125*100</f>
        <v/>
      </c>
      <c r="X125" s="119"/>
      <c r="Y125" s="119"/>
      <c r="Z125" s="119"/>
      <c r="AA125" s="115"/>
      <c r="AB125" s="115"/>
      <c r="AC125" s="689">
        <f>IF(OR(BX$116="Close to Ear",BX$116="Close to Head"),"Head",IF(BX$116="Extremity","Extremity","Body"))</f>
        <v/>
      </c>
      <c r="AD125" s="690">
        <f>CA125</f>
        <v/>
      </c>
      <c r="AE125" s="688">
        <f>CB125</f>
        <v/>
      </c>
      <c r="AF125" s="115"/>
      <c r="AG125" s="808">
        <f>IF(AZ125="","N/A",IF(CQ125="Pass","P","F"))</f>
        <v/>
      </c>
      <c r="AH125" s="129"/>
      <c r="AI125" s="129"/>
      <c r="AJ125" s="129"/>
      <c r="AK125" s="119"/>
      <c r="AL125" s="115"/>
      <c r="AM125" s="119"/>
      <c r="AN125" s="119"/>
      <c r="AO125" s="692"/>
      <c r="AP125" s="692"/>
      <c r="AQ125" s="692"/>
      <c r="AR125" s="692"/>
      <c r="AS125" s="692"/>
      <c r="AT125" s="691">
        <f>CE125</f>
        <v/>
      </c>
      <c r="AU125" s="691">
        <f>CF125</f>
        <v/>
      </c>
      <c r="AV125" s="813"/>
      <c r="AW125" s="813"/>
      <c r="AX125" s="197">
        <f>CZ125</f>
        <v/>
      </c>
      <c r="AY125" s="197">
        <f>DE125</f>
        <v/>
      </c>
      <c r="AZ125" s="3379">
        <f>CO125</f>
        <v/>
      </c>
      <c r="BA125" s="3380"/>
      <c r="BB125" s="197">
        <f>CP125</f>
        <v/>
      </c>
      <c r="BC125" s="813"/>
      <c r="BD125" s="197">
        <f>CR125</f>
        <v/>
      </c>
      <c r="BE125" s="121">
        <f>CS125</f>
        <v/>
      </c>
      <c r="BF125" s="122">
        <f>CT125*60</f>
        <v/>
      </c>
      <c r="BG125" s="121">
        <f>BE125</f>
        <v/>
      </c>
      <c r="BH125" s="122">
        <f>CU125*60</f>
        <v/>
      </c>
      <c r="BI125" s="122">
        <f>CV125</f>
        <v/>
      </c>
      <c r="BJ125" s="117"/>
      <c r="BK125" s="812">
        <f>Overview!$E$7</f>
        <v/>
      </c>
      <c r="BL125" s="117"/>
      <c r="BM125" s="836">
        <f>CW125</f>
        <v/>
      </c>
      <c r="BN125" s="812">
        <f>Overview!$P$153</f>
        <v/>
      </c>
      <c r="BO125" s="117"/>
      <c r="BP125" s="117"/>
      <c r="BQ125" s="115"/>
      <c r="BR125" s="1478" t="inlineStr">
        <is>
          <t>N/A</t>
        </is>
      </c>
      <c r="BS125" s="1548"/>
      <c r="BT125" s="1800" t="inlineStr">
        <is>
          <t>GSM</t>
        </is>
      </c>
      <c r="BU125" s="1800">
        <v>900</v>
      </c>
      <c r="BV125" s="406">
        <f>Overview!$H$30</f>
        <v/>
      </c>
      <c r="BW125" s="2016"/>
      <c r="BX125" s="1800"/>
      <c r="BY125" s="2057"/>
      <c r="BZ125" s="2040"/>
      <c r="CA125" s="404" t="str">
        <f>CONCATENATE(CA123," - Battery check 2")</f>
        <v>TBD - Battery check 2</v>
      </c>
      <c r="CB125" s="201">
        <v>5</v>
      </c>
      <c r="CC125" s="1081">
        <f>IF(COUNT($CO$116:$CO$123)=0,"N/A",INDEX($CC$116:$CC$123,MATCH(MAX($CO$116:$CO$123),$CO$116:$CO$123,0)))</f>
        <v/>
      </c>
      <c r="CD125" s="1081">
        <f>IF(COUNT($CO$116:$CO$123)=0,"N/A",INDEX($CD$116:$CD$123,MATCH(MAX($CO$116:$CO$123),$CO$116:$CO$123,0)))</f>
        <v/>
      </c>
      <c r="CE125" s="1874"/>
      <c r="CF125" s="1874"/>
      <c r="CG125" s="388" t="inlineStr">
        <is>
          <t>N/A</t>
        </is>
      </c>
      <c r="CH125" s="388">
        <f>BZ125</f>
        <v/>
      </c>
      <c r="CI125" s="388">
        <f>CA125</f>
        <v/>
      </c>
      <c r="CJ125" s="2046"/>
      <c r="CK125" s="2047"/>
      <c r="CL125" s="212">
        <f>IF(CF125=""," ",IF(ABS(CE125-CF125)&lt;=0.25,"Valid","Not valid"))</f>
        <v/>
      </c>
      <c r="CM125" s="213">
        <f> IF(CE125="","",IF(AND(CE125&lt;&gt;"",CF125=""),IF(CE125&gt;=2,"Medir+Sig Max","No"),IF(CF125&lt;&gt;"",IF(CF125&gt;=2,"Medir+Sig Max","No"),"")))</f>
        <v/>
      </c>
      <c r="CN125" s="1794"/>
      <c r="CO125" s="221">
        <f>IF(CK125="",IF(AND(CE125="",CF125=""),"",IF(CF125="",IF(DE125&gt;1,ROUND(DE125*CE125,3),CE125),IF(DE125&gt;1,ROUND(DE125*CF125,3),CF125))),IF(AND(CE125="",CF125=""),"",IF(CF125="",IF(DE125&gt;1,ROUND(DE125*CE125*(1/(CK125)),3),CE125*(1/(CK125))),IF(DE125&gt;1,ROUND(DE125*CF125*(1/(CK125)),3),CF125*(1/(CK125))))))</f>
        <v/>
      </c>
      <c r="CP125" s="2048">
        <f>$CP$34</f>
        <v/>
      </c>
      <c r="CQ125" s="1473">
        <f>IF(CO125="","",IF(CO125&gt;CP125,"Fail","Pass"))</f>
        <v/>
      </c>
      <c r="CR125" s="1482">
        <f>IF(CO125&lt;&gt;"",MAX($CR$3:CR124)+1,"")</f>
        <v/>
      </c>
      <c r="CS125" s="1566">
        <f>MyTimestamp(CQ125)</f>
        <v/>
      </c>
      <c r="CT125" s="1535">
        <f>IF(COUNT(CE125:CF125)=1,15,IF(COUNT(CE125:CF125)=0,0,30))</f>
        <v/>
      </c>
      <c r="CU125" s="1536">
        <f>IF(CT125=0,0,2)</f>
        <v/>
      </c>
      <c r="CV125" s="861" t="inlineStr">
        <is>
          <t>S/02</t>
        </is>
      </c>
      <c r="CW125" s="861" t="inlineStr">
        <is>
          <t>Dasy6</t>
        </is>
      </c>
      <c r="CX125" s="2038"/>
      <c r="CY125" s="2050"/>
      <c r="CZ125" s="1545">
        <f>10^(CJ125/20)*100-100</f>
        <v/>
      </c>
      <c r="DA125" s="1320">
        <f>IF('Tune-Up'!$H$12="","",'Tune-Up'!$H$12)</f>
        <v/>
      </c>
      <c r="DB125" s="696">
        <f>IF(COUNT($CO$116:$CO$123)=0,"N/A",IFERROR(INDEX($DB$116:$DB$123,MATCH(MAX($CO$116:$CO$123),$CO$116:$CO$123,0)),"N/A"))</f>
        <v/>
      </c>
      <c r="DC125" s="798">
        <f>IF(DA125="","",10^(DA125/10))</f>
        <v/>
      </c>
      <c r="DD125" s="1364">
        <f>IF(ISNUMBER(DB125)=FALSE,"N/A",10^(DB125/10))</f>
        <v/>
      </c>
      <c r="DE125" s="1545">
        <f>IF(AND(ISNUMBER(DC125),ISNUMBER(DD125)),IF(DC125/DD125&gt;1,ROUND((DC125)/DD125,3),1),1)</f>
        <v/>
      </c>
      <c r="DF125" s="1541"/>
      <c r="DG125" s="1541"/>
      <c r="DH125" s="1541"/>
      <c r="DI125" s="1541"/>
      <c r="DJ125" s="1541"/>
      <c r="DK125" s="1541"/>
      <c r="DL125" s="1541"/>
      <c r="DM125" s="1541"/>
      <c r="DN125" s="1541"/>
      <c r="DO125" s="1541"/>
      <c r="DP125" s="1541"/>
      <c r="DQ125" s="1541"/>
      <c r="DR125" s="1541"/>
    </row>
    <row r="126" ht="12.75" x14ac:dyDescent="0.2">
      <c r="A126" s="1541"/>
      <c r="B126" s="1541"/>
      <c r="C126"/>
      <c r="D126" s="130">
        <f>IF(BX$126="Close to Ear","EN 62209-1","EN 62209-2")</f>
        <v/>
      </c>
      <c r="E126" s="130">
        <f>IF(CG126="Close to Ear","2016","2010/A1:2019")</f>
        <v/>
      </c>
      <c r="F126" s="1488" t="inlineStr">
        <is>
          <t>5.1</t>
        </is>
      </c>
      <c r="G126" s="1497"/>
      <c r="H126" s="120">
        <f>BV126</f>
        <v/>
      </c>
      <c r="I126" s="120">
        <f>BW126</f>
        <v/>
      </c>
      <c r="J126" s="687" t="str">
        <f>BT126</f>
        <v>GSM</v>
      </c>
      <c r="K126" s="194">
        <f>BU126</f>
        <v>900</v>
      </c>
      <c r="L126" s="115"/>
      <c r="M126" s="120">
        <f>BZ126</f>
        <v>0</v>
      </c>
      <c r="N126" s="119"/>
      <c r="O126" s="131"/>
      <c r="P126" s="6597"/>
      <c r="Q126" s="131"/>
      <c r="R126" s="131"/>
      <c r="S126" s="120">
        <f>CG126</f>
        <v>0</v>
      </c>
      <c r="T126" s="120">
        <f>CC126</f>
        <v>37</v>
      </c>
      <c r="U126" s="120">
        <f>CD126</f>
        <v>897.4</v>
      </c>
      <c r="V126" s="119"/>
      <c r="W126" s="197">
        <f>CK126*100</f>
        <v/>
      </c>
      <c r="X126" s="119"/>
      <c r="Y126" s="119"/>
      <c r="Z126" s="119"/>
      <c r="AA126" s="115"/>
      <c r="AB126" s="115"/>
      <c r="AC126" s="689">
        <f>IF(OR(BX$126="Close to Ear",BX$126="Close to Head"),"Head",IF(BX$126="Extremity","Extremity","Body"))</f>
        <v/>
      </c>
      <c r="AD126" s="690">
        <f>CA126</f>
        <v/>
      </c>
      <c r="AE126" s="688">
        <f>CB126</f>
        <v/>
      </c>
      <c r="AF126" s="115"/>
      <c r="AG126" s="808">
        <f>IF(AZ126="","N/A",IF(CQ126="Pass","P","F"))</f>
        <v/>
      </c>
      <c r="AH126" s="129"/>
      <c r="AI126" s="129"/>
      <c r="AJ126" s="129"/>
      <c r="AK126" s="119"/>
      <c r="AL126" s="115"/>
      <c r="AM126" s="119"/>
      <c r="AN126" s="119"/>
      <c r="AO126" s="692"/>
      <c r="AP126" s="692"/>
      <c r="AQ126" s="692"/>
      <c r="AR126" s="692"/>
      <c r="AS126" s="692"/>
      <c r="AT126" s="691">
        <f>CE126</f>
        <v/>
      </c>
      <c r="AU126" s="691">
        <f>CF126</f>
        <v/>
      </c>
      <c r="AV126" s="813"/>
      <c r="AW126" s="813"/>
      <c r="AX126" s="197">
        <f>CZ126</f>
        <v/>
      </c>
      <c r="AY126" s="197">
        <f>DE126</f>
        <v/>
      </c>
      <c r="AZ126" s="3379">
        <f>CO126</f>
        <v/>
      </c>
      <c r="BA126" s="3380"/>
      <c r="BB126" s="197">
        <f>CP126</f>
        <v/>
      </c>
      <c r="BC126" s="813"/>
      <c r="BD126" s="197">
        <f>CR126</f>
        <v/>
      </c>
      <c r="BE126" s="121">
        <f>CS126</f>
        <v/>
      </c>
      <c r="BF126" s="122">
        <f>CT126*60</f>
        <v/>
      </c>
      <c r="BG126" s="121">
        <f>BE126</f>
        <v/>
      </c>
      <c r="BH126" s="122">
        <f>CU126*60</f>
        <v/>
      </c>
      <c r="BI126" s="122">
        <f>CV126</f>
        <v/>
      </c>
      <c r="BJ126" s="117"/>
      <c r="BK126" s="812">
        <f>Overview!$E$7</f>
        <v/>
      </c>
      <c r="BL126" s="117"/>
      <c r="BM126" s="836">
        <f>CW126</f>
        <v/>
      </c>
      <c r="BN126" s="812">
        <f>Overview!$P$153</f>
        <v/>
      </c>
      <c r="BO126" s="117"/>
      <c r="BP126" s="117"/>
      <c r="BQ126" s="115"/>
      <c r="BR126" s="1478" t="inlineStr">
        <is>
          <t>N/A</t>
        </is>
      </c>
      <c r="BS126" s="1548"/>
      <c r="BT126" s="1777" t="inlineStr">
        <is>
          <t>GSM</t>
        </is>
      </c>
      <c r="BU126" s="1777">
        <v>900</v>
      </c>
      <c r="BV126" s="398">
        <f>Overview!$H$31</f>
        <v/>
      </c>
      <c r="BW126" s="2033"/>
      <c r="BX126" s="7672" t="inlineStr">
        <is>
          <t>Close to Ear</t>
        </is>
      </c>
      <c r="BY126" s="2034"/>
      <c r="BZ126" s="2034"/>
      <c r="CA126" s="2035" t="inlineStr">
        <is>
          <t>Left Cheek</t>
        </is>
      </c>
      <c r="CB126" s="2035">
        <v>0</v>
      </c>
      <c r="CC126" s="1062">
        <f>'2G-3G'!BX24</f>
        <v>37</v>
      </c>
      <c r="CD126" s="1062">
        <f>'2G-3G'!BY24</f>
        <v>897.4</v>
      </c>
      <c r="CE126" s="1522"/>
      <c r="CF126" s="1522"/>
      <c r="CG126" s="386" t="str">
        <f>IF(OR($BY$3="",$BY$3=""),"",$BY$3)</f>
        <v/>
      </c>
      <c r="CH126" s="386">
        <f>BZ126</f>
        <v/>
      </c>
      <c r="CI126" s="386">
        <f>CA126</f>
        <v/>
      </c>
      <c r="CJ126" s="1526"/>
      <c r="CK126" s="2036"/>
      <c r="CL126" s="203">
        <f>IF(CF126=""," ",IF(ABS(CE126-CF126)&lt;=0.125,"Valid","Not valid"))</f>
        <v/>
      </c>
      <c r="CM126" s="204">
        <f> IF(CE126="","",IF(AND(CE126&lt;&gt;"",CF126=""),IF(CE126&gt;=1,"Medir+Sig Max","No"),IF(CF126&lt;&gt;"",IF(CF126&gt;=1,"Medir+Sig Max","No"),"")))</f>
        <v/>
      </c>
      <c r="CN126" s="1798"/>
      <c r="CO126" s="219">
        <f>IF(CK126="",IF(AND(CE126="",CF126=""),"",IF(CF126="",IF(DE126&gt;1,ROUND(DE126*CE126,3),CE126),IF(DE126&gt;1,ROUND(DE126*CF126,3),CF126))),IF(AND(CE126="",CF126=""),"",IF(CF126="",IF(DE126&gt;1,ROUND(DE126*CE126*(1/(CK126)),3),CE126*(1/(CK126))),IF(DE126&gt;1,ROUND(DE126*CF126*(1/(CK126)),3),CF126*(1/(CK126))))))</f>
        <v/>
      </c>
      <c r="CP126" s="2037">
        <f>$CP$3</f>
        <v/>
      </c>
      <c r="CQ126" s="1471">
        <f>IF(CO126="","",IF(CO126&gt;CP126,"Fail","Pass"))</f>
        <v/>
      </c>
      <c r="CR126" s="1480">
        <f>IF(AND(MAX(CO126:CO131)=CO126,CO126&lt;&gt;0),COUNT($CR$3:CR123)+1,"")</f>
        <v/>
      </c>
      <c r="CS126" s="1564">
        <f>MyTimestamp(CO126)</f>
        <v/>
      </c>
      <c r="CT126" s="1529">
        <f>IF(CE126="",0,15)+IF(CF126="",0,15)</f>
        <v/>
      </c>
      <c r="CU126" s="1530">
        <f>IF(CT126=0,0,2)</f>
        <v/>
      </c>
      <c r="CV126" s="858" t="inlineStr">
        <is>
          <t>S/02</t>
        </is>
      </c>
      <c r="CW126" s="858" t="inlineStr">
        <is>
          <t>Dasy6</t>
        </is>
      </c>
      <c r="CX126" s="2038"/>
      <c r="CY126" s="2039"/>
      <c r="CZ126" s="1542">
        <f>10^(CJ126/20)*100-100</f>
        <v/>
      </c>
      <c r="DA126" s="1318">
        <f>IF('Tune-Up'!$H$12="","",'Tune-Up'!$H$12)</f>
        <v/>
      </c>
      <c r="DB126" s="694">
        <f>'2G-3G'!BZ24</f>
        <v/>
      </c>
      <c r="DC126" s="796">
        <f>IF(DA126="","",10^(DA126/10))</f>
        <v/>
      </c>
      <c r="DD126" s="1362">
        <f>IF(ISNUMBER(DB126)=FALSE,"",10^(DB126/10))</f>
        <v/>
      </c>
      <c r="DE126" s="1542">
        <f>IF(AND(ISNUMBER(DC126),ISNUMBER(DD126)),IF(DC126/DD126&gt;1,ROUND((DC126)/DD126,3),1),1)</f>
        <v/>
      </c>
      <c r="DF126" s="1541"/>
      <c r="DG126" s="1541"/>
      <c r="DH126" s="1541"/>
      <c r="DI126" s="1541"/>
      <c r="DJ126" s="1541"/>
      <c r="DK126" s="1541"/>
      <c r="DL126" s="1541"/>
      <c r="DM126" s="1541"/>
      <c r="DN126" s="1541"/>
      <c r="DO126" s="1541"/>
      <c r="DP126" s="1541"/>
      <c r="DQ126" s="1541"/>
      <c r="DR126" s="1541"/>
    </row>
    <row r="127" ht="12.75" x14ac:dyDescent="0.2">
      <c r="A127" s="1541"/>
      <c r="B127" s="1541"/>
      <c r="C127"/>
      <c r="D127" s="130">
        <f>IF(BX$126="Close to Ear","EN 62209-1","EN 62209-2")</f>
        <v/>
      </c>
      <c r="E127" s="130">
        <f>IF(CG127="Close to Ear","2016","2010/A1:2019")</f>
        <v/>
      </c>
      <c r="F127" s="1488" t="inlineStr">
        <is>
          <t>5.1</t>
        </is>
      </c>
      <c r="G127" s="1497"/>
      <c r="H127" s="120">
        <f>BV127</f>
        <v/>
      </c>
      <c r="I127" s="120">
        <f>BW127</f>
        <v/>
      </c>
      <c r="J127" s="687" t="str">
        <f>BT127</f>
        <v>GSM</v>
      </c>
      <c r="K127" s="194">
        <f>BU127</f>
        <v>900</v>
      </c>
      <c r="L127" s="115"/>
      <c r="M127" s="120">
        <f>BZ127</f>
        <v>0</v>
      </c>
      <c r="N127" s="119"/>
      <c r="O127" s="131"/>
      <c r="P127" s="6597"/>
      <c r="Q127" s="131"/>
      <c r="R127" s="131"/>
      <c r="S127" s="120">
        <f>CG127</f>
        <v>0</v>
      </c>
      <c r="T127" s="120">
        <f>CC127</f>
        <v>37</v>
      </c>
      <c r="U127" s="120">
        <f>CD127</f>
        <v>897.4</v>
      </c>
      <c r="V127" s="119"/>
      <c r="W127" s="197">
        <f>CK127*100</f>
        <v/>
      </c>
      <c r="X127" s="119"/>
      <c r="Y127" s="119"/>
      <c r="Z127" s="119"/>
      <c r="AA127" s="115"/>
      <c r="AB127" s="115"/>
      <c r="AC127" s="689">
        <f>IF(OR(BX$126="Close to Ear",BX$126="Close to Head"),"Head",IF(BX$126="Extremity","Extremity","Body"))</f>
        <v/>
      </c>
      <c r="AD127" s="690">
        <f>CA127</f>
        <v/>
      </c>
      <c r="AE127" s="688">
        <f>CB127</f>
        <v/>
      </c>
      <c r="AF127" s="115"/>
      <c r="AG127" s="808">
        <f>IF(AZ127="","N/A",IF(CQ127="Pass","P","F"))</f>
        <v/>
      </c>
      <c r="AH127" s="129"/>
      <c r="AI127" s="129"/>
      <c r="AJ127" s="129"/>
      <c r="AK127" s="119"/>
      <c r="AL127" s="115"/>
      <c r="AM127" s="119"/>
      <c r="AN127" s="119"/>
      <c r="AO127" s="692"/>
      <c r="AP127" s="692"/>
      <c r="AQ127" s="692"/>
      <c r="AR127" s="692"/>
      <c r="AS127" s="692"/>
      <c r="AT127" s="691">
        <f>CE127</f>
        <v/>
      </c>
      <c r="AU127" s="691">
        <f>CF127</f>
        <v/>
      </c>
      <c r="AV127" s="813"/>
      <c r="AW127" s="813"/>
      <c r="AX127" s="197">
        <f>CZ127</f>
        <v/>
      </c>
      <c r="AY127" s="197">
        <f>DE127</f>
        <v/>
      </c>
      <c r="AZ127" s="3379">
        <f>CO127</f>
        <v/>
      </c>
      <c r="BA127" s="3380"/>
      <c r="BB127" s="197">
        <f>CP127</f>
        <v/>
      </c>
      <c r="BC127" s="813"/>
      <c r="BD127" s="197">
        <f>CR127</f>
        <v/>
      </c>
      <c r="BE127" s="121">
        <f>CS127</f>
        <v/>
      </c>
      <c r="BF127" s="122">
        <f>CT127*60</f>
        <v/>
      </c>
      <c r="BG127" s="121">
        <f>BE127</f>
        <v/>
      </c>
      <c r="BH127" s="122">
        <f>CU127*60</f>
        <v/>
      </c>
      <c r="BI127" s="122">
        <f>CV127</f>
        <v/>
      </c>
      <c r="BJ127" s="117"/>
      <c r="BK127" s="812">
        <f>Overview!$E$7</f>
        <v/>
      </c>
      <c r="BL127" s="117"/>
      <c r="BM127" s="836">
        <f>CW127</f>
        <v/>
      </c>
      <c r="BN127" s="812">
        <f>Overview!$P$153</f>
        <v/>
      </c>
      <c r="BO127" s="117"/>
      <c r="BP127" s="117"/>
      <c r="BQ127" s="115"/>
      <c r="BR127" s="1478" t="inlineStr">
        <is>
          <t>N/A</t>
        </is>
      </c>
      <c r="BS127" s="1548"/>
      <c r="BT127" s="1783" t="inlineStr">
        <is>
          <t>GSM</t>
        </is>
      </c>
      <c r="BU127" s="1783">
        <v>900</v>
      </c>
      <c r="BV127" s="400">
        <f>Overview!$H$31</f>
        <v/>
      </c>
      <c r="BW127" s="2010"/>
      <c r="BX127" s="1783"/>
      <c r="BY127" s="2040"/>
      <c r="BZ127" s="2040"/>
      <c r="CA127" s="2041" t="inlineStr">
        <is>
          <t>Left Tilt</t>
        </is>
      </c>
      <c r="CB127" s="2041">
        <v>0</v>
      </c>
      <c r="CC127" s="1063">
        <f>'2G-3G'!BX24</f>
        <v>37</v>
      </c>
      <c r="CD127" s="1063">
        <f>'2G-3G'!BY24</f>
        <v>897.4</v>
      </c>
      <c r="CE127" s="1523"/>
      <c r="CF127" s="1523"/>
      <c r="CG127" s="387" t="str">
        <f>IF(OR($BY$3="",$BY$3=""),"",$BY$3)</f>
        <v/>
      </c>
      <c r="CH127" s="387">
        <f>BZ127</f>
        <v/>
      </c>
      <c r="CI127" s="387">
        <f>CA127</f>
        <v/>
      </c>
      <c r="CJ127" s="1527"/>
      <c r="CK127" s="2042"/>
      <c r="CL127" s="206">
        <f>IF(CF127=""," ",IF(ABS(CE127-CF127)&lt;=0.125,"Valid","Not valid"))</f>
        <v/>
      </c>
      <c r="CM127" s="207">
        <f> IF(CE127="","",IF(AND(CE127&lt;&gt;"",CF127=""),IF(CE127&gt;=1,"Medir+Sig Max","No"),IF(CF127&lt;&gt;"",IF(CF127&gt;=1,"Medir+Sig Max","No"),"")))</f>
        <v/>
      </c>
      <c r="CN127" s="1787"/>
      <c r="CO127" s="220">
        <f>IF(CK127="",IF(AND(CE127="",CF127=""),"",IF(CF127="",IF(DE127&gt;1,ROUND(DE127*CE127,3),CE127),IF(DE127&gt;1,ROUND(DE127*CF127,3),CF127))),IF(AND(CE127="",CF127=""),"",IF(CF127="",IF(DE127&gt;1,ROUND(DE127*CE127*(1/(CK127)),3),CE127*(1/(CK127))),IF(DE127&gt;1,ROUND(DE127*CF127*(1/(CK127)),3),CF127*(1/(CK127))))))</f>
        <v/>
      </c>
      <c r="CP127" s="2043">
        <f>$CP$3</f>
        <v/>
      </c>
      <c r="CQ127" s="1472">
        <f>IF(CO127="","",IF(CO127&gt;CP127,"Fail","Pass"))</f>
        <v/>
      </c>
      <c r="CR127" s="1481">
        <f>IF(AND(MAX(CO126:CO131)=CO127,CO127&lt;&gt;0),COUNT($CR$3:CR126)+1,"")</f>
        <v/>
      </c>
      <c r="CS127" s="1565">
        <f>MyTimestamp(CO127)</f>
        <v/>
      </c>
      <c r="CT127" s="1531">
        <f>IF(CE127="",0,15)+IF(CF127="",0,15)</f>
        <v/>
      </c>
      <c r="CU127" s="1532">
        <f>IF(CT127=0,0,2)</f>
        <v/>
      </c>
      <c r="CV127" s="859" t="inlineStr">
        <is>
          <t>S/02</t>
        </is>
      </c>
      <c r="CW127" s="859" t="inlineStr">
        <is>
          <t>Dasy6</t>
        </is>
      </c>
      <c r="CX127" s="2038"/>
      <c r="CY127" s="2044"/>
      <c r="CZ127" s="1543">
        <f>10^(CJ127/20)*100-100</f>
        <v/>
      </c>
      <c r="DA127" s="1319">
        <f>IF('Tune-Up'!$H$12="","",'Tune-Up'!$H$12)</f>
        <v/>
      </c>
      <c r="DB127" s="695">
        <f>'2G-3G'!BZ24</f>
        <v/>
      </c>
      <c r="DC127" s="797">
        <f>IF(DA127="","",10^(DA127/10))</f>
        <v/>
      </c>
      <c r="DD127" s="1363">
        <f>IF(ISNUMBER(DB127)=FALSE,"",10^(DB127/10))</f>
        <v/>
      </c>
      <c r="DE127" s="1543">
        <f>IF(AND(ISNUMBER(DC127),ISNUMBER(DD127)),IF(DC127/DD127&gt;1,ROUND((DC127)/DD127,3),1),1)</f>
        <v/>
      </c>
      <c r="DF127" s="1541"/>
      <c r="DG127" s="1541"/>
      <c r="DH127" s="1541"/>
      <c r="DI127" s="1541"/>
      <c r="DJ127" s="1541"/>
      <c r="DK127" s="1541"/>
      <c r="DL127" s="1541"/>
      <c r="DM127" s="1541"/>
      <c r="DN127" s="1541"/>
      <c r="DO127" s="1541"/>
      <c r="DP127" s="1541"/>
      <c r="DQ127" s="1541"/>
      <c r="DR127" s="1541"/>
    </row>
    <row r="128" ht="12.75" x14ac:dyDescent="0.2">
      <c r="A128" s="1541"/>
      <c r="B128" s="1541"/>
      <c r="C128"/>
      <c r="D128" s="130">
        <f>IF(BX$126="Close to Ear","EN 62209-1","EN 62209-2")</f>
        <v/>
      </c>
      <c r="E128" s="130">
        <f>IF(CG128="Close to Ear","2016","2010/A1:2019")</f>
        <v/>
      </c>
      <c r="F128" s="1488" t="inlineStr">
        <is>
          <t>5.1</t>
        </is>
      </c>
      <c r="G128" s="1497"/>
      <c r="H128" s="120">
        <f>BV128</f>
        <v/>
      </c>
      <c r="I128" s="120">
        <f>BW128</f>
        <v/>
      </c>
      <c r="J128" s="687" t="str">
        <f>BT128</f>
        <v>GSM</v>
      </c>
      <c r="K128" s="194">
        <f>BU128</f>
        <v>900</v>
      </c>
      <c r="L128" s="115"/>
      <c r="M128" s="120">
        <f>BZ128</f>
        <v>0</v>
      </c>
      <c r="N128" s="119"/>
      <c r="O128" s="131"/>
      <c r="P128" s="6597"/>
      <c r="Q128" s="131"/>
      <c r="R128" s="131"/>
      <c r="S128" s="120">
        <f>CG128</f>
        <v>0</v>
      </c>
      <c r="T128" s="120">
        <f>CC128</f>
        <v>37</v>
      </c>
      <c r="U128" s="120">
        <f>CD128</f>
        <v>897.4</v>
      </c>
      <c r="V128" s="119"/>
      <c r="W128" s="197">
        <f>CK128*100</f>
        <v/>
      </c>
      <c r="X128" s="119"/>
      <c r="Y128" s="119"/>
      <c r="Z128" s="119"/>
      <c r="AA128" s="115"/>
      <c r="AB128" s="115"/>
      <c r="AC128" s="689">
        <f>IF(OR(BX$126="Close to Ear",BX$126="Close to Head"),"Head",IF(BX$126="Extremity","Extremity","Body"))</f>
        <v/>
      </c>
      <c r="AD128" s="690">
        <f>CA128</f>
        <v/>
      </c>
      <c r="AE128" s="688">
        <f>CB128</f>
        <v/>
      </c>
      <c r="AF128" s="115"/>
      <c r="AG128" s="808">
        <f>IF(AZ128="","N/A",IF(CQ128="Pass","P","F"))</f>
        <v/>
      </c>
      <c r="AH128" s="129"/>
      <c r="AI128" s="129"/>
      <c r="AJ128" s="129"/>
      <c r="AK128" s="119"/>
      <c r="AL128" s="115"/>
      <c r="AM128" s="119"/>
      <c r="AN128" s="119"/>
      <c r="AO128" s="692"/>
      <c r="AP128" s="692"/>
      <c r="AQ128" s="692"/>
      <c r="AR128" s="692"/>
      <c r="AS128" s="692"/>
      <c r="AT128" s="691">
        <f>CE128</f>
        <v/>
      </c>
      <c r="AU128" s="691">
        <f>CF128</f>
        <v/>
      </c>
      <c r="AV128" s="813"/>
      <c r="AW128" s="813"/>
      <c r="AX128" s="197">
        <f>CZ128</f>
        <v/>
      </c>
      <c r="AY128" s="197">
        <f>DE128</f>
        <v/>
      </c>
      <c r="AZ128" s="3379">
        <f>CO128</f>
        <v/>
      </c>
      <c r="BA128" s="3380"/>
      <c r="BB128" s="197">
        <f>CP128</f>
        <v/>
      </c>
      <c r="BC128" s="813"/>
      <c r="BD128" s="197">
        <f>CR128</f>
        <v/>
      </c>
      <c r="BE128" s="121">
        <f>CS128</f>
        <v/>
      </c>
      <c r="BF128" s="122">
        <f>CT128*60</f>
        <v/>
      </c>
      <c r="BG128" s="121">
        <f>BE128</f>
        <v/>
      </c>
      <c r="BH128" s="122">
        <f>CU128*60</f>
        <v/>
      </c>
      <c r="BI128" s="122">
        <f>CV128</f>
        <v/>
      </c>
      <c r="BJ128" s="117"/>
      <c r="BK128" s="812">
        <f>Overview!$E$7</f>
        <v/>
      </c>
      <c r="BL128" s="117"/>
      <c r="BM128" s="836">
        <f>CW128</f>
        <v/>
      </c>
      <c r="BN128" s="812">
        <f>Overview!$P$153</f>
        <v/>
      </c>
      <c r="BO128" s="117"/>
      <c r="BP128" s="117"/>
      <c r="BQ128" s="115"/>
      <c r="BR128" s="1478" t="inlineStr">
        <is>
          <t>N/A</t>
        </is>
      </c>
      <c r="BS128" s="1548"/>
      <c r="BT128" s="1791" t="inlineStr">
        <is>
          <t>GSM</t>
        </is>
      </c>
      <c r="BU128" s="1791">
        <v>900</v>
      </c>
      <c r="BV128" s="403">
        <f>Overview!$H$31</f>
        <v/>
      </c>
      <c r="BW128" s="2010"/>
      <c r="BX128" s="1791"/>
      <c r="BY128" s="2040"/>
      <c r="BZ128" s="2040"/>
      <c r="CA128" s="2041" t="inlineStr">
        <is>
          <t>Right Cheek</t>
        </is>
      </c>
      <c r="CB128" s="2041">
        <v>0</v>
      </c>
      <c r="CC128" s="1063">
        <f>'2G-3G'!BX24</f>
        <v>37</v>
      </c>
      <c r="CD128" s="1063">
        <f>'2G-3G'!BY24</f>
        <v>897.4</v>
      </c>
      <c r="CE128" s="1523"/>
      <c r="CF128" s="1523"/>
      <c r="CG128" s="387" t="str">
        <f>IF(OR($BY$3="",$BY$3=""),"",$BY$3)</f>
        <v/>
      </c>
      <c r="CH128" s="387">
        <f>BZ128</f>
        <v/>
      </c>
      <c r="CI128" s="387">
        <f>CA128</f>
        <v/>
      </c>
      <c r="CJ128" s="1527"/>
      <c r="CK128" s="2042"/>
      <c r="CL128" s="206">
        <f>IF(CF128=""," ",IF(ABS(CE128-CF128)&lt;=0.125,"Valid","Not valid"))</f>
        <v/>
      </c>
      <c r="CM128" s="207">
        <f> IF(CE128="","",IF(AND(CE128&lt;&gt;"",CF128=""),IF(CE128&gt;=1,"Medir+Sig Max","No"),IF(CF128&lt;&gt;"",IF(CF128&gt;=1,"Medir+Sig Max","No"),"")))</f>
        <v/>
      </c>
      <c r="CN128" s="1787"/>
      <c r="CO128" s="220">
        <f>IF(CK128="",IF(AND(CE128="",CF128=""),"",IF(CF128="",IF(DE128&gt;1,ROUND(DE128*CE128,3),CE128),IF(DE128&gt;1,ROUND(DE128*CF128,3),CF128))),IF(AND(CE128="",CF128=""),"",IF(CF128="",IF(DE128&gt;1,ROUND(DE128*CE128*(1/(CK128)),3),CE128*(1/(CK128))),IF(DE128&gt;1,ROUND(DE128*CF128*(1/(CK128)),3),CF128*(1/(CK128))))))</f>
        <v/>
      </c>
      <c r="CP128" s="2043">
        <f>$CP$3</f>
        <v/>
      </c>
      <c r="CQ128" s="1472">
        <f>IF(CO128="","",IF(CO128&gt;CP128,"Fail","Pass"))</f>
        <v/>
      </c>
      <c r="CR128" s="1481">
        <f>IF(AND(MAX(CO126:CO131)=CO128,CO128&lt;&gt;0),COUNT($CR$3:CR127)+1,"")</f>
        <v/>
      </c>
      <c r="CS128" s="1565">
        <f>MyTimestamp(CO128)</f>
        <v/>
      </c>
      <c r="CT128" s="1531">
        <f>IF(CE128="",0,15)+IF(CF128="",0,15)</f>
        <v/>
      </c>
      <c r="CU128" s="1532">
        <f>IF(CT128=0,0,2)</f>
        <v/>
      </c>
      <c r="CV128" s="859" t="inlineStr">
        <is>
          <t>S/02</t>
        </is>
      </c>
      <c r="CW128" s="859" t="inlineStr">
        <is>
          <t>Dasy6</t>
        </is>
      </c>
      <c r="CX128" s="2038"/>
      <c r="CY128" s="2044"/>
      <c r="CZ128" s="1543">
        <f>10^(CJ128/20)*100-100</f>
        <v/>
      </c>
      <c r="DA128" s="1319">
        <f>IF('Tune-Up'!$H$12="","",'Tune-Up'!$H$12)</f>
        <v/>
      </c>
      <c r="DB128" s="695">
        <f>'2G-3G'!BZ24</f>
        <v/>
      </c>
      <c r="DC128" s="797">
        <f>IF(DA128="","",10^(DA128/10))</f>
        <v/>
      </c>
      <c r="DD128" s="1363">
        <f>IF(ISNUMBER(DB128)=FALSE,"",10^(DB128/10))</f>
        <v/>
      </c>
      <c r="DE128" s="1543">
        <f>IF(AND(ISNUMBER(DC128),ISNUMBER(DD128)),IF(DC128/DD128&gt;1,ROUND((DC128)/DD128,3),1),1)</f>
        <v/>
      </c>
      <c r="DF128" s="1541"/>
      <c r="DG128" s="1541"/>
      <c r="DH128" s="1541"/>
      <c r="DI128" s="1541"/>
      <c r="DJ128" s="1541"/>
      <c r="DK128" s="1541"/>
      <c r="DL128" s="1541"/>
      <c r="DM128" s="1541"/>
      <c r="DN128" s="1541"/>
      <c r="DO128" s="1541"/>
      <c r="DP128" s="1541"/>
      <c r="DQ128" s="1541"/>
      <c r="DR128" s="1541"/>
    </row>
    <row r="129" ht="12.75" x14ac:dyDescent="0.2">
      <c r="A129" s="1541"/>
      <c r="B129" s="1541"/>
      <c r="C129"/>
      <c r="D129" s="130">
        <f>IF(BX$126="Close to Ear","EN 62209-1","EN 62209-2")</f>
        <v/>
      </c>
      <c r="E129" s="130">
        <f>IF(CG129="Close to Ear","2016","2010/A1:2019")</f>
        <v/>
      </c>
      <c r="F129" s="1488" t="inlineStr">
        <is>
          <t>5.1</t>
        </is>
      </c>
      <c r="G129" s="1497"/>
      <c r="H129" s="120">
        <f>BV129</f>
        <v/>
      </c>
      <c r="I129" s="120">
        <f>BW129</f>
        <v/>
      </c>
      <c r="J129" s="687" t="str">
        <f>BT129</f>
        <v>GSM</v>
      </c>
      <c r="K129" s="194">
        <f>BU129</f>
        <v>900</v>
      </c>
      <c r="L129" s="115"/>
      <c r="M129" s="120">
        <f>BZ129</f>
        <v>0</v>
      </c>
      <c r="N129" s="119"/>
      <c r="O129" s="131"/>
      <c r="P129" s="6597"/>
      <c r="Q129" s="131"/>
      <c r="R129" s="131"/>
      <c r="S129" s="120">
        <f>CG129</f>
        <v>0</v>
      </c>
      <c r="T129" s="120">
        <f>CC129</f>
        <v>37</v>
      </c>
      <c r="U129" s="120">
        <f>CD129</f>
        <v>897.4</v>
      </c>
      <c r="V129" s="119"/>
      <c r="W129" s="197">
        <f>CK129*100</f>
        <v/>
      </c>
      <c r="X129" s="119"/>
      <c r="Y129" s="119"/>
      <c r="Z129" s="119"/>
      <c r="AA129" s="115"/>
      <c r="AB129" s="115"/>
      <c r="AC129" s="689">
        <f>IF(OR(BX$126="Close to Ear",BX$126="Close to Head"),"Head",IF(BX$126="Extremity","Extremity","Body"))</f>
        <v/>
      </c>
      <c r="AD129" s="690">
        <f>CA129</f>
        <v/>
      </c>
      <c r="AE129" s="688">
        <f>CB129</f>
        <v/>
      </c>
      <c r="AF129" s="115"/>
      <c r="AG129" s="808">
        <f>IF(AZ129="","N/A",IF(CQ129="Pass","P","F"))</f>
        <v/>
      </c>
      <c r="AH129" s="129"/>
      <c r="AI129" s="129"/>
      <c r="AJ129" s="129"/>
      <c r="AK129" s="119"/>
      <c r="AL129" s="115"/>
      <c r="AM129" s="119"/>
      <c r="AN129" s="119"/>
      <c r="AO129" s="692"/>
      <c r="AP129" s="692"/>
      <c r="AQ129" s="692"/>
      <c r="AR129" s="692"/>
      <c r="AS129" s="692"/>
      <c r="AT129" s="691">
        <f>CE129</f>
        <v/>
      </c>
      <c r="AU129" s="691">
        <f>CF129</f>
        <v/>
      </c>
      <c r="AV129" s="813"/>
      <c r="AW129" s="813"/>
      <c r="AX129" s="197">
        <f>CZ129</f>
        <v/>
      </c>
      <c r="AY129" s="197">
        <f>DE129</f>
        <v/>
      </c>
      <c r="AZ129" s="3379">
        <f>CO129</f>
        <v/>
      </c>
      <c r="BA129" s="3380"/>
      <c r="BB129" s="197">
        <f>CP129</f>
        <v/>
      </c>
      <c r="BC129" s="813"/>
      <c r="BD129" s="197">
        <f>CR129</f>
        <v/>
      </c>
      <c r="BE129" s="121">
        <f>CS129</f>
        <v/>
      </c>
      <c r="BF129" s="122">
        <f>CT129*60</f>
        <v/>
      </c>
      <c r="BG129" s="121">
        <f>BE129</f>
        <v/>
      </c>
      <c r="BH129" s="122">
        <f>CU129*60</f>
        <v/>
      </c>
      <c r="BI129" s="122">
        <f>CV129</f>
        <v/>
      </c>
      <c r="BJ129" s="117"/>
      <c r="BK129" s="812">
        <f>Overview!$E$7</f>
        <v/>
      </c>
      <c r="BL129" s="117"/>
      <c r="BM129" s="836">
        <f>CW129</f>
        <v/>
      </c>
      <c r="BN129" s="812">
        <f>Overview!$P$153</f>
        <v/>
      </c>
      <c r="BO129" s="117"/>
      <c r="BP129" s="117"/>
      <c r="BQ129" s="115"/>
      <c r="BR129" s="1478" t="inlineStr">
        <is>
          <t>N/A</t>
        </is>
      </c>
      <c r="BS129" s="1548"/>
      <c r="BT129" s="1783" t="inlineStr">
        <is>
          <t>GSM</t>
        </is>
      </c>
      <c r="BU129" s="1783">
        <v>900</v>
      </c>
      <c r="BV129" s="400">
        <f>Overview!$H$31</f>
        <v/>
      </c>
      <c r="BW129" s="2010"/>
      <c r="BX129" s="1783"/>
      <c r="BY129" s="2040"/>
      <c r="BZ129" s="2040"/>
      <c r="CA129" s="2041" t="inlineStr">
        <is>
          <t>Right Tilt</t>
        </is>
      </c>
      <c r="CB129" s="2041">
        <v>0</v>
      </c>
      <c r="CC129" s="1063">
        <f>'2G-3G'!BX24</f>
        <v>37</v>
      </c>
      <c r="CD129" s="1063">
        <f>'2G-3G'!BY24</f>
        <v>897.4</v>
      </c>
      <c r="CE129" s="1523"/>
      <c r="CF129" s="1523"/>
      <c r="CG129" s="387" t="str">
        <f>IF(OR($BY$3="",$BY$3=""),"",$BY$3)</f>
        <v/>
      </c>
      <c r="CH129" s="387">
        <f>BZ129</f>
        <v/>
      </c>
      <c r="CI129" s="387">
        <f>CA129</f>
        <v/>
      </c>
      <c r="CJ129" s="1527"/>
      <c r="CK129" s="2042"/>
      <c r="CL129" s="206">
        <f>IF(CF129=""," ",IF(ABS(CE129-CF129)&lt;=0.125,"Valid","Not valid"))</f>
        <v/>
      </c>
      <c r="CM129" s="207">
        <f> IF(CE129="","",IF(AND(CE129&lt;&gt;"",CF129=""),IF(CE129&gt;=1,"Medir+Sig Max","No"),IF(CF129&lt;&gt;"",IF(CF129&gt;=1,"Medir+Sig Max","No"),"")))</f>
        <v/>
      </c>
      <c r="CN129" s="1787"/>
      <c r="CO129" s="220">
        <f>IF(CK129="",IF(AND(CE129="",CF129=""),"",IF(CF129="",IF(DE129&gt;1,ROUND(DE129*CE129,3),CE129),IF(DE129&gt;1,ROUND(DE129*CF129,3),CF129))),IF(AND(CE129="",CF129=""),"",IF(CF129="",IF(DE129&gt;1,ROUND(DE129*CE129*(1/(CK129)),3),CE129*(1/(CK129))),IF(DE129&gt;1,ROUND(DE129*CF129*(1/(CK129)),3),CF129*(1/(CK129))))))</f>
        <v/>
      </c>
      <c r="CP129" s="2043">
        <f>$CP$3</f>
        <v/>
      </c>
      <c r="CQ129" s="1472">
        <f>IF(CO129="","",IF(CO129&gt;CP129,"Fail","Pass"))</f>
        <v/>
      </c>
      <c r="CR129" s="1481">
        <f>IF(AND(MAX(CO126:CO131)=CO129,CO129&lt;&gt;0),COUNT($CR$3:CR128)+1,"")</f>
        <v/>
      </c>
      <c r="CS129" s="1565">
        <f>MyTimestamp(CO129)</f>
        <v/>
      </c>
      <c r="CT129" s="1531">
        <f>IF(CE129="",0,15)+IF(CF129="",0,15)</f>
        <v/>
      </c>
      <c r="CU129" s="1532">
        <f>IF(CT129=0,0,2)</f>
        <v/>
      </c>
      <c r="CV129" s="859" t="inlineStr">
        <is>
          <t>S/02</t>
        </is>
      </c>
      <c r="CW129" s="859" t="inlineStr">
        <is>
          <t>Dasy6</t>
        </is>
      </c>
      <c r="CX129" s="2038"/>
      <c r="CY129" s="2044"/>
      <c r="CZ129" s="1543">
        <f>10^(CJ129/20)*100-100</f>
        <v/>
      </c>
      <c r="DA129" s="1319">
        <f>IF('Tune-Up'!$H$12="","",'Tune-Up'!$H$12)</f>
        <v/>
      </c>
      <c r="DB129" s="695">
        <f>'2G-3G'!BZ24</f>
        <v/>
      </c>
      <c r="DC129" s="797">
        <f>IF(DA129="","",10^(DA129/10))</f>
        <v/>
      </c>
      <c r="DD129" s="1363">
        <f>IF(ISNUMBER(DB129)=FALSE,"",10^(DB129/10))</f>
        <v/>
      </c>
      <c r="DE129" s="1543">
        <f>IF(AND(ISNUMBER(DC129),ISNUMBER(DD129)),IF(DC129/DD129&gt;1,ROUND((DC129)/DD129,3),1),1)</f>
        <v/>
      </c>
      <c r="DF129" s="1541"/>
      <c r="DG129" s="1541"/>
      <c r="DH129" s="1541"/>
      <c r="DI129" s="1541"/>
      <c r="DJ129" s="1541"/>
      <c r="DK129" s="1541"/>
      <c r="DL129" s="1541"/>
      <c r="DM129" s="1541"/>
      <c r="DN129" s="1541"/>
      <c r="DO129" s="1541"/>
      <c r="DP129" s="1541"/>
      <c r="DQ129" s="1541"/>
      <c r="DR129" s="1541"/>
    </row>
    <row r="130" ht="12.75" x14ac:dyDescent="0.2">
      <c r="A130" s="1541"/>
      <c r="B130" s="1541"/>
      <c r="C130"/>
      <c r="D130" s="130">
        <f>IF(BX$126="Close to Ear","EN 62209-1","EN 62209-2")</f>
        <v/>
      </c>
      <c r="E130" s="130">
        <f>IF(CG130="Close to Ear","2016","2010/A1:2019")</f>
        <v/>
      </c>
      <c r="F130" s="1488" t="inlineStr">
        <is>
          <t>5.1</t>
        </is>
      </c>
      <c r="G130" s="1497"/>
      <c r="H130" s="120">
        <f>BV130</f>
        <v/>
      </c>
      <c r="I130" s="120">
        <f>BW130</f>
        <v/>
      </c>
      <c r="J130" s="687" t="str">
        <f>BT130</f>
        <v>GSM</v>
      </c>
      <c r="K130" s="194">
        <f>BU130</f>
        <v>900</v>
      </c>
      <c r="L130" s="115"/>
      <c r="M130" s="120">
        <f>BZ130</f>
        <v>0</v>
      </c>
      <c r="N130" s="119"/>
      <c r="O130" s="131"/>
      <c r="P130" s="6597"/>
      <c r="Q130" s="131"/>
      <c r="R130" s="131"/>
      <c r="S130" s="120">
        <f>CG130</f>
        <v>0</v>
      </c>
      <c r="T130" s="120">
        <f>CC130</f>
        <v>975</v>
      </c>
      <c r="U130" s="120">
        <f>CD130</f>
        <v>880.2</v>
      </c>
      <c r="V130" s="119"/>
      <c r="W130" s="197">
        <f>CK130*100</f>
        <v/>
      </c>
      <c r="X130" s="119"/>
      <c r="Y130" s="119"/>
      <c r="Z130" s="119"/>
      <c r="AA130" s="115"/>
      <c r="AB130" s="115"/>
      <c r="AC130" s="689">
        <f>IF(OR(BX$126="Close to Ear",BX$126="Close to Head"),"Head",IF(BX$126="Extremity","Extremity","Body"))</f>
        <v/>
      </c>
      <c r="AD130" s="690">
        <f>CA130</f>
        <v/>
      </c>
      <c r="AE130" s="688">
        <f>CB130</f>
        <v/>
      </c>
      <c r="AF130" s="115"/>
      <c r="AG130" s="808">
        <f>IF(AZ130="","N/A",IF(CQ130="Pass","P","F"))</f>
        <v/>
      </c>
      <c r="AH130" s="129"/>
      <c r="AI130" s="129"/>
      <c r="AJ130" s="129"/>
      <c r="AK130" s="119"/>
      <c r="AL130" s="115"/>
      <c r="AM130" s="119"/>
      <c r="AN130" s="119"/>
      <c r="AO130" s="692"/>
      <c r="AP130" s="692"/>
      <c r="AQ130" s="692"/>
      <c r="AR130" s="692"/>
      <c r="AS130" s="692"/>
      <c r="AT130" s="691">
        <f>CE130</f>
        <v/>
      </c>
      <c r="AU130" s="691">
        <f>CF130</f>
        <v/>
      </c>
      <c r="AV130" s="813"/>
      <c r="AW130" s="813"/>
      <c r="AX130" s="197">
        <f>CZ130</f>
        <v/>
      </c>
      <c r="AY130" s="197">
        <f>DE130</f>
        <v/>
      </c>
      <c r="AZ130" s="3379">
        <f>CO130</f>
        <v/>
      </c>
      <c r="BA130" s="3380"/>
      <c r="BB130" s="197">
        <f>CP130</f>
        <v/>
      </c>
      <c r="BC130" s="813"/>
      <c r="BD130" s="197">
        <f>CR130</f>
        <v/>
      </c>
      <c r="BE130" s="121">
        <f>CS130</f>
        <v/>
      </c>
      <c r="BF130" s="122">
        <f>CT130*60</f>
        <v/>
      </c>
      <c r="BG130" s="121">
        <f>BE130</f>
        <v/>
      </c>
      <c r="BH130" s="122">
        <f>CU130*60</f>
        <v/>
      </c>
      <c r="BI130" s="122">
        <f>CV130</f>
        <v/>
      </c>
      <c r="BJ130" s="117"/>
      <c r="BK130" s="812">
        <f>Overview!$E$7</f>
        <v/>
      </c>
      <c r="BL130" s="117"/>
      <c r="BM130" s="836">
        <f>CW130</f>
        <v/>
      </c>
      <c r="BN130" s="812">
        <f>Overview!$P$153</f>
        <v/>
      </c>
      <c r="BO130" s="117"/>
      <c r="BP130" s="117"/>
      <c r="BQ130" s="115"/>
      <c r="BR130" s="1478" t="inlineStr">
        <is>
          <t>N/A</t>
        </is>
      </c>
      <c r="BS130" s="1548"/>
      <c r="BT130" s="1783" t="inlineStr">
        <is>
          <t>GSM</t>
        </is>
      </c>
      <c r="BU130" s="1783">
        <v>900</v>
      </c>
      <c r="BV130" s="400">
        <f>Overview!$H$31</f>
        <v/>
      </c>
      <c r="BW130" s="2010"/>
      <c r="BX130" s="1783"/>
      <c r="BY130" s="2040"/>
      <c r="BZ130" s="2040"/>
      <c r="CA130" s="401" t="str">
        <f>IF(COUNT(CF126:CF129)=0,IF(COUNT(CE126:CE129)=0,"TBD",VLOOKUP(MAX(CE126:CE129),CE126:CI129,5,FALSE)),VLOOKUP(MAX(CF126:CF129),CF126:CI129,4,FALSE))</f>
        <v>TBD</v>
      </c>
      <c r="CB130" s="2041">
        <v>0</v>
      </c>
      <c r="CC130" s="1063">
        <f>'2G-3G'!BX25</f>
        <v>975</v>
      </c>
      <c r="CD130" s="1063">
        <f>'2G-3G'!BY25</f>
        <v>880.2</v>
      </c>
      <c r="CE130" s="1523"/>
      <c r="CF130" s="1523"/>
      <c r="CG130" s="387" t="str">
        <f>IF(OR($BY$3="",$BY$3=""),"",$BY$3)</f>
        <v/>
      </c>
      <c r="CH130" s="387">
        <f>BZ130</f>
        <v/>
      </c>
      <c r="CI130" s="387">
        <f>CA130</f>
        <v/>
      </c>
      <c r="CJ130" s="1527"/>
      <c r="CK130" s="2042"/>
      <c r="CL130" s="206">
        <f>IF(CF130=""," ",IF(ABS(CE130-CF130)&lt;=0.125,"Valid","Not valid"))</f>
        <v/>
      </c>
      <c r="CM130" s="207">
        <f> IF(CE130="","",IF(AND(CE130&lt;&gt;"",CF130=""),IF(CE130&gt;=1,"Medir+Sig Max","No"),IF(CF130&lt;&gt;"",IF(CF130&gt;=1,"Medir+Sig Max","No"),"")))</f>
        <v/>
      </c>
      <c r="CN130" s="1787"/>
      <c r="CO130" s="220">
        <f>IF(CK130="",IF(AND(CE130="",CF130=""),"",IF(CF130="",IF(DE130&gt;1,ROUND(DE130*CE130,3),CE130),IF(DE130&gt;1,ROUND(DE130*CF130,3),CF130))),IF(AND(CE130="",CF130=""),"",IF(CF130="",IF(DE130&gt;1,ROUND(DE130*CE130*(1/(CK130)),3),CE130*(1/(CK130))),IF(DE130&gt;1,ROUND(DE130*CF130*(1/(CK130)),3),CF130*(1/(CK130))))))</f>
        <v/>
      </c>
      <c r="CP130" s="2043">
        <f>$CP$3</f>
        <v/>
      </c>
      <c r="CQ130" s="1472">
        <f>IF(CO130="","",IF(CO130&gt;CP130,"Fail","Pass"))</f>
        <v/>
      </c>
      <c r="CR130" s="1481">
        <f>IF(AND(MAX(CO126:CO131)=CO130,CO130&lt;&gt;0),COUNT($CR$3:CR129)+1,"")</f>
        <v/>
      </c>
      <c r="CS130" s="1565">
        <f>MyTimestamp(CO130)</f>
        <v/>
      </c>
      <c r="CT130" s="1531">
        <f>IF(CE130="",0,15)+IF(CF130="",0,15)</f>
        <v/>
      </c>
      <c r="CU130" s="1532">
        <f>IF(CT130=0,0,2)</f>
        <v/>
      </c>
      <c r="CV130" s="859" t="inlineStr">
        <is>
          <t>S/02</t>
        </is>
      </c>
      <c r="CW130" s="859" t="inlineStr">
        <is>
          <t>Dasy6</t>
        </is>
      </c>
      <c r="CX130" s="2038"/>
      <c r="CY130" s="2044"/>
      <c r="CZ130" s="1543">
        <f>10^(CJ130/20)*100-100</f>
        <v/>
      </c>
      <c r="DA130" s="1319">
        <f>IF('Tune-Up'!$H$12="","",'Tune-Up'!$H$12)</f>
        <v/>
      </c>
      <c r="DB130" s="695">
        <f>'2G-3G'!BZ25</f>
        <v/>
      </c>
      <c r="DC130" s="797">
        <f>IF(DA130="","",10^(DA130/10))</f>
        <v/>
      </c>
      <c r="DD130" s="1363">
        <f>IF(ISNUMBER(DB130)=FALSE,"",10^(DB130/10))</f>
        <v/>
      </c>
      <c r="DE130" s="1543">
        <f>IF(AND(ISNUMBER(DC130),ISNUMBER(DD130)),IF(DC130/DD130&gt;1,ROUND((DC130)/DD130,3),1),1)</f>
        <v/>
      </c>
      <c r="DF130" s="1541"/>
      <c r="DG130" s="1541"/>
      <c r="DH130" s="1541"/>
      <c r="DI130" s="1541"/>
      <c r="DJ130" s="1541"/>
      <c r="DK130" s="1541"/>
      <c r="DL130" s="1541"/>
      <c r="DM130" s="1541"/>
      <c r="DN130" s="1541"/>
      <c r="DO130" s="1541"/>
      <c r="DP130" s="1541"/>
      <c r="DQ130" s="1541"/>
      <c r="DR130" s="1541"/>
    </row>
    <row r="131" ht="12.75" x14ac:dyDescent="0.2">
      <c r="A131" s="1541"/>
      <c r="B131" s="1541"/>
      <c r="C131"/>
      <c r="D131" s="130">
        <f>IF(BX$126="Close to Ear","EN 62209-1","EN 62209-2")</f>
        <v/>
      </c>
      <c r="E131" s="130">
        <f>IF(CG131="Close to Ear","2016","2010/A1:2019")</f>
        <v/>
      </c>
      <c r="F131" s="1488" t="inlineStr">
        <is>
          <t>5.1</t>
        </is>
      </c>
      <c r="G131" s="1497"/>
      <c r="H131" s="120">
        <f>BV131</f>
        <v/>
      </c>
      <c r="I131" s="120">
        <f>BW131</f>
        <v/>
      </c>
      <c r="J131" s="687" t="str">
        <f>BT131</f>
        <v>GSM</v>
      </c>
      <c r="K131" s="194">
        <f>BU131</f>
        <v>900</v>
      </c>
      <c r="L131" s="115"/>
      <c r="M131" s="120">
        <f>BZ131</f>
        <v>0</v>
      </c>
      <c r="N131" s="119"/>
      <c r="O131" s="131"/>
      <c r="P131" s="6597"/>
      <c r="Q131" s="131"/>
      <c r="R131" s="131"/>
      <c r="S131" s="120">
        <f>CG131</f>
        <v>0</v>
      </c>
      <c r="T131" s="120">
        <f>CC131</f>
        <v>124</v>
      </c>
      <c r="U131" s="120">
        <f>CD131</f>
        <v>914.8</v>
      </c>
      <c r="V131" s="119"/>
      <c r="W131" s="197">
        <f>CK131*100</f>
        <v/>
      </c>
      <c r="X131" s="119"/>
      <c r="Y131" s="119"/>
      <c r="Z131" s="119"/>
      <c r="AA131" s="115"/>
      <c r="AB131" s="115"/>
      <c r="AC131" s="689">
        <f>IF(OR(BX$126="Close to Ear",BX$126="Close to Head"),"Head",IF(BX$126="Extremity","Extremity","Body"))</f>
        <v/>
      </c>
      <c r="AD131" s="690">
        <f>CA131</f>
        <v/>
      </c>
      <c r="AE131" s="688">
        <f>CB131</f>
        <v/>
      </c>
      <c r="AF131" s="115"/>
      <c r="AG131" s="808">
        <f>IF(AZ131="","N/A",IF(CQ131="Pass","P","F"))</f>
        <v/>
      </c>
      <c r="AH131" s="129"/>
      <c r="AI131" s="129"/>
      <c r="AJ131" s="129"/>
      <c r="AK131" s="119"/>
      <c r="AL131" s="115"/>
      <c r="AM131" s="119"/>
      <c r="AN131" s="119"/>
      <c r="AO131" s="692"/>
      <c r="AP131" s="692"/>
      <c r="AQ131" s="692"/>
      <c r="AR131" s="692"/>
      <c r="AS131" s="692"/>
      <c r="AT131" s="691">
        <f>CE131</f>
        <v/>
      </c>
      <c r="AU131" s="691">
        <f>CF131</f>
        <v/>
      </c>
      <c r="AV131" s="813"/>
      <c r="AW131" s="813"/>
      <c r="AX131" s="197">
        <f>CZ131</f>
        <v/>
      </c>
      <c r="AY131" s="197">
        <f>DE131</f>
        <v/>
      </c>
      <c r="AZ131" s="3379">
        <f>CO131</f>
        <v/>
      </c>
      <c r="BA131" s="3380"/>
      <c r="BB131" s="197">
        <f>CP131</f>
        <v/>
      </c>
      <c r="BC131" s="813"/>
      <c r="BD131" s="197">
        <f>CR131</f>
        <v/>
      </c>
      <c r="BE131" s="121">
        <f>CS131</f>
        <v/>
      </c>
      <c r="BF131" s="122">
        <f>CT131*60</f>
        <v/>
      </c>
      <c r="BG131" s="121">
        <f>BE131</f>
        <v/>
      </c>
      <c r="BH131" s="122">
        <f>CU131*60</f>
        <v/>
      </c>
      <c r="BI131" s="122">
        <f>CV131</f>
        <v/>
      </c>
      <c r="BJ131" s="117"/>
      <c r="BK131" s="812">
        <f>Overview!$E$7</f>
        <v/>
      </c>
      <c r="BL131" s="117"/>
      <c r="BM131" s="836">
        <f>CW131</f>
        <v/>
      </c>
      <c r="BN131" s="812">
        <f>Overview!$P$153</f>
        <v/>
      </c>
      <c r="BO131" s="117"/>
      <c r="BP131" s="117"/>
      <c r="BQ131" s="115"/>
      <c r="BR131" s="1478" t="inlineStr">
        <is>
          <t>N/A</t>
        </is>
      </c>
      <c r="BS131" s="1548"/>
      <c r="BT131" s="1783" t="inlineStr">
        <is>
          <t>GSM</t>
        </is>
      </c>
      <c r="BU131" s="1783">
        <v>900</v>
      </c>
      <c r="BV131" s="400">
        <f>Overview!$H$31</f>
        <v/>
      </c>
      <c r="BW131" s="2010"/>
      <c r="BX131" s="1783"/>
      <c r="BY131" s="2040"/>
      <c r="BZ131" s="2040"/>
      <c r="CA131" s="404" t="str">
        <f>IF(COUNT(CF126:CF129)=0,IF(COUNT(CE126:CE129)=0,"TBD",VLOOKUP(MAX(CE126:CE129),CE126:CI129,5,FALSE)),VLOOKUP(MAX(CF126:CF129),CF126:CI129,4,FALSE))</f>
        <v>TBD</v>
      </c>
      <c r="CB131" s="2045">
        <v>0</v>
      </c>
      <c r="CC131" s="1081">
        <f>'2G-3G'!BX26</f>
        <v>124</v>
      </c>
      <c r="CD131" s="1081">
        <f>'2G-3G'!BY26</f>
        <v>914.8</v>
      </c>
      <c r="CE131" s="1874"/>
      <c r="CF131" s="1874"/>
      <c r="CG131" s="388" t="str">
        <f>IF(OR($BY$3="",$BY$3=""),"",$BY$3)</f>
        <v/>
      </c>
      <c r="CH131" s="388">
        <f>BZ131</f>
        <v/>
      </c>
      <c r="CI131" s="388">
        <f>CA131</f>
        <v/>
      </c>
      <c r="CJ131" s="2046"/>
      <c r="CK131" s="2047"/>
      <c r="CL131" s="209">
        <f>IF(CF131=""," ",IF(ABS(CE131-CF131)&lt;=0.125,"Valid","Not valid"))</f>
        <v/>
      </c>
      <c r="CM131" s="210">
        <f> IF(CE131="","",IF(AND(CE131&lt;&gt;"",CF131=""),IF(CE131&gt;=1,"Medir+Sig Max","No"),IF(CF131&lt;&gt;"",IF(CF131&gt;=1,"Medir+Sig Max","No"),"")))</f>
        <v/>
      </c>
      <c r="CN131" s="1792"/>
      <c r="CO131" s="221">
        <f>IF(CK131="",IF(AND(CE131="",CF131=""),"",IF(CF131="",IF(DE131&gt;1,ROUND(DE131*CE131,3),CE131),IF(DE131&gt;1,ROUND(DE131*CF131,3),CF131))),IF(AND(CE131="",CF131=""),"",IF(CF131="",IF(DE131&gt;1,ROUND(DE131*CE131*(1/(CK131)),3),CE131*(1/(CK131))),IF(DE131&gt;1,ROUND(DE131*CF131*(1/(CK131)),3),CF131*(1/(CK131))))))</f>
        <v/>
      </c>
      <c r="CP131" s="2048">
        <f>$CP$3</f>
        <v/>
      </c>
      <c r="CQ131" s="1473">
        <f>IF(CO131="","",IF(CO131&gt;CP131,"Fail","Pass"))</f>
        <v/>
      </c>
      <c r="CR131" s="1482">
        <f>IF(AND(MAX(CO126:CO131)=CO131,CO131&lt;&gt;0),COUNT($CR$3:CR130)+1,"")</f>
        <v/>
      </c>
      <c r="CS131" s="2002">
        <f>MyTimestamp(CO131)</f>
        <v/>
      </c>
      <c r="CT131" s="1533">
        <f>IF(CE131="",0,15)+IF(CF131="",0,15)</f>
        <v/>
      </c>
      <c r="CU131" s="1534">
        <f>IF(CT131=0,0,2)</f>
        <v/>
      </c>
      <c r="CV131" s="860" t="inlineStr">
        <is>
          <t>S/02</t>
        </is>
      </c>
      <c r="CW131" s="860" t="inlineStr">
        <is>
          <t>Dasy6</t>
        </is>
      </c>
      <c r="CX131" s="2038"/>
      <c r="CY131" s="2049"/>
      <c r="CZ131" s="1544">
        <f>10^(CJ131/20)*100-100</f>
        <v/>
      </c>
      <c r="DA131" s="1320">
        <f>IF('Tune-Up'!$H$12="","",'Tune-Up'!$H$12)</f>
        <v/>
      </c>
      <c r="DB131" s="696">
        <f>'2G-3G'!BZ26</f>
        <v/>
      </c>
      <c r="DC131" s="798">
        <f>IF(DA131="","",10^(DA131/10))</f>
        <v/>
      </c>
      <c r="DD131" s="1364">
        <f>IF(ISNUMBER(DB131)=FALSE,"",10^(DB131/10))</f>
        <v/>
      </c>
      <c r="DE131" s="1544">
        <f>IF(AND(ISNUMBER(DC131),ISNUMBER(DD131)),IF(DC131/DD131&gt;1,ROUND((DC131)/DD131,3),1),1)</f>
        <v/>
      </c>
      <c r="DF131" s="1541"/>
      <c r="DG131" s="1541"/>
      <c r="DH131" s="1541"/>
      <c r="DI131" s="1541"/>
      <c r="DJ131" s="1541"/>
      <c r="DK131" s="1541"/>
      <c r="DL131" s="1541"/>
      <c r="DM131" s="1541"/>
      <c r="DN131" s="1541"/>
      <c r="DO131" s="1541"/>
      <c r="DP131" s="1541"/>
      <c r="DQ131" s="1541"/>
      <c r="DR131" s="1541"/>
    </row>
    <row r="132" ht="12.75" x14ac:dyDescent="0.2">
      <c r="A132" s="1541"/>
      <c r="B132" s="1541"/>
      <c r="C132"/>
      <c r="D132" s="130">
        <f>IF(BX$126="Close to Ear","EN 62209-1","EN 62209-2")</f>
        <v/>
      </c>
      <c r="E132" s="130">
        <f>IF(CG132="Close to Ear","2016","2010/A1:2019")</f>
        <v/>
      </c>
      <c r="F132" s="1488" t="inlineStr">
        <is>
          <t>5.1</t>
        </is>
      </c>
      <c r="G132" s="1497"/>
      <c r="H132" s="120">
        <f>BV132</f>
        <v/>
      </c>
      <c r="I132" s="120">
        <f>BW132</f>
        <v/>
      </c>
      <c r="J132" s="687">
        <f>BT132</f>
        <v/>
      </c>
      <c r="K132" s="194">
        <f>BU132</f>
        <v/>
      </c>
      <c r="L132" s="115"/>
      <c r="M132" s="120">
        <f>BZ132</f>
        <v/>
      </c>
      <c r="N132" s="119"/>
      <c r="O132" s="131"/>
      <c r="P132" s="6597"/>
      <c r="Q132" s="131"/>
      <c r="R132" s="131"/>
      <c r="S132" s="120">
        <f>CG132</f>
        <v/>
      </c>
      <c r="T132" s="120">
        <f>CC132</f>
        <v/>
      </c>
      <c r="U132" s="120">
        <f>CD132</f>
        <v/>
      </c>
      <c r="V132" s="119"/>
      <c r="W132" s="197">
        <f>CK132*100</f>
        <v/>
      </c>
      <c r="X132" s="119"/>
      <c r="Y132" s="119"/>
      <c r="Z132" s="119"/>
      <c r="AA132" s="115"/>
      <c r="AB132" s="115"/>
      <c r="AC132" s="689">
        <f>IF(OR(BX$126="Close to Ear",BX$126="Close to Head"),"Head",IF(BX$126="Extremity","Extremity","Body"))</f>
        <v/>
      </c>
      <c r="AD132" s="690">
        <f>CA132</f>
        <v/>
      </c>
      <c r="AE132" s="688">
        <f>CB132</f>
        <v/>
      </c>
      <c r="AF132" s="115"/>
      <c r="AG132" s="808">
        <f>IF(AZ132="","N/A",IF(CQ132="Pass","P","F"))</f>
        <v/>
      </c>
      <c r="AH132" s="129"/>
      <c r="AI132" s="129"/>
      <c r="AJ132" s="129"/>
      <c r="AK132" s="119"/>
      <c r="AL132" s="115"/>
      <c r="AM132" s="119"/>
      <c r="AN132" s="119"/>
      <c r="AO132" s="692"/>
      <c r="AP132" s="692"/>
      <c r="AQ132" s="692"/>
      <c r="AR132" s="692"/>
      <c r="AS132" s="692"/>
      <c r="AT132" s="691">
        <f>CE132</f>
        <v/>
      </c>
      <c r="AU132" s="691">
        <f>CF132</f>
        <v/>
      </c>
      <c r="AV132" s="813"/>
      <c r="AW132" s="813"/>
      <c r="AX132" s="197">
        <f>CZ132</f>
        <v/>
      </c>
      <c r="AY132" s="197">
        <f>DE132</f>
        <v/>
      </c>
      <c r="AZ132" s="3379">
        <f>CO132</f>
        <v/>
      </c>
      <c r="BA132" s="3380"/>
      <c r="BB132" s="197">
        <f>CP132</f>
        <v/>
      </c>
      <c r="BC132" s="813"/>
      <c r="BD132" s="197">
        <f>CR132</f>
        <v/>
      </c>
      <c r="BE132" s="121">
        <f>CS132</f>
        <v/>
      </c>
      <c r="BF132" s="122">
        <f>CT132*60</f>
        <v/>
      </c>
      <c r="BG132" s="121">
        <f>BE132</f>
        <v/>
      </c>
      <c r="BH132" s="122">
        <f>CU132*60</f>
        <v/>
      </c>
      <c r="BI132" s="122">
        <f>CV132</f>
        <v/>
      </c>
      <c r="BJ132" s="117"/>
      <c r="BK132" s="812">
        <f>Overview!$E$7</f>
        <v/>
      </c>
      <c r="BL132" s="117"/>
      <c r="BM132" s="836">
        <f>CW132</f>
        <v/>
      </c>
      <c r="BN132" s="812">
        <f>Overview!$P$153</f>
        <v/>
      </c>
      <c r="BO132" s="117"/>
      <c r="BP132" s="117"/>
      <c r="BQ132" s="115"/>
      <c r="BR132" s="1478" t="inlineStr">
        <is>
          <t>N/A</t>
        </is>
      </c>
      <c r="BS132" s="1548"/>
      <c r="BT132" s="1783" t="inlineStr">
        <is>
          <t>GSM</t>
        </is>
      </c>
      <c r="BU132" s="1783">
        <v>900</v>
      </c>
      <c r="BV132" s="400">
        <f>Overview!$H$31</f>
        <v/>
      </c>
      <c r="BW132" s="2010"/>
      <c r="BX132" s="1783"/>
      <c r="BY132" s="2040"/>
      <c r="BZ132" s="2040"/>
      <c r="CA132" s="404" t="str">
        <f>CONCATENATE(CA130," - Battery check 1")</f>
        <v>TBD - Battery check 1</v>
      </c>
      <c r="CB132" s="2045">
        <v>0</v>
      </c>
      <c r="CC132" s="1081">
        <f>IF(COUNT($CO$126:$CO$131)=0,"N/A",INDEX($CC$126:$CC$131,MATCH(MAX($CO$126:$CO$131),$CO$126:$CO$131,0)))</f>
        <v/>
      </c>
      <c r="CD132" s="1081">
        <f>IF(COUNT($CO$126:$CO$131)=0,"N/A",INDEX($CD$126:$CD$131,MATCH(MAX($CO$126:$CO$131),$CO$126:$CO$131,0)))</f>
        <v/>
      </c>
      <c r="CE132" s="1874"/>
      <c r="CF132" s="1874"/>
      <c r="CG132" s="388" t="inlineStr">
        <is>
          <t>N/A</t>
        </is>
      </c>
      <c r="CH132" s="388">
        <f>BZ132</f>
        <v/>
      </c>
      <c r="CI132" s="388">
        <f>CA132</f>
        <v/>
      </c>
      <c r="CJ132" s="2046"/>
      <c r="CK132" s="2047"/>
      <c r="CL132" s="209">
        <f>IF(CF132=""," ",IF(ABS(CE132-CF132)&lt;=0.125,"Valid","Not valid"))</f>
        <v/>
      </c>
      <c r="CM132" s="210">
        <f> IF(CE132="","",IF(AND(CE132&lt;&gt;"",CF132=""),IF(CE132&gt;=1,"Medir+Sig Max","No"),IF(CF132&lt;&gt;"",IF(CF132&gt;=1,"Medir+Sig Max","No"),"")))</f>
        <v/>
      </c>
      <c r="CN132" s="1792"/>
      <c r="CO132" s="221">
        <f>IF(CK132="",IF(AND(CE132="",CF132=""),"",IF(CF132="",IF(DE132&gt;1,ROUND(DE132*CE132,3),CE132),IF(DE132&gt;1,ROUND(DE132*CF132,3),CF132))),IF(AND(CE132="",CF132=""),"",IF(CF132="",IF(DE132&gt;1,ROUND(DE132*CE132*(1/(CK132)),3),CE132*(1/(CK132))),IF(DE132&gt;1,ROUND(DE132*CF132*(1/(CK132)),3),CF132*(1/(CK132))))))</f>
        <v/>
      </c>
      <c r="CP132" s="2048">
        <f>$CP$3</f>
        <v/>
      </c>
      <c r="CQ132" s="1473">
        <f>IF(CO132="","",IF(CO132&gt;CP132,"Fail","Pass"))</f>
        <v/>
      </c>
      <c r="CR132" s="1482">
        <f>IF(CO132&lt;&gt;"",MAX($CR$3:CR131)+1,"")</f>
        <v/>
      </c>
      <c r="CS132" s="2002">
        <f>MyTimestamp(CQ132)</f>
        <v/>
      </c>
      <c r="CT132" s="1533">
        <f>IF(COUNT(CE132:CF132)=1,15,IF(COUNT(CE132:CF132)=0,0,30))</f>
        <v/>
      </c>
      <c r="CU132" s="1534">
        <f>IF(CT132=0,0,2)</f>
        <v/>
      </c>
      <c r="CV132" s="860" t="inlineStr">
        <is>
          <t>S/02</t>
        </is>
      </c>
      <c r="CW132" s="860" t="inlineStr">
        <is>
          <t>Dasy6</t>
        </is>
      </c>
      <c r="CX132" s="2038"/>
      <c r="CY132" s="2049"/>
      <c r="CZ132" s="1544">
        <f>10^(CJ132/20)*100-100</f>
        <v/>
      </c>
      <c r="DA132" s="1320">
        <f>IF('Tune-Up'!$H$12="","",'Tune-Up'!$H$12)</f>
        <v/>
      </c>
      <c r="DB132" s="696">
        <f>IF(COUNT($CO$126:$CO$131)=0,"N/A",IFERROR(INDEX($DB$126:$DB$131,MATCH(MAX($CO$126:$CO$131),$CO$126:$CO$131,0)),"N/A"))</f>
        <v/>
      </c>
      <c r="DC132" s="798">
        <f>IF(DA132="","",10^(DA132/10))</f>
        <v/>
      </c>
      <c r="DD132" s="1364">
        <f>IF(ISNUMBER(DB132)=FALSE,"N/A",10^(DB132/10))</f>
        <v/>
      </c>
      <c r="DE132" s="1544">
        <f>IF(AND(ISNUMBER(DC132),ISNUMBER(DD132)),IF(DC132/DD132&gt;1,ROUND((DC132)/DD132,3),1),1)</f>
        <v/>
      </c>
      <c r="DF132" s="1541"/>
      <c r="DG132" s="1541"/>
      <c r="DH132" s="1541"/>
      <c r="DI132" s="1541"/>
      <c r="DJ132" s="1541"/>
      <c r="DK132" s="1541"/>
      <c r="DL132" s="1541"/>
      <c r="DM132" s="1541"/>
      <c r="DN132" s="1541"/>
      <c r="DO132" s="1541"/>
      <c r="DP132" s="1541"/>
      <c r="DQ132" s="1541"/>
      <c r="DR132" s="1541"/>
    </row>
    <row r="133" ht="12.75" x14ac:dyDescent="0.2">
      <c r="A133" s="1541"/>
      <c r="B133" s="1541"/>
      <c r="C133"/>
      <c r="D133" s="130">
        <f>IF(BX$126="Close to Ear","EN 62209-1","EN 62209-2")</f>
        <v/>
      </c>
      <c r="E133" s="130">
        <f>IF(CG133="Close to Ear","2016","2010/A1:2019")</f>
        <v/>
      </c>
      <c r="F133" s="1488" t="inlineStr">
        <is>
          <t>5.1</t>
        </is>
      </c>
      <c r="G133" s="1497"/>
      <c r="H133" s="120">
        <f>BV133</f>
        <v/>
      </c>
      <c r="I133" s="120">
        <f>BW133</f>
        <v/>
      </c>
      <c r="J133" s="687">
        <f>BT133</f>
        <v/>
      </c>
      <c r="K133" s="194">
        <f>BU133</f>
        <v/>
      </c>
      <c r="L133" s="115"/>
      <c r="M133" s="120">
        <f>BZ133</f>
        <v/>
      </c>
      <c r="N133" s="119"/>
      <c r="O133" s="131"/>
      <c r="P133" s="6597"/>
      <c r="Q133" s="131"/>
      <c r="R133" s="131"/>
      <c r="S133" s="120">
        <f>CG133</f>
        <v/>
      </c>
      <c r="T133" s="120">
        <f>CC133</f>
        <v/>
      </c>
      <c r="U133" s="120">
        <f>CD133</f>
        <v/>
      </c>
      <c r="V133" s="119"/>
      <c r="W133" s="197">
        <f>CK133*100</f>
        <v/>
      </c>
      <c r="X133" s="119"/>
      <c r="Y133" s="119"/>
      <c r="Z133" s="119"/>
      <c r="AA133" s="115"/>
      <c r="AB133" s="115"/>
      <c r="AC133" s="689">
        <f>IF(OR(BX$126="Close to Ear",BX$126="Close to Head"),"Head",IF(BX$126="Extremity","Extremity","Body"))</f>
        <v/>
      </c>
      <c r="AD133" s="690">
        <f>CA133</f>
        <v/>
      </c>
      <c r="AE133" s="688">
        <f>CB133</f>
        <v/>
      </c>
      <c r="AF133" s="115"/>
      <c r="AG133" s="808">
        <f>IF(AZ133="","N/A",IF(CQ133="Pass","P","F"))</f>
        <v/>
      </c>
      <c r="AH133" s="129"/>
      <c r="AI133" s="129"/>
      <c r="AJ133" s="129"/>
      <c r="AK133" s="119"/>
      <c r="AL133" s="115"/>
      <c r="AM133" s="119"/>
      <c r="AN133" s="119"/>
      <c r="AO133" s="692"/>
      <c r="AP133" s="692"/>
      <c r="AQ133" s="692"/>
      <c r="AR133" s="692"/>
      <c r="AS133" s="692"/>
      <c r="AT133" s="691">
        <f>CE133</f>
        <v/>
      </c>
      <c r="AU133" s="691">
        <f>CF133</f>
        <v/>
      </c>
      <c r="AV133" s="813"/>
      <c r="AW133" s="813"/>
      <c r="AX133" s="197">
        <f>CZ133</f>
        <v/>
      </c>
      <c r="AY133" s="197">
        <f>DE133</f>
        <v/>
      </c>
      <c r="AZ133" s="3379">
        <f>CO133</f>
        <v/>
      </c>
      <c r="BA133" s="3380"/>
      <c r="BB133" s="197">
        <f>CP133</f>
        <v/>
      </c>
      <c r="BC133" s="813"/>
      <c r="BD133" s="197">
        <f>CR133</f>
        <v/>
      </c>
      <c r="BE133" s="121">
        <f>CS133</f>
        <v/>
      </c>
      <c r="BF133" s="122">
        <f>CT133*60</f>
        <v/>
      </c>
      <c r="BG133" s="121">
        <f>BE133</f>
        <v/>
      </c>
      <c r="BH133" s="122">
        <f>CU133*60</f>
        <v/>
      </c>
      <c r="BI133" s="122">
        <f>CV133</f>
        <v/>
      </c>
      <c r="BJ133" s="117"/>
      <c r="BK133" s="812">
        <f>Overview!$E$7</f>
        <v/>
      </c>
      <c r="BL133" s="117"/>
      <c r="BM133" s="836">
        <f>CW133</f>
        <v/>
      </c>
      <c r="BN133" s="812">
        <f>Overview!$P$153</f>
        <v/>
      </c>
      <c r="BO133" s="117"/>
      <c r="BP133" s="117"/>
      <c r="BQ133" s="115"/>
      <c r="BR133" s="1478" t="inlineStr">
        <is>
          <t>N/A</t>
        </is>
      </c>
      <c r="BS133" s="1548"/>
      <c r="BT133" s="1783" t="inlineStr">
        <is>
          <t>GSM</t>
        </is>
      </c>
      <c r="BU133" s="1783">
        <v>900</v>
      </c>
      <c r="BV133" s="400">
        <f>Overview!$H$31</f>
        <v/>
      </c>
      <c r="BW133" s="2010"/>
      <c r="BX133" s="1783"/>
      <c r="BY133" s="2040"/>
      <c r="BZ133" s="2040"/>
      <c r="CA133" s="404" t="str">
        <f>CONCATENATE(CA131," - Battery check 2")</f>
        <v>TBD - Battery check 2</v>
      </c>
      <c r="CB133" s="2045">
        <v>0</v>
      </c>
      <c r="CC133" s="1081">
        <f>IF(COUNT($CO$126:$CO$131)=0,"N/A",INDEX($CC$126:$CC$131,MATCH(MAX($CO$126:$CO$131),$CO$126:$CO$131,0)))</f>
        <v/>
      </c>
      <c r="CD133" s="1081">
        <f>IF(COUNT($CO$126:$CO$131)=0,"N/A",INDEX($CD$126:$CD$131,MATCH(MAX($CO$126:$CO$131),$CO$126:$CO$131,0)))</f>
        <v/>
      </c>
      <c r="CE133" s="1874"/>
      <c r="CF133" s="1874"/>
      <c r="CG133" s="388" t="inlineStr">
        <is>
          <t>N/A</t>
        </is>
      </c>
      <c r="CH133" s="388">
        <f>BZ133</f>
        <v/>
      </c>
      <c r="CI133" s="388">
        <f>CA133</f>
        <v/>
      </c>
      <c r="CJ133" s="2046"/>
      <c r="CK133" s="2047"/>
      <c r="CL133" s="209">
        <f>IF(CF133=""," ",IF(ABS(CE133-CF133)&lt;=0.125,"Valid","Not valid"))</f>
        <v/>
      </c>
      <c r="CM133" s="210">
        <f> IF(CE133="","",IF(AND(CE133&lt;&gt;"",CF133=""),IF(CE133&gt;=1,"Medir+Sig Max","No"),IF(CF133&lt;&gt;"",IF(CF133&gt;=1,"Medir+Sig Max","No"),"")))</f>
        <v/>
      </c>
      <c r="CN133" s="1792"/>
      <c r="CO133" s="221">
        <f>IF(CK133="",IF(AND(CE133="",CF133=""),"",IF(CF133="",IF(DE133&gt;1,ROUND(DE133*CE133,3),CE133),IF(DE133&gt;1,ROUND(DE133*CF133,3),CF133))),IF(AND(CE133="",CF133=""),"",IF(CF133="",IF(DE133&gt;1,ROUND(DE133*CE133*(1/(CK133)),3),CE133*(1/(CK133))),IF(DE133&gt;1,ROUND(DE133*CF133*(1/(CK133)),3),CF133*(1/(CK133))))))</f>
        <v/>
      </c>
      <c r="CP133" s="2048">
        <f>$CP$3</f>
        <v/>
      </c>
      <c r="CQ133" s="1473">
        <f>IF(CO133="","",IF(CO133&gt;CP133,"Fail","Pass"))</f>
        <v/>
      </c>
      <c r="CR133" s="1482">
        <f>IF(CO133&lt;&gt;"",MAX($CR$3:CR132)+1,"")</f>
        <v/>
      </c>
      <c r="CS133" s="2002">
        <f>MyTimestamp(CQ133)</f>
        <v/>
      </c>
      <c r="CT133" s="1533">
        <f>IF(COUNT(CE133:CF133)=1,15,IF(COUNT(CE133:CF133)=0,0,30))</f>
        <v/>
      </c>
      <c r="CU133" s="1534">
        <f>IF(CT133=0,0,2)</f>
        <v/>
      </c>
      <c r="CV133" s="860" t="inlineStr">
        <is>
          <t>S/02</t>
        </is>
      </c>
      <c r="CW133" s="860" t="inlineStr">
        <is>
          <t>Dasy6</t>
        </is>
      </c>
      <c r="CX133" s="2038"/>
      <c r="CY133" s="2049"/>
      <c r="CZ133" s="1544">
        <f>10^(CJ133/20)*100-100</f>
        <v/>
      </c>
      <c r="DA133" s="1320">
        <f>IF('Tune-Up'!$H$12="","",'Tune-Up'!$H$12)</f>
        <v/>
      </c>
      <c r="DB133" s="696">
        <f>IF(COUNT($CO$126:$CO$131)=0,"N/A",IFERROR(INDEX($DB$126:$DB$131,MATCH(MAX($CO$126:$CO$131),$CO$126:$CO$131,0)),"N/A"))</f>
        <v/>
      </c>
      <c r="DC133" s="798">
        <f>IF(DA133="","",10^(DA133/10))</f>
        <v/>
      </c>
      <c r="DD133" s="1364">
        <f>IF(ISNUMBER(DB133)=FALSE,"N/A",10^(DB133/10))</f>
        <v/>
      </c>
      <c r="DE133" s="1544">
        <f>IF(AND(ISNUMBER(DC133),ISNUMBER(DD133)),IF(DC133/DD133&gt;1,ROUND((DC133)/DD133,3),1),1)</f>
        <v/>
      </c>
      <c r="DF133" s="1541"/>
      <c r="DG133" s="1541"/>
      <c r="DH133" s="1541"/>
      <c r="DI133" s="1541"/>
      <c r="DJ133" s="1541"/>
      <c r="DK133" s="1541"/>
      <c r="DL133" s="1541"/>
      <c r="DM133" s="1541"/>
      <c r="DN133" s="1541"/>
      <c r="DO133" s="1541"/>
      <c r="DP133" s="1541"/>
      <c r="DQ133" s="1541"/>
      <c r="DR133" s="1541"/>
    </row>
    <row r="134" ht="12.75" x14ac:dyDescent="0.2">
      <c r="A134" s="1541"/>
      <c r="B134" s="1541"/>
      <c r="C134"/>
      <c r="D134" s="130">
        <f>IF(BX$134="Close to Ear","EN 62209-1","EN 62209-2")</f>
        <v/>
      </c>
      <c r="E134" s="130">
        <f>IF(CG134="Close to Ear","2016","2010/A1:2019")</f>
        <v/>
      </c>
      <c r="F134" s="1488" t="inlineStr">
        <is>
          <t>5.1</t>
        </is>
      </c>
      <c r="G134" s="1497"/>
      <c r="H134" s="120">
        <f>BV134</f>
        <v/>
      </c>
      <c r="I134" s="120">
        <f>BW134</f>
        <v/>
      </c>
      <c r="J134" s="687" t="str">
        <f>BT134</f>
        <v>GSM</v>
      </c>
      <c r="K134" s="194">
        <f>BU134</f>
        <v>900</v>
      </c>
      <c r="L134" s="115"/>
      <c r="M134" s="120">
        <f>BZ134</f>
        <v>0</v>
      </c>
      <c r="N134" s="119"/>
      <c r="O134" s="131"/>
      <c r="P134" s="6597"/>
      <c r="Q134" s="131"/>
      <c r="R134" s="131"/>
      <c r="S134" s="120">
        <f>CG134</f>
        <v>0</v>
      </c>
      <c r="T134" s="120">
        <f>CC134</f>
        <v>37</v>
      </c>
      <c r="U134" s="120">
        <f>CD134</f>
        <v>897.4</v>
      </c>
      <c r="V134" s="119"/>
      <c r="W134" s="197">
        <f>CK134*100</f>
        <v/>
      </c>
      <c r="X134" s="119"/>
      <c r="Y134" s="119"/>
      <c r="Z134" s="119"/>
      <c r="AA134" s="115"/>
      <c r="AB134" s="115"/>
      <c r="AC134" s="689">
        <f>IF(OR(BX$134="Close to Ear",BX$134="Close to Head"),"Head",IF(BX$134="Extremity","Extremity","Body"))</f>
        <v/>
      </c>
      <c r="AD134" s="690">
        <f>CA134</f>
        <v/>
      </c>
      <c r="AE134" s="688">
        <f>CB134</f>
        <v/>
      </c>
      <c r="AF134" s="115"/>
      <c r="AG134" s="808">
        <f>IF(AZ134="","N/A",IF(CQ134="Pass","P","F"))</f>
        <v/>
      </c>
      <c r="AH134" s="129"/>
      <c r="AI134" s="129"/>
      <c r="AJ134" s="129"/>
      <c r="AK134" s="119"/>
      <c r="AL134" s="115"/>
      <c r="AM134" s="119"/>
      <c r="AN134" s="119"/>
      <c r="AO134" s="692"/>
      <c r="AP134" s="692"/>
      <c r="AQ134" s="692"/>
      <c r="AR134" s="692"/>
      <c r="AS134" s="692"/>
      <c r="AT134" s="691">
        <f>CE134</f>
        <v/>
      </c>
      <c r="AU134" s="691">
        <f>CF134</f>
        <v/>
      </c>
      <c r="AV134" s="813"/>
      <c r="AW134" s="813"/>
      <c r="AX134" s="197">
        <f>CZ134</f>
        <v/>
      </c>
      <c r="AY134" s="197">
        <f>DE134</f>
        <v/>
      </c>
      <c r="AZ134" s="3379">
        <f>CO134</f>
        <v/>
      </c>
      <c r="BA134" s="3380"/>
      <c r="BB134" s="197">
        <f>CP134</f>
        <v/>
      </c>
      <c r="BC134" s="813"/>
      <c r="BD134" s="197">
        <f>CR134</f>
        <v/>
      </c>
      <c r="BE134" s="121">
        <f>CS134</f>
        <v/>
      </c>
      <c r="BF134" s="122">
        <f>CT134*60</f>
        <v/>
      </c>
      <c r="BG134" s="121">
        <f>BE134</f>
        <v/>
      </c>
      <c r="BH134" s="122">
        <f>CU134*60</f>
        <v/>
      </c>
      <c r="BI134" s="122">
        <f>CV134</f>
        <v/>
      </c>
      <c r="BJ134" s="117"/>
      <c r="BK134" s="812">
        <f>Overview!$E$7</f>
        <v/>
      </c>
      <c r="BL134" s="117"/>
      <c r="BM134" s="836">
        <f>CW134</f>
        <v/>
      </c>
      <c r="BN134" s="812">
        <f>Overview!$P$153</f>
        <v/>
      </c>
      <c r="BO134" s="117"/>
      <c r="BP134" s="117"/>
      <c r="BQ134" s="115"/>
      <c r="BR134" s="1478" t="inlineStr">
        <is>
          <t>N/A</t>
        </is>
      </c>
      <c r="BS134" s="1548"/>
      <c r="BT134" s="1783" t="inlineStr">
        <is>
          <t>GSM</t>
        </is>
      </c>
      <c r="BU134" s="1783">
        <v>900</v>
      </c>
      <c r="BV134" s="400">
        <f>Overview!$H$31</f>
        <v/>
      </c>
      <c r="BW134" s="2010"/>
      <c r="BX134" s="7672" t="inlineStr">
        <is>
          <t>Close to Head</t>
        </is>
      </c>
      <c r="BY134" s="2040"/>
      <c r="BZ134" s="2040"/>
      <c r="CA134" s="1996" t="inlineStr">
        <is>
          <t>Front Face</t>
        </is>
      </c>
      <c r="CB134" s="202">
        <v>5</v>
      </c>
      <c r="CC134" s="1062">
        <f>'2G-3G'!BX24</f>
        <v>37</v>
      </c>
      <c r="CD134" s="1062">
        <f>'2G-3G'!BY24</f>
        <v>897.4</v>
      </c>
      <c r="CE134" s="1522"/>
      <c r="CF134" s="1522"/>
      <c r="CG134" s="386" t="str">
        <f>IF(OR($BY$3="",$BY$3=""),"",$BY$3)</f>
        <v/>
      </c>
      <c r="CH134" s="386">
        <f>BZ134</f>
        <v/>
      </c>
      <c r="CI134" s="386">
        <f>CA134</f>
        <v/>
      </c>
      <c r="CJ134" s="1526"/>
      <c r="CK134" s="2036"/>
      <c r="CL134" s="203">
        <f>IF(CF134=""," ",IF(ABS(CE134-CF134)&lt;=0.125,"Valid","Not valid"))</f>
        <v/>
      </c>
      <c r="CM134" s="204">
        <f> IF(CE134="","",IF(AND(CE134&lt;&gt;"",CF134=""),IF(CE134&gt;=1,"Medir+Sig Max","No"),IF(CF134&lt;&gt;"",IF(CF134&gt;=1,"Medir+Sig Max","No"),"")))</f>
        <v/>
      </c>
      <c r="CN134" s="1798"/>
      <c r="CO134" s="219">
        <f>IF(CK134="",IF(AND(CE134="",CF134=""),"",IF(CF134="",IF(DE134&gt;1,ROUND(DE134*CE134,3),CE134),IF(DE134&gt;1,ROUND(DE134*CF134,3),CF134))),IF(AND(CE134="",CF134=""),"",IF(CF134="",IF(DE134&gt;1,ROUND(DE134*CE134*(1/(CK134)),3),CE134*(1/(CK134))),IF(DE134&gt;1,ROUND(DE134*CF134*(1/(CK134)),3),CF134*(1/(CK134))))))</f>
        <v/>
      </c>
      <c r="CP134" s="2037">
        <f>$CP$3</f>
        <v/>
      </c>
      <c r="CQ134" s="1471">
        <f>IF(CO134="","",IF(CO134&gt;CP134,"Fail","Pass"))</f>
        <v/>
      </c>
      <c r="CR134" s="1480">
        <f>IF(AND(MAX(CO134:CO141)=CO134,CO134&lt;&gt;0),COUNT($CR$3:CR131)+1,"")</f>
        <v/>
      </c>
      <c r="CS134" s="1564">
        <f>MyTimestamp(CO134)</f>
        <v/>
      </c>
      <c r="CT134" s="1529">
        <f>IF(CE134="",0,15)+IF(CF134="",0,15)</f>
        <v/>
      </c>
      <c r="CU134" s="1530">
        <f>IF(CT134=0,0,2)</f>
        <v/>
      </c>
      <c r="CV134" s="862" t="inlineStr">
        <is>
          <t>S/02</t>
        </is>
      </c>
      <c r="CW134" s="862" t="inlineStr">
        <is>
          <t>Dasy6</t>
        </is>
      </c>
      <c r="CX134" s="2038"/>
      <c r="CY134" s="2039"/>
      <c r="CZ134" s="1542">
        <f>10^(CJ134/20)*100-100</f>
        <v/>
      </c>
      <c r="DA134" s="1318">
        <f>IF('Tune-Up'!$H$12="","",'Tune-Up'!$H$12)</f>
        <v/>
      </c>
      <c r="DB134" s="694">
        <f>'2G-3G'!BZ24</f>
        <v/>
      </c>
      <c r="DC134" s="796">
        <f>IF(DA134="","",10^(DA134/10))</f>
        <v/>
      </c>
      <c r="DD134" s="1362">
        <f>IF(ISNUMBER(DB134)=FALSE,"",10^(DB134/10))</f>
        <v/>
      </c>
      <c r="DE134" s="1542">
        <f>IF(AND(ISNUMBER(DC134),ISNUMBER(DD134)),IF(DC134/DD134&gt;1,ROUND((DC134)/DD134,3),1),1)</f>
        <v/>
      </c>
      <c r="DF134" s="1541"/>
      <c r="DG134" s="1541"/>
      <c r="DH134" s="1541"/>
      <c r="DI134" s="1541"/>
      <c r="DJ134" s="1541"/>
      <c r="DK134" s="1541"/>
      <c r="DL134" s="1541"/>
      <c r="DM134" s="1541"/>
      <c r="DN134" s="1541"/>
      <c r="DO134" s="1541"/>
      <c r="DP134" s="1541"/>
      <c r="DQ134" s="1541"/>
      <c r="DR134" s="1541"/>
    </row>
    <row r="135" ht="12.75" x14ac:dyDescent="0.2">
      <c r="A135" s="1541"/>
      <c r="B135" s="1541"/>
      <c r="C135"/>
      <c r="D135" s="130">
        <f>IF(BX$134="Close to Ear","EN 62209-1","EN 62209-2")</f>
        <v/>
      </c>
      <c r="E135" s="130">
        <f>IF(CG135="Close to Ear","2016","2010/A1:2019")</f>
        <v/>
      </c>
      <c r="F135" s="1488" t="inlineStr">
        <is>
          <t>5.1</t>
        </is>
      </c>
      <c r="G135" s="1497"/>
      <c r="H135" s="120">
        <f>BV135</f>
        <v/>
      </c>
      <c r="I135" s="120">
        <f>BW135</f>
        <v/>
      </c>
      <c r="J135" s="687" t="str">
        <f>BT135</f>
        <v>GSM</v>
      </c>
      <c r="K135" s="194">
        <f>BU135</f>
        <v>900</v>
      </c>
      <c r="L135" s="115"/>
      <c r="M135" s="120">
        <f>BZ135</f>
        <v>0</v>
      </c>
      <c r="N135" s="119"/>
      <c r="O135" s="131"/>
      <c r="P135" s="6597"/>
      <c r="Q135" s="131"/>
      <c r="R135" s="131"/>
      <c r="S135" s="120">
        <f>CG135</f>
        <v>0</v>
      </c>
      <c r="T135" s="120">
        <f>CC135</f>
        <v>37</v>
      </c>
      <c r="U135" s="120">
        <f>CD135</f>
        <v>897.4</v>
      </c>
      <c r="V135" s="119"/>
      <c r="W135" s="197">
        <f>CK135*100</f>
        <v/>
      </c>
      <c r="X135" s="119"/>
      <c r="Y135" s="119"/>
      <c r="Z135" s="119"/>
      <c r="AA135" s="115"/>
      <c r="AB135" s="115"/>
      <c r="AC135" s="689">
        <f>IF(OR(BX$134="Close to Ear",BX$134="Close to Head"),"Head",IF(BX$134="Extremity","Extremity","Body"))</f>
        <v/>
      </c>
      <c r="AD135" s="690">
        <f>CA135</f>
        <v/>
      </c>
      <c r="AE135" s="688">
        <f>CB135</f>
        <v/>
      </c>
      <c r="AF135" s="115"/>
      <c r="AG135" s="808">
        <f>IF(AZ135="","N/A",IF(CQ135="Pass","P","F"))</f>
        <v/>
      </c>
      <c r="AH135" s="129"/>
      <c r="AI135" s="129"/>
      <c r="AJ135" s="129"/>
      <c r="AK135" s="119"/>
      <c r="AL135" s="115"/>
      <c r="AM135" s="119"/>
      <c r="AN135" s="119"/>
      <c r="AO135" s="692"/>
      <c r="AP135" s="692"/>
      <c r="AQ135" s="692"/>
      <c r="AR135" s="692"/>
      <c r="AS135" s="692"/>
      <c r="AT135" s="691">
        <f>CE135</f>
        <v/>
      </c>
      <c r="AU135" s="691">
        <f>CF135</f>
        <v/>
      </c>
      <c r="AV135" s="813"/>
      <c r="AW135" s="813"/>
      <c r="AX135" s="197">
        <f>CZ135</f>
        <v/>
      </c>
      <c r="AY135" s="197">
        <f>DE135</f>
        <v/>
      </c>
      <c r="AZ135" s="3379">
        <f>CO135</f>
        <v/>
      </c>
      <c r="BA135" s="3380"/>
      <c r="BB135" s="197">
        <f>CP135</f>
        <v/>
      </c>
      <c r="BC135" s="813"/>
      <c r="BD135" s="197">
        <f>CR135</f>
        <v/>
      </c>
      <c r="BE135" s="121">
        <f>CS135</f>
        <v/>
      </c>
      <c r="BF135" s="122">
        <f>CT135*60</f>
        <v/>
      </c>
      <c r="BG135" s="121">
        <f>BE135</f>
        <v/>
      </c>
      <c r="BH135" s="122">
        <f>CU135*60</f>
        <v/>
      </c>
      <c r="BI135" s="122">
        <f>CV135</f>
        <v/>
      </c>
      <c r="BJ135" s="117"/>
      <c r="BK135" s="812">
        <f>Overview!$E$7</f>
        <v/>
      </c>
      <c r="BL135" s="117"/>
      <c r="BM135" s="836">
        <f>CW135</f>
        <v/>
      </c>
      <c r="BN135" s="812">
        <f>Overview!$P$153</f>
        <v/>
      </c>
      <c r="BO135" s="117"/>
      <c r="BP135" s="117"/>
      <c r="BQ135" s="115"/>
      <c r="BR135" s="1478" t="inlineStr">
        <is>
          <t>N/A</t>
        </is>
      </c>
      <c r="BS135" s="1548"/>
      <c r="BT135" s="1783" t="inlineStr">
        <is>
          <t>GSM</t>
        </is>
      </c>
      <c r="BU135" s="1783">
        <v>900</v>
      </c>
      <c r="BV135" s="400">
        <f>Overview!$H$31</f>
        <v/>
      </c>
      <c r="BW135" s="2010"/>
      <c r="BX135" s="1783"/>
      <c r="BY135" s="2040"/>
      <c r="BZ135" s="2040"/>
      <c r="CA135" s="1997" t="inlineStr">
        <is>
          <t>Back Face</t>
        </is>
      </c>
      <c r="CB135" s="200">
        <v>5</v>
      </c>
      <c r="CC135" s="1063">
        <f>'2G-3G'!BX24</f>
        <v>37</v>
      </c>
      <c r="CD135" s="1063">
        <f>'2G-3G'!BY24</f>
        <v>897.4</v>
      </c>
      <c r="CE135" s="1523"/>
      <c r="CF135" s="1523"/>
      <c r="CG135" s="387" t="str">
        <f>IF(OR($BY$3="",$BY$3=""),"",$BY$3)</f>
        <v/>
      </c>
      <c r="CH135" s="387">
        <f>BZ135</f>
        <v/>
      </c>
      <c r="CI135" s="387">
        <f>CA135</f>
        <v/>
      </c>
      <c r="CJ135" s="1527"/>
      <c r="CK135" s="2042"/>
      <c r="CL135" s="206">
        <f>IF(CF135=""," ",IF(ABS(CE135-CF135)&lt;=0.125,"Valid","Not valid"))</f>
        <v/>
      </c>
      <c r="CM135" s="207">
        <f> IF(CE135="","",IF(AND(CE135&lt;&gt;"",CF135=""),IF(CE135&gt;=1,"Medir+Sig Max","No"),IF(CF135&lt;&gt;"",IF(CF135&gt;=1,"Medir+Sig Max","No"),"")))</f>
        <v/>
      </c>
      <c r="CN135" s="1787"/>
      <c r="CO135" s="220">
        <f>IF(CK135="",IF(AND(CE135="",CF135=""),"",IF(CF135="",IF(DE135&gt;1,ROUND(DE135*CE135,3),CE135),IF(DE135&gt;1,ROUND(DE135*CF135,3),CF135))),IF(AND(CE135="",CF135=""),"",IF(CF135="",IF(DE135&gt;1,ROUND(DE135*CE135*(1/(CK135)),3),CE135*(1/(CK135))),IF(DE135&gt;1,ROUND(DE135*CF135*(1/(CK135)),3),CF135*(1/(CK135))))))</f>
        <v/>
      </c>
      <c r="CP135" s="2043">
        <f>$CP$3</f>
        <v/>
      </c>
      <c r="CQ135" s="1472">
        <f>IF(CO135="","",IF(CO135&gt;CP135,"Fail","Pass"))</f>
        <v/>
      </c>
      <c r="CR135" s="1481">
        <f>IF(AND(MAX(CO134:CO141)=CO135,CO135&lt;&gt;0),COUNT($CR$3:CR134)+1,"")</f>
        <v/>
      </c>
      <c r="CS135" s="1565">
        <f>MyTimestamp(CO135)</f>
        <v/>
      </c>
      <c r="CT135" s="1531">
        <f>IF(CE135="",0,15)+IF(CF135="",0,15)</f>
        <v/>
      </c>
      <c r="CU135" s="1532">
        <f>IF(CT135=0,0,2)</f>
        <v/>
      </c>
      <c r="CV135" s="859" t="inlineStr">
        <is>
          <t>S/02</t>
        </is>
      </c>
      <c r="CW135" s="859" t="inlineStr">
        <is>
          <t>Dasy6</t>
        </is>
      </c>
      <c r="CX135" s="2038"/>
      <c r="CY135" s="2044"/>
      <c r="CZ135" s="1543">
        <f>10^(CJ135/20)*100-100</f>
        <v/>
      </c>
      <c r="DA135" s="1319">
        <f>IF('Tune-Up'!$H$12="","",'Tune-Up'!$H$12)</f>
        <v/>
      </c>
      <c r="DB135" s="695">
        <f>'2G-3G'!BZ24</f>
        <v/>
      </c>
      <c r="DC135" s="797">
        <f>IF(DA135="","",10^(DA135/10))</f>
        <v/>
      </c>
      <c r="DD135" s="1363">
        <f>IF(ISNUMBER(DB135)=FALSE,"",10^(DB135/10))</f>
        <v/>
      </c>
      <c r="DE135" s="1543">
        <f>IF(AND(ISNUMBER(DC135),ISNUMBER(DD135)),IF(DC135/DD135&gt;1,ROUND((DC135)/DD135,3),1),1)</f>
        <v/>
      </c>
      <c r="DF135" s="1541"/>
      <c r="DG135" s="1541"/>
      <c r="DH135" s="1541"/>
      <c r="DI135" s="1541"/>
      <c r="DJ135" s="1541"/>
      <c r="DK135" s="1541"/>
      <c r="DL135" s="1541"/>
      <c r="DM135" s="1541"/>
      <c r="DN135" s="1541"/>
      <c r="DO135" s="1541"/>
      <c r="DP135" s="1541"/>
      <c r="DQ135" s="1541"/>
      <c r="DR135" s="1541"/>
    </row>
    <row r="136" ht="12.75" x14ac:dyDescent="0.2">
      <c r="A136" s="1541"/>
      <c r="B136" s="1541"/>
      <c r="C136"/>
      <c r="D136" s="130">
        <f>IF(BX$134="Close to Ear","EN 62209-1","EN 62209-2")</f>
        <v/>
      </c>
      <c r="E136" s="130">
        <f>IF(CG136="Close to Ear","2016","2010/A1:2019")</f>
        <v/>
      </c>
      <c r="F136" s="1488" t="inlineStr">
        <is>
          <t>5.1</t>
        </is>
      </c>
      <c r="G136" s="1497"/>
      <c r="H136" s="120">
        <f>BV136</f>
        <v/>
      </c>
      <c r="I136" s="120">
        <f>BW136</f>
        <v/>
      </c>
      <c r="J136" s="687" t="str">
        <f>BT136</f>
        <v>GSM</v>
      </c>
      <c r="K136" s="194">
        <f>BU136</f>
        <v>900</v>
      </c>
      <c r="L136" s="115"/>
      <c r="M136" s="120">
        <f>BZ136</f>
        <v>0</v>
      </c>
      <c r="N136" s="119"/>
      <c r="O136" s="131"/>
      <c r="P136" s="6597"/>
      <c r="Q136" s="131"/>
      <c r="R136" s="131"/>
      <c r="S136" s="120">
        <f>CG136</f>
        <v>0</v>
      </c>
      <c r="T136" s="120">
        <f>CC136</f>
        <v>37</v>
      </c>
      <c r="U136" s="120">
        <f>CD136</f>
        <v>897.4</v>
      </c>
      <c r="V136" s="119"/>
      <c r="W136" s="197">
        <f>CK136*100</f>
        <v/>
      </c>
      <c r="X136" s="119"/>
      <c r="Y136" s="119"/>
      <c r="Z136" s="119"/>
      <c r="AA136" s="115"/>
      <c r="AB136" s="115"/>
      <c r="AC136" s="689">
        <f>IF(OR(BX$134="Close to Ear",BX$134="Close to Head"),"Head",IF(BX$134="Extremity","Extremity","Body"))</f>
        <v/>
      </c>
      <c r="AD136" s="690">
        <f>CA136</f>
        <v/>
      </c>
      <c r="AE136" s="688">
        <f>CB136</f>
        <v/>
      </c>
      <c r="AF136" s="115"/>
      <c r="AG136" s="808">
        <f>IF(AZ136="","N/A",IF(CQ136="Pass","P","F"))</f>
        <v/>
      </c>
      <c r="AH136" s="129"/>
      <c r="AI136" s="129"/>
      <c r="AJ136" s="129"/>
      <c r="AK136" s="119"/>
      <c r="AL136" s="115"/>
      <c r="AM136" s="119"/>
      <c r="AN136" s="119"/>
      <c r="AO136" s="692"/>
      <c r="AP136" s="692"/>
      <c r="AQ136" s="692"/>
      <c r="AR136" s="692"/>
      <c r="AS136" s="692"/>
      <c r="AT136" s="691">
        <f>CE136</f>
        <v/>
      </c>
      <c r="AU136" s="691">
        <f>CF136</f>
        <v/>
      </c>
      <c r="AV136" s="813"/>
      <c r="AW136" s="813"/>
      <c r="AX136" s="197">
        <f>CZ136</f>
        <v/>
      </c>
      <c r="AY136" s="197">
        <f>DE136</f>
        <v/>
      </c>
      <c r="AZ136" s="3379">
        <f>CO136</f>
        <v/>
      </c>
      <c r="BA136" s="3380"/>
      <c r="BB136" s="197">
        <f>CP136</f>
        <v/>
      </c>
      <c r="BC136" s="813"/>
      <c r="BD136" s="197">
        <f>CR136</f>
        <v/>
      </c>
      <c r="BE136" s="121">
        <f>CS136</f>
        <v/>
      </c>
      <c r="BF136" s="122">
        <f>CT136*60</f>
        <v/>
      </c>
      <c r="BG136" s="121">
        <f>BE136</f>
        <v/>
      </c>
      <c r="BH136" s="122">
        <f>CU136*60</f>
        <v/>
      </c>
      <c r="BI136" s="122">
        <f>CV136</f>
        <v/>
      </c>
      <c r="BJ136" s="117"/>
      <c r="BK136" s="812">
        <f>Overview!$E$7</f>
        <v/>
      </c>
      <c r="BL136" s="117"/>
      <c r="BM136" s="836">
        <f>CW136</f>
        <v/>
      </c>
      <c r="BN136" s="812">
        <f>Overview!$P$153</f>
        <v/>
      </c>
      <c r="BO136" s="117"/>
      <c r="BP136" s="117"/>
      <c r="BQ136" s="115"/>
      <c r="BR136" s="1478" t="inlineStr">
        <is>
          <t>N/A</t>
        </is>
      </c>
      <c r="BS136" s="1548"/>
      <c r="BT136" s="1783" t="inlineStr">
        <is>
          <t>GSM</t>
        </is>
      </c>
      <c r="BU136" s="1783">
        <v>900</v>
      </c>
      <c r="BV136" s="400">
        <f>Overview!$H$31</f>
        <v/>
      </c>
      <c r="BW136" s="2010"/>
      <c r="BX136" s="1783"/>
      <c r="BY136" s="2040"/>
      <c r="BZ136" s="2040"/>
      <c r="CA136" s="1997" t="inlineStr">
        <is>
          <t>Left Edge</t>
        </is>
      </c>
      <c r="CB136" s="200">
        <v>5</v>
      </c>
      <c r="CC136" s="1063">
        <f>'2G-3G'!BX24</f>
        <v>37</v>
      </c>
      <c r="CD136" s="1063">
        <f>'2G-3G'!BY24</f>
        <v>897.4</v>
      </c>
      <c r="CE136" s="1523"/>
      <c r="CF136" s="1523"/>
      <c r="CG136" s="387" t="str">
        <f>IF(OR($BY$3="",$BY$3=""),"",$BY$3)</f>
        <v/>
      </c>
      <c r="CH136" s="387">
        <f>BZ136</f>
        <v/>
      </c>
      <c r="CI136" s="387">
        <f>CA136</f>
        <v/>
      </c>
      <c r="CJ136" s="1527"/>
      <c r="CK136" s="2042"/>
      <c r="CL136" s="206">
        <f>IF(CF136=""," ",IF(ABS(CE136-CF136)&lt;=0.125,"Valid","Not valid"))</f>
        <v/>
      </c>
      <c r="CM136" s="207">
        <f> IF(CE136="","",IF(AND(CE136&lt;&gt;"",CF136=""),IF(CE136&gt;=1,"Medir+Sig Max","No"),IF(CF136&lt;&gt;"",IF(CF136&gt;=1,"Medir+Sig Max","No"),"")))</f>
        <v/>
      </c>
      <c r="CN136" s="1787"/>
      <c r="CO136" s="220">
        <f>IF(CK136="",IF(AND(CE136="",CF136=""),"",IF(CF136="",IF(DE136&gt;1,ROUND(DE136*CE136,3),CE136),IF(DE136&gt;1,ROUND(DE136*CF136,3),CF136))),IF(AND(CE136="",CF136=""),"",IF(CF136="",IF(DE136&gt;1,ROUND(DE136*CE136*(1/(CK136)),3),CE136*(1/(CK136))),IF(DE136&gt;1,ROUND(DE136*CF136*(1/(CK136)),3),CF136*(1/(CK136))))))</f>
        <v/>
      </c>
      <c r="CP136" s="2043">
        <f>$CP$3</f>
        <v/>
      </c>
      <c r="CQ136" s="1472">
        <f>IF(CO136="","",IF(CO136&gt;CP136,"Fail","Pass"))</f>
        <v/>
      </c>
      <c r="CR136" s="1481">
        <f>IF(AND(MAX(CO134:CO141)=CO136,CO136&lt;&gt;0),COUNT($CR$3:CR135)+1,"")</f>
        <v/>
      </c>
      <c r="CS136" s="1565">
        <f>MyTimestamp(CO136)</f>
        <v/>
      </c>
      <c r="CT136" s="1531">
        <f>IF(CE136="",0,15)+IF(CF136="",0,15)</f>
        <v/>
      </c>
      <c r="CU136" s="1532">
        <f>IF(CT136=0,0,2)</f>
        <v/>
      </c>
      <c r="CV136" s="859" t="inlineStr">
        <is>
          <t>S/02</t>
        </is>
      </c>
      <c r="CW136" s="859" t="inlineStr">
        <is>
          <t>Dasy6</t>
        </is>
      </c>
      <c r="CX136" s="2038"/>
      <c r="CY136" s="2044"/>
      <c r="CZ136" s="1543">
        <f>10^(CJ136/20)*100-100</f>
        <v/>
      </c>
      <c r="DA136" s="1319">
        <f>IF('Tune-Up'!$H$12="","",'Tune-Up'!$H$12)</f>
        <v/>
      </c>
      <c r="DB136" s="695">
        <f>'2G-3G'!BZ24</f>
        <v/>
      </c>
      <c r="DC136" s="797">
        <f>IF(DA136="","",10^(DA136/10))</f>
        <v/>
      </c>
      <c r="DD136" s="1363">
        <f>IF(ISNUMBER(DB136)=FALSE,"",10^(DB136/10))</f>
        <v/>
      </c>
      <c r="DE136" s="1543">
        <f>IF(AND(ISNUMBER(DC136),ISNUMBER(DD136)),IF(DC136/DD136&gt;1,ROUND((DC136)/DD136,3),1),1)</f>
        <v/>
      </c>
      <c r="DF136" s="1541"/>
      <c r="DG136" s="1541"/>
      <c r="DH136" s="1541"/>
      <c r="DI136" s="1541"/>
      <c r="DJ136" s="1541"/>
      <c r="DK136" s="1541"/>
      <c r="DL136" s="1541"/>
      <c r="DM136" s="1541"/>
      <c r="DN136" s="1541"/>
      <c r="DO136" s="1541"/>
      <c r="DP136" s="1541"/>
      <c r="DQ136" s="1541"/>
      <c r="DR136" s="1541"/>
    </row>
    <row r="137" ht="12.75" x14ac:dyDescent="0.2">
      <c r="A137" s="1541"/>
      <c r="B137" s="1541"/>
      <c r="C137"/>
      <c r="D137" s="130">
        <f>IF(BX$134="Close to Ear","EN 62209-1","EN 62209-2")</f>
        <v/>
      </c>
      <c r="E137" s="130">
        <f>IF(CG137="Close to Ear","2016","2010/A1:2019")</f>
        <v/>
      </c>
      <c r="F137" s="1488" t="inlineStr">
        <is>
          <t>5.1</t>
        </is>
      </c>
      <c r="G137" s="1497"/>
      <c r="H137" s="120">
        <f>BV137</f>
        <v/>
      </c>
      <c r="I137" s="120">
        <f>BW137</f>
        <v/>
      </c>
      <c r="J137" s="687" t="str">
        <f>BT137</f>
        <v>GSM</v>
      </c>
      <c r="K137" s="194">
        <f>BU137</f>
        <v>900</v>
      </c>
      <c r="L137" s="115"/>
      <c r="M137" s="120">
        <f>BZ137</f>
        <v>0</v>
      </c>
      <c r="N137" s="119"/>
      <c r="O137" s="131"/>
      <c r="P137" s="6597"/>
      <c r="Q137" s="131"/>
      <c r="R137" s="131"/>
      <c r="S137" s="120">
        <f>CG137</f>
        <v>0</v>
      </c>
      <c r="T137" s="120">
        <f>CC137</f>
        <v>37</v>
      </c>
      <c r="U137" s="120">
        <f>CD137</f>
        <v>897.4</v>
      </c>
      <c r="V137" s="119"/>
      <c r="W137" s="197">
        <f>CK137*100</f>
        <v/>
      </c>
      <c r="X137" s="119"/>
      <c r="Y137" s="119"/>
      <c r="Z137" s="119"/>
      <c r="AA137" s="115"/>
      <c r="AB137" s="115"/>
      <c r="AC137" s="689">
        <f>IF(OR(BX$134="Close to Ear",BX$134="Close to Head"),"Head",IF(BX$134="Extremity","Extremity","Body"))</f>
        <v/>
      </c>
      <c r="AD137" s="690">
        <f>CA137</f>
        <v/>
      </c>
      <c r="AE137" s="688">
        <f>CB137</f>
        <v/>
      </c>
      <c r="AF137" s="115"/>
      <c r="AG137" s="808">
        <f>IF(AZ137="","N/A",IF(CQ137="Pass","P","F"))</f>
        <v/>
      </c>
      <c r="AH137" s="129"/>
      <c r="AI137" s="129"/>
      <c r="AJ137" s="129"/>
      <c r="AK137" s="119"/>
      <c r="AL137" s="115"/>
      <c r="AM137" s="119"/>
      <c r="AN137" s="119"/>
      <c r="AO137" s="692"/>
      <c r="AP137" s="692"/>
      <c r="AQ137" s="692"/>
      <c r="AR137" s="692"/>
      <c r="AS137" s="692"/>
      <c r="AT137" s="691">
        <f>CE137</f>
        <v/>
      </c>
      <c r="AU137" s="691">
        <f>CF137</f>
        <v/>
      </c>
      <c r="AV137" s="813"/>
      <c r="AW137" s="813"/>
      <c r="AX137" s="197">
        <f>CZ137</f>
        <v/>
      </c>
      <c r="AY137" s="197">
        <f>DE137</f>
        <v/>
      </c>
      <c r="AZ137" s="3379">
        <f>CO137</f>
        <v/>
      </c>
      <c r="BA137" s="3380"/>
      <c r="BB137" s="197">
        <f>CP137</f>
        <v/>
      </c>
      <c r="BC137" s="813"/>
      <c r="BD137" s="197">
        <f>CR137</f>
        <v/>
      </c>
      <c r="BE137" s="121">
        <f>CS137</f>
        <v/>
      </c>
      <c r="BF137" s="122">
        <f>CT137*60</f>
        <v/>
      </c>
      <c r="BG137" s="121">
        <f>BE137</f>
        <v/>
      </c>
      <c r="BH137" s="122">
        <f>CU137*60</f>
        <v/>
      </c>
      <c r="BI137" s="122">
        <f>CV137</f>
        <v/>
      </c>
      <c r="BJ137" s="117"/>
      <c r="BK137" s="812">
        <f>Overview!$E$7</f>
        <v/>
      </c>
      <c r="BL137" s="117"/>
      <c r="BM137" s="836">
        <f>CW137</f>
        <v/>
      </c>
      <c r="BN137" s="812">
        <f>Overview!$P$153</f>
        <v/>
      </c>
      <c r="BO137" s="117"/>
      <c r="BP137" s="117"/>
      <c r="BQ137" s="115"/>
      <c r="BR137" s="1478" t="inlineStr">
        <is>
          <t>N/A</t>
        </is>
      </c>
      <c r="BS137" s="1548"/>
      <c r="BT137" s="1791" t="inlineStr">
        <is>
          <t>GSM</t>
        </is>
      </c>
      <c r="BU137" s="1791">
        <v>900</v>
      </c>
      <c r="BV137" s="403">
        <f>Overview!$H$31</f>
        <v/>
      </c>
      <c r="BW137" s="2010"/>
      <c r="BX137" s="1791"/>
      <c r="BY137" s="2040"/>
      <c r="BZ137" s="2040"/>
      <c r="CA137" s="1997" t="inlineStr">
        <is>
          <t>Right Edge</t>
        </is>
      </c>
      <c r="CB137" s="200">
        <v>5</v>
      </c>
      <c r="CC137" s="1063">
        <f>'2G-3G'!BX24</f>
        <v>37</v>
      </c>
      <c r="CD137" s="1063">
        <f>'2G-3G'!BY24</f>
        <v>897.4</v>
      </c>
      <c r="CE137" s="1523"/>
      <c r="CF137" s="1523"/>
      <c r="CG137" s="387" t="str">
        <f>IF(OR($BY$3="",$BY$3=""),"",$BY$3)</f>
        <v/>
      </c>
      <c r="CH137" s="387">
        <f>BZ137</f>
        <v/>
      </c>
      <c r="CI137" s="387">
        <f>CA137</f>
        <v/>
      </c>
      <c r="CJ137" s="1527"/>
      <c r="CK137" s="2042"/>
      <c r="CL137" s="206">
        <f>IF(CF137=""," ",IF(ABS(CE137-CF137)&lt;=0.125,"Valid","Not valid"))</f>
        <v/>
      </c>
      <c r="CM137" s="207">
        <f> IF(CE137="","",IF(AND(CE137&lt;&gt;"",CF137=""),IF(CE137&gt;=1,"Medir+Sig Max","No"),IF(CF137&lt;&gt;"",IF(CF137&gt;=1,"Medir+Sig Max","No"),"")))</f>
        <v/>
      </c>
      <c r="CN137" s="1787"/>
      <c r="CO137" s="220">
        <f>IF(CK137="",IF(AND(CE137="",CF137=""),"",IF(CF137="",IF(DE137&gt;1,ROUND(DE137*CE137,3),CE137),IF(DE137&gt;1,ROUND(DE137*CF137,3),CF137))),IF(AND(CE137="",CF137=""),"",IF(CF137="",IF(DE137&gt;1,ROUND(DE137*CE137*(1/(CK137)),3),CE137*(1/(CK137))),IF(DE137&gt;1,ROUND(DE137*CF137*(1/(CK137)),3),CF137*(1/(CK137))))))</f>
        <v/>
      </c>
      <c r="CP137" s="2043">
        <f>$CP$3</f>
        <v/>
      </c>
      <c r="CQ137" s="1472">
        <f>IF(CO137="","",IF(CO137&gt;CP137,"Fail","Pass"))</f>
        <v/>
      </c>
      <c r="CR137" s="1481">
        <f>IF(AND(MAX(CO134:CO141)=CO137,CO137&lt;&gt;0),COUNT($CR$3:CR136)+1,"")</f>
        <v/>
      </c>
      <c r="CS137" s="1565">
        <f>MyTimestamp(CO137)</f>
        <v/>
      </c>
      <c r="CT137" s="1531">
        <f>IF(CE137="",0,15)+IF(CF137="",0,15)</f>
        <v/>
      </c>
      <c r="CU137" s="1532">
        <f>IF(CT137=0,0,2)</f>
        <v/>
      </c>
      <c r="CV137" s="859" t="inlineStr">
        <is>
          <t>S/02</t>
        </is>
      </c>
      <c r="CW137" s="859" t="inlineStr">
        <is>
          <t>Dasy6</t>
        </is>
      </c>
      <c r="CX137" s="2038"/>
      <c r="CY137" s="2044"/>
      <c r="CZ137" s="1543">
        <f>10^(CJ137/20)*100-100</f>
        <v/>
      </c>
      <c r="DA137" s="1319">
        <f>IF('Tune-Up'!$H$12="","",'Tune-Up'!$H$12)</f>
        <v/>
      </c>
      <c r="DB137" s="695">
        <f>'2G-3G'!BZ24</f>
        <v/>
      </c>
      <c r="DC137" s="797">
        <f>IF(DA137="","",10^(DA137/10))</f>
        <v/>
      </c>
      <c r="DD137" s="1363">
        <f>IF(ISNUMBER(DB137)=FALSE,"",10^(DB137/10))</f>
        <v/>
      </c>
      <c r="DE137" s="1543">
        <f>IF(AND(ISNUMBER(DC137),ISNUMBER(DD137)),IF(DC137/DD137&gt;1,ROUND((DC137)/DD137,3),1),1)</f>
        <v/>
      </c>
      <c r="DF137" s="1541"/>
      <c r="DG137" s="1541"/>
      <c r="DH137" s="1541"/>
      <c r="DI137" s="1541"/>
      <c r="DJ137" s="1541"/>
      <c r="DK137" s="1541"/>
      <c r="DL137" s="1541"/>
      <c r="DM137" s="1541"/>
      <c r="DN137" s="1541"/>
      <c r="DO137" s="1541"/>
      <c r="DP137" s="1541"/>
      <c r="DQ137" s="1541"/>
      <c r="DR137" s="1541"/>
    </row>
    <row r="138" ht="12.75" x14ac:dyDescent="0.2">
      <c r="A138" s="1541"/>
      <c r="B138" s="1541"/>
      <c r="C138"/>
      <c r="D138" s="130">
        <f>IF(BX$134="Close to Ear","EN 62209-1","EN 62209-2")</f>
        <v/>
      </c>
      <c r="E138" s="130">
        <f>IF(CG138="Close to Ear","2016","2010/A1:2019")</f>
        <v/>
      </c>
      <c r="F138" s="1488" t="inlineStr">
        <is>
          <t>5.1</t>
        </is>
      </c>
      <c r="G138" s="1497"/>
      <c r="H138" s="120">
        <f>BV138</f>
        <v/>
      </c>
      <c r="I138" s="120">
        <f>BW138</f>
        <v/>
      </c>
      <c r="J138" s="687" t="str">
        <f>BT138</f>
        <v>GSM</v>
      </c>
      <c r="K138" s="194">
        <f>BU138</f>
        <v>900</v>
      </c>
      <c r="L138" s="115"/>
      <c r="M138" s="120">
        <f>BZ138</f>
        <v>0</v>
      </c>
      <c r="N138" s="119"/>
      <c r="O138" s="131"/>
      <c r="P138" s="6597"/>
      <c r="Q138" s="131"/>
      <c r="R138" s="131"/>
      <c r="S138" s="120">
        <f>CG138</f>
        <v>0</v>
      </c>
      <c r="T138" s="120">
        <f>CC138</f>
        <v>37</v>
      </c>
      <c r="U138" s="120">
        <f>CD138</f>
        <v>897.4</v>
      </c>
      <c r="V138" s="119"/>
      <c r="W138" s="197">
        <f>CK138*100</f>
        <v/>
      </c>
      <c r="X138" s="119"/>
      <c r="Y138" s="119"/>
      <c r="Z138" s="119"/>
      <c r="AA138" s="115"/>
      <c r="AB138" s="115"/>
      <c r="AC138" s="689">
        <f>IF(OR(BX$134="Close to Ear",BX$134="Close to Head"),"Head",IF(BX$134="Extremity","Extremity","Body"))</f>
        <v/>
      </c>
      <c r="AD138" s="690">
        <f>CA138</f>
        <v/>
      </c>
      <c r="AE138" s="688">
        <f>CB138</f>
        <v/>
      </c>
      <c r="AF138" s="115"/>
      <c r="AG138" s="808">
        <f>IF(AZ138="","N/A",IF(CQ138="Pass","P","F"))</f>
        <v/>
      </c>
      <c r="AH138" s="129"/>
      <c r="AI138" s="129"/>
      <c r="AJ138" s="129"/>
      <c r="AK138" s="119"/>
      <c r="AL138" s="115"/>
      <c r="AM138" s="119"/>
      <c r="AN138" s="119"/>
      <c r="AO138" s="692"/>
      <c r="AP138" s="692"/>
      <c r="AQ138" s="692"/>
      <c r="AR138" s="692"/>
      <c r="AS138" s="692"/>
      <c r="AT138" s="691">
        <f>CE138</f>
        <v/>
      </c>
      <c r="AU138" s="691">
        <f>CF138</f>
        <v/>
      </c>
      <c r="AV138" s="813"/>
      <c r="AW138" s="813"/>
      <c r="AX138" s="197">
        <f>CZ138</f>
        <v/>
      </c>
      <c r="AY138" s="197">
        <f>DE138</f>
        <v/>
      </c>
      <c r="AZ138" s="3379">
        <f>CO138</f>
        <v/>
      </c>
      <c r="BA138" s="3380"/>
      <c r="BB138" s="197">
        <f>CP138</f>
        <v/>
      </c>
      <c r="BC138" s="813"/>
      <c r="BD138" s="197">
        <f>CR138</f>
        <v/>
      </c>
      <c r="BE138" s="121">
        <f>CS138</f>
        <v/>
      </c>
      <c r="BF138" s="122">
        <f>CT138*60</f>
        <v/>
      </c>
      <c r="BG138" s="121">
        <f>BE138</f>
        <v/>
      </c>
      <c r="BH138" s="122">
        <f>CU138*60</f>
        <v/>
      </c>
      <c r="BI138" s="122">
        <f>CV138</f>
        <v/>
      </c>
      <c r="BJ138" s="117"/>
      <c r="BK138" s="812">
        <f>Overview!$E$7</f>
        <v/>
      </c>
      <c r="BL138" s="117"/>
      <c r="BM138" s="836">
        <f>CW138</f>
        <v/>
      </c>
      <c r="BN138" s="812">
        <f>Overview!$P$153</f>
        <v/>
      </c>
      <c r="BO138" s="117"/>
      <c r="BP138" s="117"/>
      <c r="BQ138" s="115"/>
      <c r="BR138" s="1478" t="inlineStr">
        <is>
          <t>N/A</t>
        </is>
      </c>
      <c r="BS138" s="1548"/>
      <c r="BT138" s="1783" t="inlineStr">
        <is>
          <t>GSM</t>
        </is>
      </c>
      <c r="BU138" s="1783">
        <v>900</v>
      </c>
      <c r="BV138" s="400">
        <f>Overview!$H$31</f>
        <v/>
      </c>
      <c r="BW138" s="2010"/>
      <c r="BX138" s="1783"/>
      <c r="BY138" s="2040"/>
      <c r="BZ138" s="2040"/>
      <c r="CA138" s="1997" t="inlineStr">
        <is>
          <t>Top Edge</t>
        </is>
      </c>
      <c r="CB138" s="200">
        <v>5</v>
      </c>
      <c r="CC138" s="1063">
        <f>'2G-3G'!BX24</f>
        <v>37</v>
      </c>
      <c r="CD138" s="1063">
        <f>'2G-3G'!BY24</f>
        <v>897.4</v>
      </c>
      <c r="CE138" s="1523"/>
      <c r="CF138" s="1523"/>
      <c r="CG138" s="387" t="str">
        <f>IF(OR($BY$3="",$BY$3=""),"",$BY$3)</f>
        <v/>
      </c>
      <c r="CH138" s="387">
        <f>BZ138</f>
        <v/>
      </c>
      <c r="CI138" s="387">
        <f>CA138</f>
        <v/>
      </c>
      <c r="CJ138" s="1527"/>
      <c r="CK138" s="2042"/>
      <c r="CL138" s="206">
        <f>IF(CF138=""," ",IF(ABS(CE138-CF138)&lt;=0.125,"Valid","Not valid"))</f>
        <v/>
      </c>
      <c r="CM138" s="207">
        <f> IF(CE138="","",IF(AND(CE138&lt;&gt;"",CF138=""),IF(CE138&gt;=1,"Medir+Sig Max","No"),IF(CF138&lt;&gt;"",IF(CF138&gt;=1,"Medir+Sig Max","No"),"")))</f>
        <v/>
      </c>
      <c r="CN138" s="1787"/>
      <c r="CO138" s="220">
        <f>IF(CK138="",IF(AND(CE138="",CF138=""),"",IF(CF138="",IF(DE138&gt;1,ROUND(DE138*CE138,3),CE138),IF(DE138&gt;1,ROUND(DE138*CF138,3),CF138))),IF(AND(CE138="",CF138=""),"",IF(CF138="",IF(DE138&gt;1,ROUND(DE138*CE138*(1/(CK138)),3),CE138*(1/(CK138))),IF(DE138&gt;1,ROUND(DE138*CF138*(1/(CK138)),3),CF138*(1/(CK138))))))</f>
        <v/>
      </c>
      <c r="CP138" s="2043">
        <f>$CP$3</f>
        <v/>
      </c>
      <c r="CQ138" s="1472">
        <f>IF(CO138="","",IF(CO138&gt;CP138,"Fail","Pass"))</f>
        <v/>
      </c>
      <c r="CR138" s="1481">
        <f>IF(AND(MAX(CO134:CO141)=CO138,CO138&lt;&gt;0),COUNT($CR$3:CR137)+1,"")</f>
        <v/>
      </c>
      <c r="CS138" s="1565">
        <f>MyTimestamp(CO138)</f>
        <v/>
      </c>
      <c r="CT138" s="1531">
        <f>IF(CE138="",0,15)+IF(CF138="",0,15)</f>
        <v/>
      </c>
      <c r="CU138" s="1532">
        <f>IF(CT138=0,0,2)</f>
        <v/>
      </c>
      <c r="CV138" s="859" t="inlineStr">
        <is>
          <t>S/02</t>
        </is>
      </c>
      <c r="CW138" s="859" t="inlineStr">
        <is>
          <t>Dasy6</t>
        </is>
      </c>
      <c r="CX138" s="2038"/>
      <c r="CY138" s="2044"/>
      <c r="CZ138" s="1543">
        <f>10^(CJ138/20)*100-100</f>
        <v/>
      </c>
      <c r="DA138" s="1319">
        <f>IF('Tune-Up'!$H$12="","",'Tune-Up'!$H$12)</f>
        <v/>
      </c>
      <c r="DB138" s="695">
        <f>'2G-3G'!BZ24</f>
        <v/>
      </c>
      <c r="DC138" s="797">
        <f>IF(DA138="","",10^(DA138/10))</f>
        <v/>
      </c>
      <c r="DD138" s="1363">
        <f>IF(ISNUMBER(DB138)=FALSE,"",10^(DB138/10))</f>
        <v/>
      </c>
      <c r="DE138" s="1543">
        <f>IF(AND(ISNUMBER(DC138),ISNUMBER(DD138)),IF(DC138/DD138&gt;1,ROUND((DC138)/DD138,3),1),1)</f>
        <v/>
      </c>
      <c r="DF138" s="1541"/>
      <c r="DG138" s="1541"/>
      <c r="DH138" s="1541"/>
      <c r="DI138" s="1541"/>
      <c r="DJ138" s="1541"/>
      <c r="DK138" s="1541"/>
      <c r="DL138" s="1541"/>
      <c r="DM138" s="1541"/>
      <c r="DN138" s="1541"/>
      <c r="DO138" s="1541"/>
      <c r="DP138" s="1541"/>
      <c r="DQ138" s="1541"/>
      <c r="DR138" s="1541"/>
    </row>
    <row r="139" ht="12.75" x14ac:dyDescent="0.2">
      <c r="A139" s="1541"/>
      <c r="B139" s="1541"/>
      <c r="C139"/>
      <c r="D139" s="130">
        <f>IF(BX$134="Close to Ear","EN 62209-1","EN 62209-2")</f>
        <v/>
      </c>
      <c r="E139" s="130">
        <f>IF(CG139="Close to Ear","2016","2010/A1:2019")</f>
        <v/>
      </c>
      <c r="F139" s="1488" t="inlineStr">
        <is>
          <t>5.1</t>
        </is>
      </c>
      <c r="G139" s="1497"/>
      <c r="H139" s="120">
        <f>BV139</f>
        <v/>
      </c>
      <c r="I139" s="120">
        <f>BW139</f>
        <v/>
      </c>
      <c r="J139" s="687" t="str">
        <f>BT139</f>
        <v>GSM</v>
      </c>
      <c r="K139" s="194">
        <f>BU139</f>
        <v>900</v>
      </c>
      <c r="L139" s="115"/>
      <c r="M139" s="120">
        <f>BZ139</f>
        <v>0</v>
      </c>
      <c r="N139" s="119"/>
      <c r="O139" s="131"/>
      <c r="P139" s="6597"/>
      <c r="Q139" s="131"/>
      <c r="R139" s="131"/>
      <c r="S139" s="120">
        <f>CG139</f>
        <v>0</v>
      </c>
      <c r="T139" s="120">
        <f>CC139</f>
        <v>37</v>
      </c>
      <c r="U139" s="120">
        <f>CD139</f>
        <v>897.4</v>
      </c>
      <c r="V139" s="119"/>
      <c r="W139" s="197">
        <f>CK139*100</f>
        <v/>
      </c>
      <c r="X139" s="119"/>
      <c r="Y139" s="119"/>
      <c r="Z139" s="119"/>
      <c r="AA139" s="115"/>
      <c r="AB139" s="115"/>
      <c r="AC139" s="689">
        <f>IF(OR(BX$134="Close to Ear",BX$134="Close to Head"),"Head",IF(BX$134="Extremity","Extremity","Body"))</f>
        <v/>
      </c>
      <c r="AD139" s="690">
        <f>CA139</f>
        <v/>
      </c>
      <c r="AE139" s="688">
        <f>CB139</f>
        <v/>
      </c>
      <c r="AF139" s="115"/>
      <c r="AG139" s="808">
        <f>IF(AZ139="","N/A",IF(CQ139="Pass","P","F"))</f>
        <v/>
      </c>
      <c r="AH139" s="129"/>
      <c r="AI139" s="129"/>
      <c r="AJ139" s="129"/>
      <c r="AK139" s="119"/>
      <c r="AL139" s="115"/>
      <c r="AM139" s="119"/>
      <c r="AN139" s="119"/>
      <c r="AO139" s="692"/>
      <c r="AP139" s="692"/>
      <c r="AQ139" s="692"/>
      <c r="AR139" s="692"/>
      <c r="AS139" s="692"/>
      <c r="AT139" s="691">
        <f>CE139</f>
        <v/>
      </c>
      <c r="AU139" s="691">
        <f>CF139</f>
        <v/>
      </c>
      <c r="AV139" s="813"/>
      <c r="AW139" s="813"/>
      <c r="AX139" s="197">
        <f>CZ139</f>
        <v/>
      </c>
      <c r="AY139" s="197">
        <f>DE139</f>
        <v/>
      </c>
      <c r="AZ139" s="3379">
        <f>CO139</f>
        <v/>
      </c>
      <c r="BA139" s="3380"/>
      <c r="BB139" s="197">
        <f>CP139</f>
        <v/>
      </c>
      <c r="BC139" s="813"/>
      <c r="BD139" s="197">
        <f>CR139</f>
        <v/>
      </c>
      <c r="BE139" s="121">
        <f>CS139</f>
        <v/>
      </c>
      <c r="BF139" s="122">
        <f>CT139*60</f>
        <v/>
      </c>
      <c r="BG139" s="121">
        <f>BE139</f>
        <v/>
      </c>
      <c r="BH139" s="122">
        <f>CU139*60</f>
        <v/>
      </c>
      <c r="BI139" s="122">
        <f>CV139</f>
        <v/>
      </c>
      <c r="BJ139" s="117"/>
      <c r="BK139" s="812">
        <f>Overview!$E$7</f>
        <v/>
      </c>
      <c r="BL139" s="117"/>
      <c r="BM139" s="836">
        <f>CW139</f>
        <v/>
      </c>
      <c r="BN139" s="812">
        <f>Overview!$P$153</f>
        <v/>
      </c>
      <c r="BO139" s="117"/>
      <c r="BP139" s="117"/>
      <c r="BQ139" s="115"/>
      <c r="BR139" s="1478" t="inlineStr">
        <is>
          <t>N/A</t>
        </is>
      </c>
      <c r="BS139" s="1548"/>
      <c r="BT139" s="1783" t="inlineStr">
        <is>
          <t>GSM</t>
        </is>
      </c>
      <c r="BU139" s="1783">
        <v>900</v>
      </c>
      <c r="BV139" s="400">
        <f>Overview!$H$31</f>
        <v/>
      </c>
      <c r="BW139" s="2010"/>
      <c r="BX139" s="1783"/>
      <c r="BY139" s="2040"/>
      <c r="BZ139" s="2040"/>
      <c r="CA139" s="1997" t="inlineStr">
        <is>
          <t>Bottom Edge</t>
        </is>
      </c>
      <c r="CB139" s="200">
        <v>5</v>
      </c>
      <c r="CC139" s="1063">
        <f>'2G-3G'!BX24</f>
        <v>37</v>
      </c>
      <c r="CD139" s="1063">
        <f>'2G-3G'!BY24</f>
        <v>897.4</v>
      </c>
      <c r="CE139" s="1523"/>
      <c r="CF139" s="1523"/>
      <c r="CG139" s="387" t="str">
        <f>IF(OR($BY$3="",$BY$3=""),"",$BY$3)</f>
        <v/>
      </c>
      <c r="CH139" s="387">
        <f>BZ139</f>
        <v/>
      </c>
      <c r="CI139" s="387">
        <f>CA139</f>
        <v/>
      </c>
      <c r="CJ139" s="1527"/>
      <c r="CK139" s="2042"/>
      <c r="CL139" s="206">
        <f>IF(CF139=""," ",IF(ABS(CE139-CF139)&lt;=0.125,"Valid","Not valid"))</f>
        <v/>
      </c>
      <c r="CM139" s="207">
        <f> IF(CE139="","",IF(AND(CE139&lt;&gt;"",CF139=""),IF(CE139&gt;=1,"Medir+Sig Max","No"),IF(CF139&lt;&gt;"",IF(CF139&gt;=1,"Medir+Sig Max","No"),"")))</f>
        <v/>
      </c>
      <c r="CN139" s="1787"/>
      <c r="CO139" s="220">
        <f>IF(CK139="",IF(AND(CE139="",CF139=""),"",IF(CF139="",IF(DE139&gt;1,ROUND(DE139*CE139,3),CE139),IF(DE139&gt;1,ROUND(DE139*CF139,3),CF139))),IF(AND(CE139="",CF139=""),"",IF(CF139="",IF(DE139&gt;1,ROUND(DE139*CE139*(1/(CK139)),3),CE139*(1/(CK139))),IF(DE139&gt;1,ROUND(DE139*CF139*(1/(CK139)),3),CF139*(1/(CK139))))))</f>
        <v/>
      </c>
      <c r="CP139" s="2043">
        <f>$CP$3</f>
        <v/>
      </c>
      <c r="CQ139" s="1472">
        <f>IF(CO139="","",IF(CO139&gt;CP139,"Fail","Pass"))</f>
        <v/>
      </c>
      <c r="CR139" s="1481">
        <f>IF(AND(MAX(CO134:CO141)=CO139,CO139&lt;&gt;0),COUNT($CR$3:CR138)+1,"")</f>
        <v/>
      </c>
      <c r="CS139" s="1565">
        <f>MyTimestamp(CO139)</f>
        <v/>
      </c>
      <c r="CT139" s="1531">
        <f>IF(CE139="",0,15)+IF(CF139="",0,15)</f>
        <v/>
      </c>
      <c r="CU139" s="1532">
        <f>IF(CT139=0,0,2)</f>
        <v/>
      </c>
      <c r="CV139" s="859" t="inlineStr">
        <is>
          <t>S/02</t>
        </is>
      </c>
      <c r="CW139" s="859" t="inlineStr">
        <is>
          <t>Dasy6</t>
        </is>
      </c>
      <c r="CX139" s="2038"/>
      <c r="CY139" s="2044"/>
      <c r="CZ139" s="1543">
        <f>10^(CJ139/20)*100-100</f>
        <v/>
      </c>
      <c r="DA139" s="1319">
        <f>IF('Tune-Up'!$H$12="","",'Tune-Up'!$H$12)</f>
        <v/>
      </c>
      <c r="DB139" s="695">
        <f>'2G-3G'!BZ24</f>
        <v/>
      </c>
      <c r="DC139" s="797">
        <f>IF(DA139="","",10^(DA139/10))</f>
        <v/>
      </c>
      <c r="DD139" s="1363">
        <f>IF(ISNUMBER(DB139)=FALSE,"",10^(DB139/10))</f>
        <v/>
      </c>
      <c r="DE139" s="1543">
        <f>IF(AND(ISNUMBER(DC139),ISNUMBER(DD139)),IF(DC139/DD139&gt;1,ROUND((DC139)/DD139,3),1),1)</f>
        <v/>
      </c>
      <c r="DF139" s="1541"/>
      <c r="DG139" s="1541"/>
      <c r="DH139" s="1541"/>
      <c r="DI139" s="1541"/>
      <c r="DJ139" s="1541"/>
      <c r="DK139" s="1541"/>
      <c r="DL139" s="1541"/>
      <c r="DM139" s="1541"/>
      <c r="DN139" s="1541"/>
      <c r="DO139" s="1541"/>
      <c r="DP139" s="1541"/>
      <c r="DQ139" s="1541"/>
      <c r="DR139" s="1541"/>
    </row>
    <row r="140" ht="12.75" x14ac:dyDescent="0.2">
      <c r="A140" s="1541"/>
      <c r="B140" s="1541"/>
      <c r="C140"/>
      <c r="D140" s="130">
        <f>IF(BX$134="Close to Ear","EN 62209-1","EN 62209-2")</f>
        <v/>
      </c>
      <c r="E140" s="130">
        <f>IF(CG140="Close to Ear","2016","2010/A1:2019")</f>
        <v/>
      </c>
      <c r="F140" s="1488" t="inlineStr">
        <is>
          <t>5.1</t>
        </is>
      </c>
      <c r="G140" s="1497"/>
      <c r="H140" s="120">
        <f>BV140</f>
        <v/>
      </c>
      <c r="I140" s="120">
        <f>BW140</f>
        <v/>
      </c>
      <c r="J140" s="687" t="str">
        <f>BT140</f>
        <v>GSM</v>
      </c>
      <c r="K140" s="194">
        <f>BU140</f>
        <v>900</v>
      </c>
      <c r="L140" s="115"/>
      <c r="M140" s="120">
        <f>BZ140</f>
        <v>0</v>
      </c>
      <c r="N140" s="119"/>
      <c r="O140" s="131"/>
      <c r="P140" s="6597"/>
      <c r="Q140" s="131"/>
      <c r="R140" s="131"/>
      <c r="S140" s="120">
        <f>CG140</f>
        <v>0</v>
      </c>
      <c r="T140" s="120">
        <f>CC140</f>
        <v>975</v>
      </c>
      <c r="U140" s="120">
        <f>CD140</f>
        <v>880.2</v>
      </c>
      <c r="V140" s="119"/>
      <c r="W140" s="197">
        <f>CK140*100</f>
        <v/>
      </c>
      <c r="X140" s="119"/>
      <c r="Y140" s="119"/>
      <c r="Z140" s="119"/>
      <c r="AA140" s="115"/>
      <c r="AB140" s="115"/>
      <c r="AC140" s="689">
        <f>IF(OR(BX$134="Close to Ear",BX$134="Close to Head"),"Head",IF(BX$134="Extremity","Extremity","Body"))</f>
        <v/>
      </c>
      <c r="AD140" s="690">
        <f>CA140</f>
        <v/>
      </c>
      <c r="AE140" s="688">
        <f>CB140</f>
        <v/>
      </c>
      <c r="AF140" s="115"/>
      <c r="AG140" s="808">
        <f>IF(AZ140="","N/A",IF(CQ140="Pass","P","F"))</f>
        <v/>
      </c>
      <c r="AH140" s="129"/>
      <c r="AI140" s="129"/>
      <c r="AJ140" s="129"/>
      <c r="AK140" s="119"/>
      <c r="AL140" s="115"/>
      <c r="AM140" s="119"/>
      <c r="AN140" s="119"/>
      <c r="AO140" s="692"/>
      <c r="AP140" s="692"/>
      <c r="AQ140" s="692"/>
      <c r="AR140" s="692"/>
      <c r="AS140" s="692"/>
      <c r="AT140" s="691">
        <f>CE140</f>
        <v/>
      </c>
      <c r="AU140" s="691">
        <f>CF140</f>
        <v/>
      </c>
      <c r="AV140" s="813"/>
      <c r="AW140" s="813"/>
      <c r="AX140" s="197">
        <f>CZ140</f>
        <v/>
      </c>
      <c r="AY140" s="197">
        <f>DE140</f>
        <v/>
      </c>
      <c r="AZ140" s="3379">
        <f>CO140</f>
        <v/>
      </c>
      <c r="BA140" s="3380"/>
      <c r="BB140" s="197">
        <f>CP140</f>
        <v/>
      </c>
      <c r="BC140" s="813"/>
      <c r="BD140" s="197">
        <f>CR140</f>
        <v/>
      </c>
      <c r="BE140" s="121">
        <f>CS140</f>
        <v/>
      </c>
      <c r="BF140" s="122">
        <f>CT140*60</f>
        <v/>
      </c>
      <c r="BG140" s="121">
        <f>BE140</f>
        <v/>
      </c>
      <c r="BH140" s="122">
        <f>CU140*60</f>
        <v/>
      </c>
      <c r="BI140" s="122">
        <f>CV140</f>
        <v/>
      </c>
      <c r="BJ140" s="117"/>
      <c r="BK140" s="812">
        <f>Overview!$E$7</f>
        <v/>
      </c>
      <c r="BL140" s="117"/>
      <c r="BM140" s="836">
        <f>CW140</f>
        <v/>
      </c>
      <c r="BN140" s="812">
        <f>Overview!$P$153</f>
        <v/>
      </c>
      <c r="BO140" s="117"/>
      <c r="BP140" s="117"/>
      <c r="BQ140" s="115"/>
      <c r="BR140" s="1478" t="inlineStr">
        <is>
          <t>N/A</t>
        </is>
      </c>
      <c r="BS140" s="1548"/>
      <c r="BT140" s="1783" t="inlineStr">
        <is>
          <t>GSM</t>
        </is>
      </c>
      <c r="BU140" s="1783">
        <v>900</v>
      </c>
      <c r="BV140" s="400">
        <f>Overview!$H$31</f>
        <v/>
      </c>
      <c r="BW140" s="2010"/>
      <c r="BX140" s="1783"/>
      <c r="BY140" s="2040"/>
      <c r="BZ140" s="2040"/>
      <c r="CA140" s="401" t="str">
        <f>IF(COUNT(CF134:CF139)=0,IF(COUNT(CE134:CE139)=0,"TBD",VLOOKUP(MAX(CE134:CE139),CE134:CI139,5,FALSE)),VLOOKUP(MAX(CF134:CF139),CF134:CI139,4,FALSE))</f>
        <v>TBD</v>
      </c>
      <c r="CB140" s="200">
        <v>5</v>
      </c>
      <c r="CC140" s="1063">
        <f>'2G-3G'!BX25</f>
        <v>975</v>
      </c>
      <c r="CD140" s="1063">
        <f>'2G-3G'!BY25</f>
        <v>880.2</v>
      </c>
      <c r="CE140" s="1523"/>
      <c r="CF140" s="1523"/>
      <c r="CG140" s="387" t="str">
        <f>IF(OR($BY$3="",$BY$3=""),"",$BY$3)</f>
        <v/>
      </c>
      <c r="CH140" s="387">
        <f>BZ140</f>
        <v/>
      </c>
      <c r="CI140" s="387">
        <f>CA140</f>
        <v/>
      </c>
      <c r="CJ140" s="1527"/>
      <c r="CK140" s="2042"/>
      <c r="CL140" s="206">
        <f>IF(CF140=""," ",IF(ABS(CE140-CF140)&lt;=0.125,"Valid","Not valid"))</f>
        <v/>
      </c>
      <c r="CM140" s="207">
        <f> IF(CE140="","",IF(AND(CE140&lt;&gt;"",CF140=""),IF(CE140&gt;=1,"Medir+Sig Max","No"),IF(CF140&lt;&gt;"",IF(CF140&gt;=1,"Medir+Sig Max","No"),"")))</f>
        <v/>
      </c>
      <c r="CN140" s="1787"/>
      <c r="CO140" s="220">
        <f>IF(CK140="",IF(AND(CE140="",CF140=""),"",IF(CF140="",IF(DE140&gt;1,ROUND(DE140*CE140,3),CE140),IF(DE140&gt;1,ROUND(DE140*CF140,3),CF140))),IF(AND(CE140="",CF140=""),"",IF(CF140="",IF(DE140&gt;1,ROUND(DE140*CE140*(1/(CK140)),3),CE140*(1/(CK140))),IF(DE140&gt;1,ROUND(DE140*CF140*(1/(CK140)),3),CF140*(1/(CK140))))))</f>
        <v/>
      </c>
      <c r="CP140" s="2043">
        <f>$CP$3</f>
        <v/>
      </c>
      <c r="CQ140" s="1472">
        <f>IF(CO140="","",IF(CO140&gt;CP140,"Fail","Pass"))</f>
        <v/>
      </c>
      <c r="CR140" s="1481">
        <f>IF(AND(MAX(CO134:CO141)=CO140,CO140&lt;&gt;0),COUNT($CR$3:CR139)+1,"")</f>
        <v/>
      </c>
      <c r="CS140" s="1565">
        <f>MyTimestamp(CO140)</f>
        <v/>
      </c>
      <c r="CT140" s="1531">
        <f>IF(CE140="",0,15)+IF(CF140="",0,15)</f>
        <v/>
      </c>
      <c r="CU140" s="1532">
        <f>IF(CT140=0,0,2)</f>
        <v/>
      </c>
      <c r="CV140" s="859" t="inlineStr">
        <is>
          <t>S/02</t>
        </is>
      </c>
      <c r="CW140" s="859" t="inlineStr">
        <is>
          <t>Dasy6</t>
        </is>
      </c>
      <c r="CX140" s="2038"/>
      <c r="CY140" s="2044"/>
      <c r="CZ140" s="1543">
        <f>10^(CJ140/20)*100-100</f>
        <v/>
      </c>
      <c r="DA140" s="1319">
        <f>IF('Tune-Up'!$H$12="","",'Tune-Up'!$H$12)</f>
        <v/>
      </c>
      <c r="DB140" s="695">
        <f>'2G-3G'!BZ25</f>
        <v/>
      </c>
      <c r="DC140" s="797">
        <f>IF(DA140="","",10^(DA140/10))</f>
        <v/>
      </c>
      <c r="DD140" s="1363">
        <f>IF(ISNUMBER(DB140)=FALSE,"",10^(DB140/10))</f>
        <v/>
      </c>
      <c r="DE140" s="1543">
        <f>IF(AND(ISNUMBER(DC140),ISNUMBER(DD140)),IF(DC140/DD140&gt;1,ROUND((DC140)/DD140,3),1),1)</f>
        <v/>
      </c>
      <c r="DF140" s="1541"/>
      <c r="DG140" s="1541"/>
      <c r="DH140" s="1541"/>
      <c r="DI140" s="1541"/>
      <c r="DJ140" s="1541"/>
      <c r="DK140" s="1541"/>
      <c r="DL140" s="1541"/>
      <c r="DM140" s="1541"/>
      <c r="DN140" s="1541"/>
      <c r="DO140" s="1541"/>
      <c r="DP140" s="1541"/>
      <c r="DQ140" s="1541"/>
      <c r="DR140" s="1541"/>
    </row>
    <row r="141" ht="12.75" x14ac:dyDescent="0.2">
      <c r="A141" s="1541"/>
      <c r="B141" s="1541"/>
      <c r="C141"/>
      <c r="D141" s="130">
        <f>IF(BX$134="Close to Ear","EN 62209-1","EN 62209-2")</f>
        <v/>
      </c>
      <c r="E141" s="130">
        <f>IF(CG141="Close to Ear","2016","2010/A1:2019")</f>
        <v/>
      </c>
      <c r="F141" s="1488" t="inlineStr">
        <is>
          <t>5.1</t>
        </is>
      </c>
      <c r="G141" s="1497"/>
      <c r="H141" s="120">
        <f>BV141</f>
        <v/>
      </c>
      <c r="I141" s="120">
        <f>BW141</f>
        <v/>
      </c>
      <c r="J141" s="687" t="str">
        <f>BT141</f>
        <v>GSM</v>
      </c>
      <c r="K141" s="194">
        <f>BU141</f>
        <v>900</v>
      </c>
      <c r="L141" s="115"/>
      <c r="M141" s="120">
        <f>BZ141</f>
        <v>0</v>
      </c>
      <c r="N141" s="119"/>
      <c r="O141" s="131"/>
      <c r="P141" s="6597"/>
      <c r="Q141" s="131"/>
      <c r="R141" s="131"/>
      <c r="S141" s="120">
        <f>CG141</f>
        <v>0</v>
      </c>
      <c r="T141" s="120">
        <f>CC141</f>
        <v>124</v>
      </c>
      <c r="U141" s="120">
        <f>CD141</f>
        <v>914.8</v>
      </c>
      <c r="V141" s="119"/>
      <c r="W141" s="197">
        <f>CK141*100</f>
        <v/>
      </c>
      <c r="X141" s="119"/>
      <c r="Y141" s="119"/>
      <c r="Z141" s="119"/>
      <c r="AA141" s="115"/>
      <c r="AB141" s="115"/>
      <c r="AC141" s="689">
        <f>IF(OR(BX$134="Close to Ear",BX$134="Close to Head"),"Head",IF(BX$134="Extremity","Extremity","Body"))</f>
        <v/>
      </c>
      <c r="AD141" s="690">
        <f>CA141</f>
        <v/>
      </c>
      <c r="AE141" s="688">
        <f>CB141</f>
        <v/>
      </c>
      <c r="AF141" s="115"/>
      <c r="AG141" s="808">
        <f>IF(AZ141="","N/A",IF(CQ141="Pass","P","F"))</f>
        <v/>
      </c>
      <c r="AH141" s="129"/>
      <c r="AI141" s="129"/>
      <c r="AJ141" s="129"/>
      <c r="AK141" s="119"/>
      <c r="AL141" s="115"/>
      <c r="AM141" s="119"/>
      <c r="AN141" s="119"/>
      <c r="AO141" s="692"/>
      <c r="AP141" s="692"/>
      <c r="AQ141" s="692"/>
      <c r="AR141" s="692"/>
      <c r="AS141" s="692"/>
      <c r="AT141" s="691">
        <f>CE141</f>
        <v/>
      </c>
      <c r="AU141" s="691">
        <f>CF141</f>
        <v/>
      </c>
      <c r="AV141" s="813"/>
      <c r="AW141" s="813"/>
      <c r="AX141" s="197">
        <f>CZ141</f>
        <v/>
      </c>
      <c r="AY141" s="197">
        <f>DE141</f>
        <v/>
      </c>
      <c r="AZ141" s="3379">
        <f>CO141</f>
        <v/>
      </c>
      <c r="BA141" s="3380"/>
      <c r="BB141" s="197">
        <f>CP141</f>
        <v/>
      </c>
      <c r="BC141" s="813"/>
      <c r="BD141" s="197">
        <f>CR141</f>
        <v/>
      </c>
      <c r="BE141" s="121">
        <f>CS141</f>
        <v/>
      </c>
      <c r="BF141" s="122">
        <f>CT141*60</f>
        <v/>
      </c>
      <c r="BG141" s="121">
        <f>BE141</f>
        <v/>
      </c>
      <c r="BH141" s="122">
        <f>CU141*60</f>
        <v/>
      </c>
      <c r="BI141" s="122">
        <f>CV141</f>
        <v/>
      </c>
      <c r="BJ141" s="117"/>
      <c r="BK141" s="812">
        <f>Overview!$E$7</f>
        <v/>
      </c>
      <c r="BL141" s="117"/>
      <c r="BM141" s="836">
        <f>CW141</f>
        <v/>
      </c>
      <c r="BN141" s="812">
        <f>Overview!$P$153</f>
        <v/>
      </c>
      <c r="BO141" s="117"/>
      <c r="BP141" s="117"/>
      <c r="BQ141" s="115"/>
      <c r="BR141" s="1478" t="inlineStr">
        <is>
          <t>N/A</t>
        </is>
      </c>
      <c r="BS141" s="1548"/>
      <c r="BT141" s="1783" t="inlineStr">
        <is>
          <t>GSM</t>
        </is>
      </c>
      <c r="BU141" s="1783">
        <v>900</v>
      </c>
      <c r="BV141" s="400">
        <f>Overview!$H$31</f>
        <v/>
      </c>
      <c r="BW141" s="2010"/>
      <c r="BX141" s="1800"/>
      <c r="BY141" s="2010"/>
      <c r="BZ141" s="2010"/>
      <c r="CA141" s="404" t="str">
        <f>IF(COUNT(CF134:CF139)=0,IF(COUNT(CE134:CE139)=0,"TBD",VLOOKUP(MAX(CE134:CE139),CE134:CI139,5,FALSE)),VLOOKUP(MAX(CF134:CF139),CF134:CI139,4,FALSE))</f>
        <v>TBD</v>
      </c>
      <c r="CB141" s="201">
        <v>5</v>
      </c>
      <c r="CC141" s="1081">
        <f>'2G-3G'!BX26</f>
        <v>124</v>
      </c>
      <c r="CD141" s="1081">
        <f>'2G-3G'!BY26</f>
        <v>914.8</v>
      </c>
      <c r="CE141" s="1874"/>
      <c r="CF141" s="1874"/>
      <c r="CG141" s="388" t="str">
        <f>IF(OR($BY$3="",$BY$3=""),"",$BY$3)</f>
        <v/>
      </c>
      <c r="CH141" s="388">
        <f>BZ141</f>
        <v/>
      </c>
      <c r="CI141" s="388">
        <f>CA141</f>
        <v/>
      </c>
      <c r="CJ141" s="2046"/>
      <c r="CK141" s="2047"/>
      <c r="CL141" s="212">
        <f>IF(CF141=""," ",IF(ABS(CE141-CF141)&lt;=0.125,"Valid","Not valid"))</f>
        <v/>
      </c>
      <c r="CM141" s="213">
        <f> IF(CE141="","",IF(AND(CE141&lt;&gt;"",CF141=""),IF(CE141&gt;=1,"Medir+Sig Max","No"),IF(CF141&lt;&gt;"",IF(CF141&gt;=1,"Medir+Sig Max","No"),"")))</f>
        <v/>
      </c>
      <c r="CN141" s="1794"/>
      <c r="CO141" s="221">
        <f>IF(CK141="",IF(AND(CE141="",CF141=""),"",IF(CF141="",IF(DE141&gt;1,ROUND(DE141*CE141,3),CE141),IF(DE141&gt;1,ROUND(DE141*CF141,3),CF141))),IF(AND(CE141="",CF141=""),"",IF(CF141="",IF(DE141&gt;1,ROUND(DE141*CE141*(1/(CK141)),3),CE141*(1/(CK141))),IF(DE141&gt;1,ROUND(DE141*CF141*(1/(CK141)),3),CF141*(1/(CK141))))))</f>
        <v/>
      </c>
      <c r="CP141" s="2048">
        <f>$CP$3</f>
        <v/>
      </c>
      <c r="CQ141" s="1473">
        <f>IF(CO141="","",IF(CO141&gt;CP141,"Fail","Pass"))</f>
        <v/>
      </c>
      <c r="CR141" s="1482">
        <f>IF(AND(MAX(CO134:CO141)=CO141,CO141&lt;&gt;0),COUNT($CR$3:CR140)+1,"")</f>
        <v/>
      </c>
      <c r="CS141" s="1566">
        <f>MyTimestamp(CO141)</f>
        <v/>
      </c>
      <c r="CT141" s="1535">
        <f>IF(CE141="",0,15)+IF(CF141="",0,15)</f>
        <v/>
      </c>
      <c r="CU141" s="1536">
        <f>IF(CT141=0,0,2)</f>
        <v/>
      </c>
      <c r="CV141" s="861" t="inlineStr">
        <is>
          <t>S/02</t>
        </is>
      </c>
      <c r="CW141" s="861" t="inlineStr">
        <is>
          <t>Dasy6</t>
        </is>
      </c>
      <c r="CX141" s="2038"/>
      <c r="CY141" s="2050"/>
      <c r="CZ141" s="1545">
        <f>10^(CJ141/20)*100-100</f>
        <v/>
      </c>
      <c r="DA141" s="1320">
        <f>IF('Tune-Up'!$H$12="","",'Tune-Up'!$H$12)</f>
        <v/>
      </c>
      <c r="DB141" s="696">
        <f>'2G-3G'!BZ26</f>
        <v/>
      </c>
      <c r="DC141" s="798">
        <f>IF(DA141="","",10^(DA141/10))</f>
        <v/>
      </c>
      <c r="DD141" s="1364">
        <f>IF(ISNUMBER(DB141)=FALSE,"",10^(DB141/10))</f>
        <v/>
      </c>
      <c r="DE141" s="1545">
        <f>IF(AND(ISNUMBER(DC141),ISNUMBER(DD141)),IF(DC141/DD141&gt;1,ROUND((DC141)/DD141,3),1),1)</f>
        <v/>
      </c>
      <c r="DF141" s="1541"/>
      <c r="DG141" s="1541"/>
      <c r="DH141" s="1541"/>
      <c r="DI141" s="1541"/>
      <c r="DJ141" s="1541"/>
      <c r="DK141" s="1541"/>
      <c r="DL141" s="1541"/>
      <c r="DM141" s="1541"/>
      <c r="DN141" s="1541"/>
      <c r="DO141" s="1541"/>
      <c r="DP141" s="1541"/>
      <c r="DQ141" s="1541"/>
      <c r="DR141" s="1541"/>
    </row>
    <row r="142" ht="12.75" x14ac:dyDescent="0.2">
      <c r="A142" s="1541"/>
      <c r="B142" s="1541"/>
      <c r="C142"/>
      <c r="D142" s="130">
        <f>IF(BX$134="Close to Ear","EN 62209-1","EN 62209-2")</f>
        <v/>
      </c>
      <c r="E142" s="130">
        <f>IF(CG142="Close to Ear","2016","2010/A1:2019")</f>
        <v/>
      </c>
      <c r="F142" s="1488" t="inlineStr">
        <is>
          <t>5.1</t>
        </is>
      </c>
      <c r="G142" s="1497"/>
      <c r="H142" s="120">
        <f>BV142</f>
        <v/>
      </c>
      <c r="I142" s="120">
        <f>BW142</f>
        <v/>
      </c>
      <c r="J142" s="687">
        <f>BT142</f>
        <v/>
      </c>
      <c r="K142" s="194">
        <f>BU142</f>
        <v/>
      </c>
      <c r="L142" s="115"/>
      <c r="M142" s="120">
        <f>BZ142</f>
        <v/>
      </c>
      <c r="N142" s="119"/>
      <c r="O142" s="131"/>
      <c r="P142" s="6597"/>
      <c r="Q142" s="131"/>
      <c r="R142" s="131"/>
      <c r="S142" s="120">
        <f>CG142</f>
        <v/>
      </c>
      <c r="T142" s="120">
        <f>CC142</f>
        <v/>
      </c>
      <c r="U142" s="120">
        <f>CD142</f>
        <v/>
      </c>
      <c r="V142" s="119"/>
      <c r="W142" s="197">
        <f>CK142*100</f>
        <v/>
      </c>
      <c r="X142" s="119"/>
      <c r="Y142" s="119"/>
      <c r="Z142" s="119"/>
      <c r="AA142" s="115"/>
      <c r="AB142" s="115"/>
      <c r="AC142" s="689">
        <f>IF(OR(BX$134="Close to Ear",BX$134="Close to Head"),"Head",IF(BX$134="Extremity","Extremity","Body"))</f>
        <v/>
      </c>
      <c r="AD142" s="690">
        <f>CA142</f>
        <v/>
      </c>
      <c r="AE142" s="688">
        <f>CB142</f>
        <v/>
      </c>
      <c r="AF142" s="115"/>
      <c r="AG142" s="808">
        <f>IF(AZ142="","N/A",IF(CQ142="Pass","P","F"))</f>
        <v/>
      </c>
      <c r="AH142" s="129"/>
      <c r="AI142" s="129"/>
      <c r="AJ142" s="129"/>
      <c r="AK142" s="119"/>
      <c r="AL142" s="115"/>
      <c r="AM142" s="119"/>
      <c r="AN142" s="119"/>
      <c r="AO142" s="692"/>
      <c r="AP142" s="692"/>
      <c r="AQ142" s="692"/>
      <c r="AR142" s="692"/>
      <c r="AS142" s="692"/>
      <c r="AT142" s="691">
        <f>CE142</f>
        <v/>
      </c>
      <c r="AU142" s="691">
        <f>CF142</f>
        <v/>
      </c>
      <c r="AV142" s="813"/>
      <c r="AW142" s="813"/>
      <c r="AX142" s="197">
        <f>CZ142</f>
        <v/>
      </c>
      <c r="AY142" s="197">
        <f>DE142</f>
        <v/>
      </c>
      <c r="AZ142" s="3379">
        <f>CO142</f>
        <v/>
      </c>
      <c r="BA142" s="3380"/>
      <c r="BB142" s="197">
        <f>CP142</f>
        <v/>
      </c>
      <c r="BC142" s="813"/>
      <c r="BD142" s="197">
        <f>CR142</f>
        <v/>
      </c>
      <c r="BE142" s="121">
        <f>CS142</f>
        <v/>
      </c>
      <c r="BF142" s="122">
        <f>CT142*60</f>
        <v/>
      </c>
      <c r="BG142" s="121">
        <f>BE142</f>
        <v/>
      </c>
      <c r="BH142" s="122">
        <f>CU142*60</f>
        <v/>
      </c>
      <c r="BI142" s="122">
        <f>CV142</f>
        <v/>
      </c>
      <c r="BJ142" s="117"/>
      <c r="BK142" s="812">
        <f>Overview!$E$7</f>
        <v/>
      </c>
      <c r="BL142" s="117"/>
      <c r="BM142" s="836">
        <f>CW142</f>
        <v/>
      </c>
      <c r="BN142" s="812">
        <f>Overview!$P$153</f>
        <v/>
      </c>
      <c r="BO142" s="117"/>
      <c r="BP142" s="117"/>
      <c r="BQ142" s="115"/>
      <c r="BR142" s="1478" t="inlineStr">
        <is>
          <t>N/A</t>
        </is>
      </c>
      <c r="BS142" s="1548"/>
      <c r="BT142" s="1783" t="inlineStr">
        <is>
          <t>GSM</t>
        </is>
      </c>
      <c r="BU142" s="1783">
        <v>900</v>
      </c>
      <c r="BV142" s="400">
        <f>Overview!$H$31</f>
        <v/>
      </c>
      <c r="BW142" s="2010"/>
      <c r="BX142" s="1800"/>
      <c r="BY142" s="2010"/>
      <c r="BZ142" s="2010"/>
      <c r="CA142" s="404" t="str">
        <f>CONCATENATE(CA140," - Battery check 1")</f>
        <v>TBD - Battery check 1</v>
      </c>
      <c r="CB142" s="201">
        <v>5</v>
      </c>
      <c r="CC142" s="1081">
        <f>IF(COUNT($CO$134:$CO$141)=0,"N/A",INDEX($CC$134:$CC$141,MATCH(MAX($CO$134:$CO$141),$CO$134:$CO$141,0)))</f>
        <v/>
      </c>
      <c r="CD142" s="1081">
        <f>IF(COUNT($CO$134:$CO$141)=0,"N/A",INDEX($CD$134:$CD$141,MATCH(MAX($CO$134:$CO$141),$CO$134:$CO$141,0)))</f>
        <v/>
      </c>
      <c r="CE142" s="1874"/>
      <c r="CF142" s="1874"/>
      <c r="CG142" s="388" t="inlineStr">
        <is>
          <t>N/A</t>
        </is>
      </c>
      <c r="CH142" s="388">
        <f>BZ142</f>
        <v/>
      </c>
      <c r="CI142" s="388">
        <f>CA142</f>
        <v/>
      </c>
      <c r="CJ142" s="2046"/>
      <c r="CK142" s="2047"/>
      <c r="CL142" s="212">
        <f>IF(CF142=""," ",IF(ABS(CE142-CF142)&lt;=0.125,"Valid","Not valid"))</f>
        <v/>
      </c>
      <c r="CM142" s="213">
        <f> IF(CE142="","",IF(AND(CE142&lt;&gt;"",CF142=""),IF(CE142&gt;=1,"Medir+Sig Max","No"),IF(CF142&lt;&gt;"",IF(CF142&gt;=1,"Medir+Sig Max","No"),"")))</f>
        <v/>
      </c>
      <c r="CN142" s="1794"/>
      <c r="CO142" s="221">
        <f>IF(CK142="",IF(AND(CE142="",CF142=""),"",IF(CF142="",IF(DE142&gt;1,ROUND(DE142*CE142,3),CE142),IF(DE142&gt;1,ROUND(DE142*CF142,3),CF142))),IF(AND(CE142="",CF142=""),"",IF(CF142="",IF(DE142&gt;1,ROUND(DE142*CE142*(1/(CK142)),3),CE142*(1/(CK142))),IF(DE142&gt;1,ROUND(DE142*CF142*(1/(CK142)),3),CF142*(1/(CK142))))))</f>
        <v/>
      </c>
      <c r="CP142" s="2048">
        <f>$CP$3</f>
        <v/>
      </c>
      <c r="CQ142" s="1473">
        <f>IF(CO142="","",IF(CO142&gt;CP142,"Fail","Pass"))</f>
        <v/>
      </c>
      <c r="CR142" s="1482">
        <f>IF(CO142&lt;&gt;"",MAX($CR$3:CR141)+1,"")</f>
        <v/>
      </c>
      <c r="CS142" s="1566">
        <f>MyTimestamp(CQ142)</f>
        <v/>
      </c>
      <c r="CT142" s="1535">
        <f>IF(COUNT(CE142:CF142)=1,15,IF(COUNT(CE142:CF142)=0,0,30))</f>
        <v/>
      </c>
      <c r="CU142" s="1536">
        <f>IF(CT142=0,0,2)</f>
        <v/>
      </c>
      <c r="CV142" s="861" t="inlineStr">
        <is>
          <t>S/02</t>
        </is>
      </c>
      <c r="CW142" s="861" t="inlineStr">
        <is>
          <t>Dasy6</t>
        </is>
      </c>
      <c r="CX142" s="2038"/>
      <c r="CY142" s="2050"/>
      <c r="CZ142" s="1545">
        <f>10^(CJ142/20)*100-100</f>
        <v/>
      </c>
      <c r="DA142" s="1320">
        <f>IF('Tune-Up'!$H$12="","",'Tune-Up'!$H$12)</f>
        <v/>
      </c>
      <c r="DB142" s="696">
        <f>IF(COUNT($CO$134:$CO$141)=0,"N/A",IFERROR(INDEX($DB$134:$DB$141,MATCH(MAX($CO$134:$CO$141),$CO$134:$CO$141,0)),"N/A"))</f>
        <v/>
      </c>
      <c r="DC142" s="798">
        <f>IF(DA142="","",10^(DA142/10))</f>
        <v/>
      </c>
      <c r="DD142" s="1364">
        <f>IF(ISNUMBER(DB142)=FALSE,"N/A",10^(DB142/10))</f>
        <v/>
      </c>
      <c r="DE142" s="1545">
        <f>IF(AND(ISNUMBER(DC142),ISNUMBER(DD142)),IF(DC142/DD142&gt;1,ROUND((DC142)/DD142,3),1),1)</f>
        <v/>
      </c>
      <c r="DF142" s="1541"/>
      <c r="DG142" s="1541"/>
      <c r="DH142" s="1541"/>
      <c r="DI142" s="1541"/>
      <c r="DJ142" s="1541"/>
      <c r="DK142" s="1541"/>
      <c r="DL142" s="1541"/>
      <c r="DM142" s="1541"/>
      <c r="DN142" s="1541"/>
      <c r="DO142" s="1541"/>
      <c r="DP142" s="1541"/>
      <c r="DQ142" s="1541"/>
      <c r="DR142" s="1541"/>
    </row>
    <row r="143" ht="12.75" x14ac:dyDescent="0.2">
      <c r="A143" s="1541"/>
      <c r="B143" s="1541"/>
      <c r="C143"/>
      <c r="D143" s="130">
        <f>IF(BX$134="Close to Ear","EN 62209-1","EN 62209-2")</f>
        <v/>
      </c>
      <c r="E143" s="130">
        <f>IF(CG143="Close to Ear","2016","2010/A1:2019")</f>
        <v/>
      </c>
      <c r="F143" s="1488" t="inlineStr">
        <is>
          <t>5.1</t>
        </is>
      </c>
      <c r="G143" s="1497"/>
      <c r="H143" s="120">
        <f>BV143</f>
        <v/>
      </c>
      <c r="I143" s="120">
        <f>BW143</f>
        <v/>
      </c>
      <c r="J143" s="687">
        <f>BT143</f>
        <v/>
      </c>
      <c r="K143" s="194">
        <f>BU143</f>
        <v/>
      </c>
      <c r="L143" s="115"/>
      <c r="M143" s="120">
        <f>BZ143</f>
        <v/>
      </c>
      <c r="N143" s="119"/>
      <c r="O143" s="131"/>
      <c r="P143" s="6597"/>
      <c r="Q143" s="131"/>
      <c r="R143" s="131"/>
      <c r="S143" s="120">
        <f>CG143</f>
        <v/>
      </c>
      <c r="T143" s="120">
        <f>CC143</f>
        <v/>
      </c>
      <c r="U143" s="120">
        <f>CD143</f>
        <v/>
      </c>
      <c r="V143" s="119"/>
      <c r="W143" s="197">
        <f>CK143*100</f>
        <v/>
      </c>
      <c r="X143" s="119"/>
      <c r="Y143" s="119"/>
      <c r="Z143" s="119"/>
      <c r="AA143" s="115"/>
      <c r="AB143" s="115"/>
      <c r="AC143" s="689">
        <f>IF(OR(BX$134="Close to Ear",BX$134="Close to Head"),"Head",IF(BX$134="Extremity","Extremity","Body"))</f>
        <v/>
      </c>
      <c r="AD143" s="690">
        <f>CA143</f>
        <v/>
      </c>
      <c r="AE143" s="688">
        <f>CB143</f>
        <v/>
      </c>
      <c r="AF143" s="115"/>
      <c r="AG143" s="808">
        <f>IF(AZ143="","N/A",IF(CQ143="Pass","P","F"))</f>
        <v/>
      </c>
      <c r="AH143" s="129"/>
      <c r="AI143" s="129"/>
      <c r="AJ143" s="129"/>
      <c r="AK143" s="119"/>
      <c r="AL143" s="115"/>
      <c r="AM143" s="119"/>
      <c r="AN143" s="119"/>
      <c r="AO143" s="692"/>
      <c r="AP143" s="692"/>
      <c r="AQ143" s="692"/>
      <c r="AR143" s="692"/>
      <c r="AS143" s="692"/>
      <c r="AT143" s="691">
        <f>CE143</f>
        <v/>
      </c>
      <c r="AU143" s="691">
        <f>CF143</f>
        <v/>
      </c>
      <c r="AV143" s="813"/>
      <c r="AW143" s="813"/>
      <c r="AX143" s="197">
        <f>CZ143</f>
        <v/>
      </c>
      <c r="AY143" s="197">
        <f>DE143</f>
        <v/>
      </c>
      <c r="AZ143" s="3379">
        <f>CO143</f>
        <v/>
      </c>
      <c r="BA143" s="3380"/>
      <c r="BB143" s="197">
        <f>CP143</f>
        <v/>
      </c>
      <c r="BC143" s="813"/>
      <c r="BD143" s="197">
        <f>CR143</f>
        <v/>
      </c>
      <c r="BE143" s="121">
        <f>CS143</f>
        <v/>
      </c>
      <c r="BF143" s="122">
        <f>CT143*60</f>
        <v/>
      </c>
      <c r="BG143" s="121">
        <f>BE143</f>
        <v/>
      </c>
      <c r="BH143" s="122">
        <f>CU143*60</f>
        <v/>
      </c>
      <c r="BI143" s="122">
        <f>CV143</f>
        <v/>
      </c>
      <c r="BJ143" s="117"/>
      <c r="BK143" s="812">
        <f>Overview!$E$7</f>
        <v/>
      </c>
      <c r="BL143" s="117"/>
      <c r="BM143" s="836">
        <f>CW143</f>
        <v/>
      </c>
      <c r="BN143" s="812">
        <f>Overview!$P$153</f>
        <v/>
      </c>
      <c r="BO143" s="117"/>
      <c r="BP143" s="117"/>
      <c r="BQ143" s="115"/>
      <c r="BR143" s="1478" t="inlineStr">
        <is>
          <t>N/A</t>
        </is>
      </c>
      <c r="BS143" s="1548"/>
      <c r="BT143" s="1783" t="inlineStr">
        <is>
          <t>GSM</t>
        </is>
      </c>
      <c r="BU143" s="1783">
        <v>900</v>
      </c>
      <c r="BV143" s="400">
        <f>Overview!$H$31</f>
        <v/>
      </c>
      <c r="BW143" s="2010"/>
      <c r="BX143" s="1800"/>
      <c r="BY143" s="2010"/>
      <c r="BZ143" s="2010"/>
      <c r="CA143" s="404" t="str">
        <f>CONCATENATE(CA141," - Battery check 2")</f>
        <v>TBD - Battery check 2</v>
      </c>
      <c r="CB143" s="201">
        <v>5</v>
      </c>
      <c r="CC143" s="1081">
        <f>IF(COUNT($CO$134:$CO$141)=0,"N/A",INDEX($CC$134:$CC$141,MATCH(MAX($CO$134:$CO$141),$CO$134:$CO$141,0)))</f>
        <v/>
      </c>
      <c r="CD143" s="1081">
        <f>IF(COUNT($CO$134:$CO$141)=0,"N/A",INDEX($CD$134:$CD$141,MATCH(MAX($CO$134:$CO$141),$CO$134:$CO$141,0)))</f>
        <v/>
      </c>
      <c r="CE143" s="1874"/>
      <c r="CF143" s="1874"/>
      <c r="CG143" s="388" t="inlineStr">
        <is>
          <t>N/A</t>
        </is>
      </c>
      <c r="CH143" s="388">
        <f>BZ143</f>
        <v/>
      </c>
      <c r="CI143" s="388">
        <f>CA143</f>
        <v/>
      </c>
      <c r="CJ143" s="2046"/>
      <c r="CK143" s="2047"/>
      <c r="CL143" s="212">
        <f>IF(CF143=""," ",IF(ABS(CE143-CF143)&lt;=0.125,"Valid","Not valid"))</f>
        <v/>
      </c>
      <c r="CM143" s="213">
        <f> IF(CE143="","",IF(AND(CE143&lt;&gt;"",CF143=""),IF(CE143&gt;=1,"Medir+Sig Max","No"),IF(CF143&lt;&gt;"",IF(CF143&gt;=1,"Medir+Sig Max","No"),"")))</f>
        <v/>
      </c>
      <c r="CN143" s="1794"/>
      <c r="CO143" s="221">
        <f>IF(CK143="",IF(AND(CE143="",CF143=""),"",IF(CF143="",IF(DE143&gt;1,ROUND(DE143*CE143,3),CE143),IF(DE143&gt;1,ROUND(DE143*CF143,3),CF143))),IF(AND(CE143="",CF143=""),"",IF(CF143="",IF(DE143&gt;1,ROUND(DE143*CE143*(1/(CK143)),3),CE143*(1/(CK143))),IF(DE143&gt;1,ROUND(DE143*CF143*(1/(CK143)),3),CF143*(1/(CK143))))))</f>
        <v/>
      </c>
      <c r="CP143" s="2048">
        <f>$CP$3</f>
        <v/>
      </c>
      <c r="CQ143" s="1473">
        <f>IF(CO143="","",IF(CO143&gt;CP143,"Fail","Pass"))</f>
        <v/>
      </c>
      <c r="CR143" s="1482">
        <f>IF(CO143&lt;&gt;"",MAX($CR$3:CR142)+1,"")</f>
        <v/>
      </c>
      <c r="CS143" s="1566">
        <f>MyTimestamp(CQ143)</f>
        <v/>
      </c>
      <c r="CT143" s="1535">
        <f>IF(COUNT(CE143:CF143)=1,15,IF(COUNT(CE143:CF143)=0,0,30))</f>
        <v/>
      </c>
      <c r="CU143" s="1536">
        <f>IF(CT143=0,0,2)</f>
        <v/>
      </c>
      <c r="CV143" s="861" t="inlineStr">
        <is>
          <t>S/02</t>
        </is>
      </c>
      <c r="CW143" s="861" t="inlineStr">
        <is>
          <t>Dasy6</t>
        </is>
      </c>
      <c r="CX143" s="2038"/>
      <c r="CY143" s="2050"/>
      <c r="CZ143" s="1545">
        <f>10^(CJ143/20)*100-100</f>
        <v/>
      </c>
      <c r="DA143" s="1320">
        <f>IF('Tune-Up'!$H$12="","",'Tune-Up'!$H$12)</f>
        <v/>
      </c>
      <c r="DB143" s="696">
        <f>IF(COUNT($CO$134:$CO$141)=0,"N/A",IFERROR(INDEX($DB$134:$DB$141,MATCH(MAX($CO$134:$CO$141),$CO$134:$CO$141,0)),"N/A"))</f>
        <v/>
      </c>
      <c r="DC143" s="798">
        <f>IF(DA143="","",10^(DA143/10))</f>
        <v/>
      </c>
      <c r="DD143" s="1364">
        <f>IF(ISNUMBER(DB143)=FALSE,"N/A",10^(DB143/10))</f>
        <v/>
      </c>
      <c r="DE143" s="1545">
        <f>IF(AND(ISNUMBER(DC143),ISNUMBER(DD143)),IF(DC143/DD143&gt;1,ROUND((DC143)/DD143,3),1),1)</f>
        <v/>
      </c>
      <c r="DF143" s="1541"/>
      <c r="DG143" s="1541"/>
      <c r="DH143" s="1541"/>
      <c r="DI143" s="1541"/>
      <c r="DJ143" s="1541"/>
      <c r="DK143" s="1541"/>
      <c r="DL143" s="1541"/>
      <c r="DM143" s="1541"/>
      <c r="DN143" s="1541"/>
      <c r="DO143" s="1541"/>
      <c r="DP143" s="1541"/>
      <c r="DQ143" s="1541"/>
      <c r="DR143" s="1541"/>
    </row>
    <row r="144" ht="12.75" x14ac:dyDescent="0.2">
      <c r="A144" s="1541"/>
      <c r="B144" s="1541"/>
      <c r="C144"/>
      <c r="D144" s="130">
        <f>IF(BX$144="Close to Ear","EN 62209-1","EN 62209-2")</f>
        <v/>
      </c>
      <c r="E144" s="130">
        <f>IF(CG144="Close to Ear","2016","2010/A1:2019")</f>
        <v/>
      </c>
      <c r="F144" s="1488" t="inlineStr">
        <is>
          <t>5.1</t>
        </is>
      </c>
      <c r="G144" s="1497"/>
      <c r="H144" s="120">
        <f>BV144</f>
        <v/>
      </c>
      <c r="I144" s="120">
        <f>BW144</f>
        <v/>
      </c>
      <c r="J144" s="687" t="str">
        <f>BT144</f>
        <v>GSM</v>
      </c>
      <c r="K144" s="194">
        <f>BU144</f>
        <v>900</v>
      </c>
      <c r="L144" s="115"/>
      <c r="M144" s="120">
        <f>BZ144</f>
        <v>0</v>
      </c>
      <c r="N144" s="119"/>
      <c r="O144" s="131"/>
      <c r="P144" s="6597"/>
      <c r="Q144" s="131"/>
      <c r="R144" s="131"/>
      <c r="S144" s="120">
        <f>CG144</f>
        <v>0</v>
      </c>
      <c r="T144" s="120">
        <f>CC144</f>
        <v>37</v>
      </c>
      <c r="U144" s="120">
        <f>CD144</f>
        <v>897.4</v>
      </c>
      <c r="V144" s="119"/>
      <c r="W144" s="197">
        <f>CK144*100</f>
        <v/>
      </c>
      <c r="X144" s="119"/>
      <c r="Y144" s="119"/>
      <c r="Z144" s="119"/>
      <c r="AA144" s="115"/>
      <c r="AB144" s="115"/>
      <c r="AC144" s="689">
        <f>IF(OR(BX$144="Close to Ear",BX$144="Close to Head"),"Head",IF(BX$144="Extremity","Extremity","Body"))</f>
        <v/>
      </c>
      <c r="AD144" s="690">
        <f>CA144</f>
        <v/>
      </c>
      <c r="AE144" s="688">
        <f>CB144</f>
        <v/>
      </c>
      <c r="AF144" s="115"/>
      <c r="AG144" s="808">
        <f>IF(AZ144="","N/A",IF(CQ144="Pass","P","F"))</f>
        <v/>
      </c>
      <c r="AH144" s="129"/>
      <c r="AI144" s="129"/>
      <c r="AJ144" s="129"/>
      <c r="AK144" s="119"/>
      <c r="AL144" s="115"/>
      <c r="AM144" s="119"/>
      <c r="AN144" s="119"/>
      <c r="AO144" s="692"/>
      <c r="AP144" s="692"/>
      <c r="AQ144" s="692"/>
      <c r="AR144" s="692"/>
      <c r="AS144" s="692"/>
      <c r="AT144" s="691">
        <f>CE144</f>
        <v/>
      </c>
      <c r="AU144" s="691">
        <f>CF144</f>
        <v/>
      </c>
      <c r="AV144" s="813"/>
      <c r="AW144" s="813"/>
      <c r="AX144" s="197">
        <f>CZ144</f>
        <v/>
      </c>
      <c r="AY144" s="197">
        <f>DE144</f>
        <v/>
      </c>
      <c r="AZ144" s="3379">
        <f>CO144</f>
        <v/>
      </c>
      <c r="BA144" s="3380"/>
      <c r="BB144" s="197">
        <f>CP144</f>
        <v/>
      </c>
      <c r="BC144" s="813"/>
      <c r="BD144" s="197">
        <f>CR144</f>
        <v/>
      </c>
      <c r="BE144" s="121">
        <f>CS144</f>
        <v/>
      </c>
      <c r="BF144" s="122">
        <f>CT144*60</f>
        <v/>
      </c>
      <c r="BG144" s="121">
        <f>BE144</f>
        <v/>
      </c>
      <c r="BH144" s="122">
        <f>CU144*60</f>
        <v/>
      </c>
      <c r="BI144" s="122">
        <f>CV144</f>
        <v/>
      </c>
      <c r="BJ144" s="117"/>
      <c r="BK144" s="812">
        <f>Overview!$E$7</f>
        <v/>
      </c>
      <c r="BL144" s="117"/>
      <c r="BM144" s="836">
        <f>CW144</f>
        <v/>
      </c>
      <c r="BN144" s="812">
        <f>Overview!$P$153</f>
        <v/>
      </c>
      <c r="BO144" s="117"/>
      <c r="BP144" s="117"/>
      <c r="BQ144" s="115"/>
      <c r="BR144" s="1478" t="inlineStr">
        <is>
          <t>N/A</t>
        </is>
      </c>
      <c r="BS144" s="1548"/>
      <c r="BT144" s="1783" t="inlineStr">
        <is>
          <t>GSM</t>
        </is>
      </c>
      <c r="BU144" s="1783">
        <v>900</v>
      </c>
      <c r="BV144" s="400">
        <f>Overview!$H$31</f>
        <v/>
      </c>
      <c r="BW144" s="2010"/>
      <c r="BX144" s="7672" t="inlineStr">
        <is>
          <t>Body</t>
        </is>
      </c>
      <c r="BY144" s="2040"/>
      <c r="BZ144" s="2040"/>
      <c r="CA144" s="1996" t="inlineStr">
        <is>
          <t>Front Face</t>
        </is>
      </c>
      <c r="CB144" s="202">
        <v>5</v>
      </c>
      <c r="CC144" s="1062">
        <f>'2G-3G'!BX24</f>
        <v>37</v>
      </c>
      <c r="CD144" s="1062">
        <f>'2G-3G'!BY24</f>
        <v>897.4</v>
      </c>
      <c r="CE144" s="1522"/>
      <c r="CF144" s="1522"/>
      <c r="CG144" s="386" t="str">
        <f>IF(OR($BY$3="",$BY$3=""),"",$BY$3)</f>
        <v/>
      </c>
      <c r="CH144" s="386">
        <f>BZ144</f>
        <v/>
      </c>
      <c r="CI144" s="386">
        <f>CA144</f>
        <v/>
      </c>
      <c r="CJ144" s="1526"/>
      <c r="CK144" s="2036"/>
      <c r="CL144" s="203">
        <f>IF(CF144=""," ",IF(ABS(CE144-CF144)&lt;=0.125,"Valid","Not valid"))</f>
        <v/>
      </c>
      <c r="CM144" s="204">
        <f> IF(CE144="","",IF(AND(CE144&lt;&gt;"",CF144=""),IF(CE144&gt;=1,"Medir+Sig Max","No"),IF(CF144&lt;&gt;"",IF(CF144&gt;=1,"Medir+Sig Max","No"),"")))</f>
        <v/>
      </c>
      <c r="CN144" s="1798"/>
      <c r="CO144" s="219">
        <f>IF(CK144="",IF(AND(CE144="",CF144=""),"",IF(CF144="",IF(DE144&gt;1,ROUND(DE144*CE144,3),CE144),IF(DE144&gt;1,ROUND(DE144*CF144,3),CF144))),IF(AND(CE144="",CF144=""),"",IF(CF144="",IF(DE144&gt;1,ROUND(DE144*CE144*(1/(CK144)),3),CE144*(1/(CK144))),IF(DE144&gt;1,ROUND(DE144*CF144*(1/(CK144)),3),CF144*(1/(CK144))))))</f>
        <v/>
      </c>
      <c r="CP144" s="2037">
        <f>$CP$3</f>
        <v/>
      </c>
      <c r="CQ144" s="1471">
        <f>IF(CO144="","",IF(CO144&gt;CP144,"Fail","Pass"))</f>
        <v/>
      </c>
      <c r="CR144" s="1480">
        <f>IF(AND(MAX(CO144:CO151)=CO144,CO144&lt;&gt;0),COUNT($CR$3:CR141)+1,"")</f>
        <v/>
      </c>
      <c r="CS144" s="1564">
        <f>MyTimestamp(CO144)</f>
        <v/>
      </c>
      <c r="CT144" s="1529">
        <f>IF(CE144="",0,15)+IF(CF144="",0,15)</f>
        <v/>
      </c>
      <c r="CU144" s="1530">
        <f>IF(CT144=0,0,2)</f>
        <v/>
      </c>
      <c r="CV144" s="862" t="inlineStr">
        <is>
          <t>S/02</t>
        </is>
      </c>
      <c r="CW144" s="862" t="inlineStr">
        <is>
          <t>Dasy6</t>
        </is>
      </c>
      <c r="CX144" s="2038"/>
      <c r="CY144" s="2039"/>
      <c r="CZ144" s="1542">
        <f>10^(CJ144/20)*100-100</f>
        <v/>
      </c>
      <c r="DA144" s="1318">
        <f>IF('Tune-Up'!$H$12="","",'Tune-Up'!$H$12)</f>
        <v/>
      </c>
      <c r="DB144" s="694">
        <f>'2G-3G'!BZ24</f>
        <v/>
      </c>
      <c r="DC144" s="796">
        <f>IF(DA144="","",10^(DA144/10))</f>
        <v/>
      </c>
      <c r="DD144" s="1362">
        <f>IF(ISNUMBER(DB144)=FALSE,"",10^(DB144/10))</f>
        <v/>
      </c>
      <c r="DE144" s="1542">
        <f>IF(AND(ISNUMBER(DC144),ISNUMBER(DD144)),IF(DC144/DD144&gt;1,ROUND((DC144)/DD144,3),1),1)</f>
        <v/>
      </c>
      <c r="DF144" s="1541"/>
      <c r="DG144" s="1541"/>
      <c r="DH144" s="1541"/>
      <c r="DI144" s="1541"/>
      <c r="DJ144" s="1541"/>
      <c r="DK144" s="1541"/>
      <c r="DL144" s="1541"/>
      <c r="DM144" s="1541"/>
      <c r="DN144" s="1541"/>
      <c r="DO144" s="1541"/>
      <c r="DP144" s="1541"/>
      <c r="DQ144" s="1541"/>
      <c r="DR144" s="1541"/>
    </row>
    <row r="145" ht="12.75" x14ac:dyDescent="0.2">
      <c r="A145" s="1541"/>
      <c r="B145" s="1541"/>
      <c r="C145"/>
      <c r="D145" s="130">
        <f>IF(BX$144="Close to Ear","EN 62209-1","EN 62209-2")</f>
        <v/>
      </c>
      <c r="E145" s="130">
        <f>IF(CG145="Close to Ear","2016","2010/A1:2019")</f>
        <v/>
      </c>
      <c r="F145" s="1488" t="inlineStr">
        <is>
          <t>5.1</t>
        </is>
      </c>
      <c r="G145" s="1497"/>
      <c r="H145" s="120">
        <f>BV145</f>
        <v/>
      </c>
      <c r="I145" s="120">
        <f>BW145</f>
        <v/>
      </c>
      <c r="J145" s="687" t="str">
        <f>BT145</f>
        <v>GSM</v>
      </c>
      <c r="K145" s="194">
        <f>BU145</f>
        <v>900</v>
      </c>
      <c r="L145" s="115"/>
      <c r="M145" s="120">
        <f>BZ145</f>
        <v>0</v>
      </c>
      <c r="N145" s="119"/>
      <c r="O145" s="131"/>
      <c r="P145" s="6597"/>
      <c r="Q145" s="131"/>
      <c r="R145" s="131"/>
      <c r="S145" s="120">
        <f>CG145</f>
        <v>0</v>
      </c>
      <c r="T145" s="120">
        <f>CC145</f>
        <v>37</v>
      </c>
      <c r="U145" s="120">
        <f>CD145</f>
        <v>897.4</v>
      </c>
      <c r="V145" s="119"/>
      <c r="W145" s="197">
        <f>CK145*100</f>
        <v/>
      </c>
      <c r="X145" s="119"/>
      <c r="Y145" s="119"/>
      <c r="Z145" s="119"/>
      <c r="AA145" s="115"/>
      <c r="AB145" s="115"/>
      <c r="AC145" s="689">
        <f>IF(OR(BX$144="Close to Ear",BX$144="Close to Head"),"Head",IF(BX$144="Extremity","Extremity","Body"))</f>
        <v/>
      </c>
      <c r="AD145" s="690">
        <f>CA145</f>
        <v/>
      </c>
      <c r="AE145" s="688">
        <f>CB145</f>
        <v/>
      </c>
      <c r="AF145" s="115"/>
      <c r="AG145" s="808">
        <f>IF(AZ145="","N/A",IF(CQ145="Pass","P","F"))</f>
        <v/>
      </c>
      <c r="AH145" s="129"/>
      <c r="AI145" s="129"/>
      <c r="AJ145" s="129"/>
      <c r="AK145" s="119"/>
      <c r="AL145" s="115"/>
      <c r="AM145" s="119"/>
      <c r="AN145" s="119"/>
      <c r="AO145" s="692"/>
      <c r="AP145" s="692"/>
      <c r="AQ145" s="692"/>
      <c r="AR145" s="692"/>
      <c r="AS145" s="692"/>
      <c r="AT145" s="691">
        <f>CE145</f>
        <v/>
      </c>
      <c r="AU145" s="691">
        <f>CF145</f>
        <v/>
      </c>
      <c r="AV145" s="813"/>
      <c r="AW145" s="813"/>
      <c r="AX145" s="197">
        <f>CZ145</f>
        <v/>
      </c>
      <c r="AY145" s="197">
        <f>DE145</f>
        <v/>
      </c>
      <c r="AZ145" s="3379">
        <f>CO145</f>
        <v/>
      </c>
      <c r="BA145" s="3380"/>
      <c r="BB145" s="197">
        <f>CP145</f>
        <v/>
      </c>
      <c r="BC145" s="813"/>
      <c r="BD145" s="197">
        <f>CR145</f>
        <v/>
      </c>
      <c r="BE145" s="121">
        <f>CS145</f>
        <v/>
      </c>
      <c r="BF145" s="122">
        <f>CT145*60</f>
        <v/>
      </c>
      <c r="BG145" s="121">
        <f>BE145</f>
        <v/>
      </c>
      <c r="BH145" s="122">
        <f>CU145*60</f>
        <v/>
      </c>
      <c r="BI145" s="122">
        <f>CV145</f>
        <v/>
      </c>
      <c r="BJ145" s="117"/>
      <c r="BK145" s="812">
        <f>Overview!$E$7</f>
        <v/>
      </c>
      <c r="BL145" s="117"/>
      <c r="BM145" s="836">
        <f>CW145</f>
        <v/>
      </c>
      <c r="BN145" s="812">
        <f>Overview!$P$153</f>
        <v/>
      </c>
      <c r="BO145" s="117"/>
      <c r="BP145" s="117"/>
      <c r="BQ145" s="115"/>
      <c r="BR145" s="1478" t="inlineStr">
        <is>
          <t>N/A</t>
        </is>
      </c>
      <c r="BS145" s="1548"/>
      <c r="BT145" s="1783" t="inlineStr">
        <is>
          <t>GSM</t>
        </is>
      </c>
      <c r="BU145" s="1783">
        <v>900</v>
      </c>
      <c r="BV145" s="400">
        <f>Overview!$H$31</f>
        <v/>
      </c>
      <c r="BW145" s="2010"/>
      <c r="BX145" s="1783"/>
      <c r="BY145" s="2040"/>
      <c r="BZ145" s="2040"/>
      <c r="CA145" s="1997" t="inlineStr">
        <is>
          <t>Back Face</t>
        </is>
      </c>
      <c r="CB145" s="200">
        <v>5</v>
      </c>
      <c r="CC145" s="1063">
        <f>'2G-3G'!BX24</f>
        <v>37</v>
      </c>
      <c r="CD145" s="1063">
        <f>'2G-3G'!BY24</f>
        <v>897.4</v>
      </c>
      <c r="CE145" s="1523"/>
      <c r="CF145" s="1523"/>
      <c r="CG145" s="387" t="str">
        <f>IF(OR($BY$3="",$BY$3=""),"",$BY$3)</f>
        <v/>
      </c>
      <c r="CH145" s="387">
        <f>BZ145</f>
        <v/>
      </c>
      <c r="CI145" s="387">
        <f>CA145</f>
        <v/>
      </c>
      <c r="CJ145" s="1527"/>
      <c r="CK145" s="2042"/>
      <c r="CL145" s="206">
        <f>IF(CF145=""," ",IF(ABS(CE145-CF145)&lt;=0.125,"Valid","Not valid"))</f>
        <v/>
      </c>
      <c r="CM145" s="207">
        <f> IF(CE145="","",IF(AND(CE145&lt;&gt;"",CF145=""),IF(CE145&gt;=1,"Medir+Sig Max","No"),IF(CF145&lt;&gt;"",IF(CF145&gt;=1,"Medir+Sig Max","No"),"")))</f>
        <v/>
      </c>
      <c r="CN145" s="1787"/>
      <c r="CO145" s="220">
        <f>IF(CK145="",IF(AND(CE145="",CF145=""),"",IF(CF145="",IF(DE145&gt;1,ROUND(DE145*CE145,3),CE145),IF(DE145&gt;1,ROUND(DE145*CF145,3),CF145))),IF(AND(CE145="",CF145=""),"",IF(CF145="",IF(DE145&gt;1,ROUND(DE145*CE145*(1/(CK145)),3),CE145*(1/(CK145))),IF(DE145&gt;1,ROUND(DE145*CF145*(1/(CK145)),3),CF145*(1/(CK145))))))</f>
        <v/>
      </c>
      <c r="CP145" s="2043">
        <f>$CP$3</f>
        <v/>
      </c>
      <c r="CQ145" s="1472">
        <f>IF(CO145="","",IF(CO145&gt;CP145,"Fail","Pass"))</f>
        <v/>
      </c>
      <c r="CR145" s="1481">
        <f>IF(AND(MAX(CO144:CO151)=CO145,CO145&lt;&gt;0),COUNT($CR$3:CR144)+1,"")</f>
        <v/>
      </c>
      <c r="CS145" s="1565">
        <f>MyTimestamp(CO145)</f>
        <v/>
      </c>
      <c r="CT145" s="1531">
        <f>IF(CE145="",0,15)+IF(CF145="",0,15)</f>
        <v/>
      </c>
      <c r="CU145" s="1532">
        <f>IF(CT145=0,0,2)</f>
        <v/>
      </c>
      <c r="CV145" s="859" t="inlineStr">
        <is>
          <t>S/02</t>
        </is>
      </c>
      <c r="CW145" s="859" t="inlineStr">
        <is>
          <t>Dasy6</t>
        </is>
      </c>
      <c r="CX145" s="2038"/>
      <c r="CY145" s="2044"/>
      <c r="CZ145" s="1543">
        <f>10^(CJ145/20)*100-100</f>
        <v/>
      </c>
      <c r="DA145" s="1319">
        <f>IF('Tune-Up'!$H$12="","",'Tune-Up'!$H$12)</f>
        <v/>
      </c>
      <c r="DB145" s="695">
        <f>'2G-3G'!BZ24</f>
        <v/>
      </c>
      <c r="DC145" s="797">
        <f>IF(DA145="","",10^(DA145/10))</f>
        <v/>
      </c>
      <c r="DD145" s="1363">
        <f>IF(ISNUMBER(DB145)=FALSE,"",10^(DB145/10))</f>
        <v/>
      </c>
      <c r="DE145" s="1543">
        <f>IF(AND(ISNUMBER(DC145),ISNUMBER(DD145)),IF(DC145/DD145&gt;1,ROUND((DC145)/DD145,3),1),1)</f>
        <v/>
      </c>
      <c r="DF145" s="1541"/>
      <c r="DG145" s="1541"/>
      <c r="DH145" s="1541"/>
      <c r="DI145" s="1541"/>
      <c r="DJ145" s="1541"/>
      <c r="DK145" s="1541"/>
      <c r="DL145" s="1541"/>
      <c r="DM145" s="1541"/>
      <c r="DN145" s="1541"/>
      <c r="DO145" s="1541"/>
      <c r="DP145" s="1541"/>
      <c r="DQ145" s="1541"/>
      <c r="DR145" s="1541"/>
    </row>
    <row r="146" ht="12.75" x14ac:dyDescent="0.2">
      <c r="A146" s="1541"/>
      <c r="B146" s="1541"/>
      <c r="C146"/>
      <c r="D146" s="130">
        <f>IF(BX$144="Close to Ear","EN 62209-1","EN 62209-2")</f>
        <v/>
      </c>
      <c r="E146" s="130">
        <f>IF(CG146="Close to Ear","2016","2010/A1:2019")</f>
        <v/>
      </c>
      <c r="F146" s="1488" t="inlineStr">
        <is>
          <t>5.1</t>
        </is>
      </c>
      <c r="G146" s="1497"/>
      <c r="H146" s="120">
        <f>BV146</f>
        <v/>
      </c>
      <c r="I146" s="120">
        <f>BW146</f>
        <v/>
      </c>
      <c r="J146" s="687" t="str">
        <f>BT146</f>
        <v>GSM</v>
      </c>
      <c r="K146" s="194">
        <f>BU146</f>
        <v>900</v>
      </c>
      <c r="L146" s="115"/>
      <c r="M146" s="120">
        <f>BZ146</f>
        <v>0</v>
      </c>
      <c r="N146" s="119"/>
      <c r="O146" s="131"/>
      <c r="P146" s="6597"/>
      <c r="Q146" s="131"/>
      <c r="R146" s="131"/>
      <c r="S146" s="120">
        <f>CG146</f>
        <v>0</v>
      </c>
      <c r="T146" s="120">
        <f>CC146</f>
        <v>37</v>
      </c>
      <c r="U146" s="120">
        <f>CD146</f>
        <v>897.4</v>
      </c>
      <c r="V146" s="119"/>
      <c r="W146" s="197">
        <f>CK146*100</f>
        <v/>
      </c>
      <c r="X146" s="119"/>
      <c r="Y146" s="119"/>
      <c r="Z146" s="119"/>
      <c r="AA146" s="115"/>
      <c r="AB146" s="115"/>
      <c r="AC146" s="689">
        <f>IF(OR(BX$144="Close to Ear",BX$144="Close to Head"),"Head",IF(BX$144="Extremity","Extremity","Body"))</f>
        <v/>
      </c>
      <c r="AD146" s="690">
        <f>CA146</f>
        <v/>
      </c>
      <c r="AE146" s="688">
        <f>CB146</f>
        <v/>
      </c>
      <c r="AF146" s="115"/>
      <c r="AG146" s="808">
        <f>IF(AZ146="","N/A",IF(CQ146="Pass","P","F"))</f>
        <v/>
      </c>
      <c r="AH146" s="129"/>
      <c r="AI146" s="129"/>
      <c r="AJ146" s="129"/>
      <c r="AK146" s="119"/>
      <c r="AL146" s="115"/>
      <c r="AM146" s="119"/>
      <c r="AN146" s="119"/>
      <c r="AO146" s="692"/>
      <c r="AP146" s="692"/>
      <c r="AQ146" s="692"/>
      <c r="AR146" s="692"/>
      <c r="AS146" s="692"/>
      <c r="AT146" s="691">
        <f>CE146</f>
        <v/>
      </c>
      <c r="AU146" s="691">
        <f>CF146</f>
        <v/>
      </c>
      <c r="AV146" s="813"/>
      <c r="AW146" s="813"/>
      <c r="AX146" s="197">
        <f>CZ146</f>
        <v/>
      </c>
      <c r="AY146" s="197">
        <f>DE146</f>
        <v/>
      </c>
      <c r="AZ146" s="3379">
        <f>CO146</f>
        <v/>
      </c>
      <c r="BA146" s="3380"/>
      <c r="BB146" s="197">
        <f>CP146</f>
        <v/>
      </c>
      <c r="BC146" s="813"/>
      <c r="BD146" s="197">
        <f>CR146</f>
        <v/>
      </c>
      <c r="BE146" s="121">
        <f>CS146</f>
        <v/>
      </c>
      <c r="BF146" s="122">
        <f>CT146*60</f>
        <v/>
      </c>
      <c r="BG146" s="121">
        <f>BE146</f>
        <v/>
      </c>
      <c r="BH146" s="122">
        <f>CU146*60</f>
        <v/>
      </c>
      <c r="BI146" s="122">
        <f>CV146</f>
        <v/>
      </c>
      <c r="BJ146" s="117"/>
      <c r="BK146" s="812">
        <f>Overview!$E$7</f>
        <v/>
      </c>
      <c r="BL146" s="117"/>
      <c r="BM146" s="836">
        <f>CW146</f>
        <v/>
      </c>
      <c r="BN146" s="812">
        <f>Overview!$P$153</f>
        <v/>
      </c>
      <c r="BO146" s="117"/>
      <c r="BP146" s="117"/>
      <c r="BQ146" s="115"/>
      <c r="BR146" s="1478" t="inlineStr">
        <is>
          <t>N/A</t>
        </is>
      </c>
      <c r="BS146" s="1548"/>
      <c r="BT146" s="1783" t="inlineStr">
        <is>
          <t>GSM</t>
        </is>
      </c>
      <c r="BU146" s="1783">
        <v>900</v>
      </c>
      <c r="BV146" s="400">
        <f>Overview!$H$31</f>
        <v/>
      </c>
      <c r="BW146" s="2010"/>
      <c r="BX146" s="1783"/>
      <c r="BY146" s="2040"/>
      <c r="BZ146" s="2040"/>
      <c r="CA146" s="1997" t="inlineStr">
        <is>
          <t>Left Edge</t>
        </is>
      </c>
      <c r="CB146" s="200">
        <v>5</v>
      </c>
      <c r="CC146" s="1063">
        <f>'2G-3G'!BX24</f>
        <v>37</v>
      </c>
      <c r="CD146" s="1063">
        <f>'2G-3G'!BY24</f>
        <v>897.4</v>
      </c>
      <c r="CE146" s="1523"/>
      <c r="CF146" s="1523"/>
      <c r="CG146" s="387" t="str">
        <f>IF(OR($BY$3="",$BY$3=""),"",$BY$3)</f>
        <v/>
      </c>
      <c r="CH146" s="387">
        <f>BZ146</f>
        <v/>
      </c>
      <c r="CI146" s="387">
        <f>CA146</f>
        <v/>
      </c>
      <c r="CJ146" s="1527"/>
      <c r="CK146" s="2042"/>
      <c r="CL146" s="206">
        <f>IF(CF146=""," ",IF(ABS(CE146-CF146)&lt;=0.125,"Valid","Not valid"))</f>
        <v/>
      </c>
      <c r="CM146" s="207">
        <f> IF(CE146="","",IF(AND(CE146&lt;&gt;"",CF146=""),IF(CE146&gt;=1,"Medir+Sig Max","No"),IF(CF146&lt;&gt;"",IF(CF146&gt;=1,"Medir+Sig Max","No"),"")))</f>
        <v/>
      </c>
      <c r="CN146" s="1787"/>
      <c r="CO146" s="220">
        <f>IF(CK146="",IF(AND(CE146="",CF146=""),"",IF(CF146="",IF(DE146&gt;1,ROUND(DE146*CE146,3),CE146),IF(DE146&gt;1,ROUND(DE146*CF146,3),CF146))),IF(AND(CE146="",CF146=""),"",IF(CF146="",IF(DE146&gt;1,ROUND(DE146*CE146*(1/(CK146)),3),CE146*(1/(CK146))),IF(DE146&gt;1,ROUND(DE146*CF146*(1/(CK146)),3),CF146*(1/(CK146))))))</f>
        <v/>
      </c>
      <c r="CP146" s="2043">
        <f>$CP$3</f>
        <v/>
      </c>
      <c r="CQ146" s="1472">
        <f>IF(CO146="","",IF(CO146&gt;CP146,"Fail","Pass"))</f>
        <v/>
      </c>
      <c r="CR146" s="1481">
        <f>IF(AND(MAX(CO144:CO151)=CO146,CO146&lt;&gt;0),COUNT($CR$3:CR145)+1,"")</f>
        <v/>
      </c>
      <c r="CS146" s="1565">
        <f>MyTimestamp(CO146)</f>
        <v/>
      </c>
      <c r="CT146" s="1531">
        <f>IF(CE146="",0,15)+IF(CF146="",0,15)</f>
        <v/>
      </c>
      <c r="CU146" s="1532">
        <f>IF(CT146=0,0,2)</f>
        <v/>
      </c>
      <c r="CV146" s="859" t="inlineStr">
        <is>
          <t>S/02</t>
        </is>
      </c>
      <c r="CW146" s="859" t="inlineStr">
        <is>
          <t>Dasy6</t>
        </is>
      </c>
      <c r="CX146" s="2038"/>
      <c r="CY146" s="2044"/>
      <c r="CZ146" s="1543">
        <f>10^(CJ146/20)*100-100</f>
        <v/>
      </c>
      <c r="DA146" s="1319">
        <f>IF('Tune-Up'!$H$12="","",'Tune-Up'!$H$12)</f>
        <v/>
      </c>
      <c r="DB146" s="695">
        <f>'2G-3G'!BZ24</f>
        <v/>
      </c>
      <c r="DC146" s="797">
        <f>IF(DA146="","",10^(DA146/10))</f>
        <v/>
      </c>
      <c r="DD146" s="1363">
        <f>IF(ISNUMBER(DB146)=FALSE,"",10^(DB146/10))</f>
        <v/>
      </c>
      <c r="DE146" s="1543">
        <f>IF(AND(ISNUMBER(DC146),ISNUMBER(DD146)),IF(DC146/DD146&gt;1,ROUND((DC146)/DD146,3),1),1)</f>
        <v/>
      </c>
      <c r="DF146" s="1541"/>
      <c r="DG146" s="1541"/>
      <c r="DH146" s="1541"/>
      <c r="DI146" s="1541"/>
      <c r="DJ146" s="1541"/>
      <c r="DK146" s="1541"/>
      <c r="DL146" s="1541"/>
      <c r="DM146" s="1541"/>
      <c r="DN146" s="1541"/>
      <c r="DO146" s="1541"/>
      <c r="DP146" s="1541"/>
      <c r="DQ146" s="1541"/>
      <c r="DR146" s="1541"/>
    </row>
    <row r="147" ht="12.75" x14ac:dyDescent="0.2">
      <c r="A147" s="1541"/>
      <c r="B147" s="1541"/>
      <c r="C147"/>
      <c r="D147" s="130">
        <f>IF(BX$144="Close to Ear","EN 62209-1","EN 62209-2")</f>
        <v/>
      </c>
      <c r="E147" s="130">
        <f>IF(CG147="Close to Ear","2016","2010/A1:2019")</f>
        <v/>
      </c>
      <c r="F147" s="1488" t="inlineStr">
        <is>
          <t>5.1</t>
        </is>
      </c>
      <c r="G147" s="1497"/>
      <c r="H147" s="120">
        <f>BV147</f>
        <v/>
      </c>
      <c r="I147" s="120">
        <f>BW147</f>
        <v/>
      </c>
      <c r="J147" s="687" t="str">
        <f>BT147</f>
        <v>GSM</v>
      </c>
      <c r="K147" s="194">
        <f>BU147</f>
        <v>900</v>
      </c>
      <c r="L147" s="115"/>
      <c r="M147" s="120">
        <f>BZ147</f>
        <v>0</v>
      </c>
      <c r="N147" s="119"/>
      <c r="O147" s="131"/>
      <c r="P147" s="6597"/>
      <c r="Q147" s="131"/>
      <c r="R147" s="131"/>
      <c r="S147" s="120">
        <f>CG147</f>
        <v>0</v>
      </c>
      <c r="T147" s="120">
        <f>CC147</f>
        <v>37</v>
      </c>
      <c r="U147" s="120">
        <f>CD147</f>
        <v>897.4</v>
      </c>
      <c r="V147" s="119"/>
      <c r="W147" s="197">
        <f>CK147*100</f>
        <v/>
      </c>
      <c r="X147" s="119"/>
      <c r="Y147" s="119"/>
      <c r="Z147" s="119"/>
      <c r="AA147" s="115"/>
      <c r="AB147" s="115"/>
      <c r="AC147" s="689">
        <f>IF(OR(BX$144="Close to Ear",BX$144="Close to Head"),"Head",IF(BX$144="Extremity","Extremity","Body"))</f>
        <v/>
      </c>
      <c r="AD147" s="690">
        <f>CA147</f>
        <v/>
      </c>
      <c r="AE147" s="688">
        <f>CB147</f>
        <v/>
      </c>
      <c r="AF147" s="115"/>
      <c r="AG147" s="808">
        <f>IF(AZ147="","N/A",IF(CQ147="Pass","P","F"))</f>
        <v/>
      </c>
      <c r="AH147" s="129"/>
      <c r="AI147" s="129"/>
      <c r="AJ147" s="129"/>
      <c r="AK147" s="119"/>
      <c r="AL147" s="115"/>
      <c r="AM147" s="119"/>
      <c r="AN147" s="119"/>
      <c r="AO147" s="692"/>
      <c r="AP147" s="692"/>
      <c r="AQ147" s="692"/>
      <c r="AR147" s="692"/>
      <c r="AS147" s="692"/>
      <c r="AT147" s="691">
        <f>CE147</f>
        <v/>
      </c>
      <c r="AU147" s="691">
        <f>CF147</f>
        <v/>
      </c>
      <c r="AV147" s="813"/>
      <c r="AW147" s="813"/>
      <c r="AX147" s="197">
        <f>CZ147</f>
        <v/>
      </c>
      <c r="AY147" s="197">
        <f>DE147</f>
        <v/>
      </c>
      <c r="AZ147" s="3379">
        <f>CO147</f>
        <v/>
      </c>
      <c r="BA147" s="3380"/>
      <c r="BB147" s="197">
        <f>CP147</f>
        <v/>
      </c>
      <c r="BC147" s="813"/>
      <c r="BD147" s="197">
        <f>CR147</f>
        <v/>
      </c>
      <c r="BE147" s="121">
        <f>CS147</f>
        <v/>
      </c>
      <c r="BF147" s="122">
        <f>CT147*60</f>
        <v/>
      </c>
      <c r="BG147" s="121">
        <f>BE147</f>
        <v/>
      </c>
      <c r="BH147" s="122">
        <f>CU147*60</f>
        <v/>
      </c>
      <c r="BI147" s="122">
        <f>CV147</f>
        <v/>
      </c>
      <c r="BJ147" s="117"/>
      <c r="BK147" s="812">
        <f>Overview!$E$7</f>
        <v/>
      </c>
      <c r="BL147" s="117"/>
      <c r="BM147" s="836">
        <f>CW147</f>
        <v/>
      </c>
      <c r="BN147" s="812">
        <f>Overview!$P$153</f>
        <v/>
      </c>
      <c r="BO147" s="117"/>
      <c r="BP147" s="117"/>
      <c r="BQ147" s="115"/>
      <c r="BR147" s="1478" t="inlineStr">
        <is>
          <t>N/A</t>
        </is>
      </c>
      <c r="BS147" s="1548"/>
      <c r="BT147" s="1791" t="inlineStr">
        <is>
          <t>GSM</t>
        </is>
      </c>
      <c r="BU147" s="1791">
        <v>900</v>
      </c>
      <c r="BV147" s="403">
        <f>Overview!$H$31</f>
        <v/>
      </c>
      <c r="BW147" s="2010"/>
      <c r="BX147" s="1791"/>
      <c r="BY147" s="2040"/>
      <c r="BZ147" s="2040"/>
      <c r="CA147" s="1997" t="inlineStr">
        <is>
          <t>Right Edge</t>
        </is>
      </c>
      <c r="CB147" s="200">
        <v>5</v>
      </c>
      <c r="CC147" s="1063">
        <f>'2G-3G'!BX24</f>
        <v>37</v>
      </c>
      <c r="CD147" s="1063">
        <f>'2G-3G'!BY24</f>
        <v>897.4</v>
      </c>
      <c r="CE147" s="1523"/>
      <c r="CF147" s="1523"/>
      <c r="CG147" s="387" t="str">
        <f>IF(OR($BY$3="",$BY$3=""),"",$BY$3)</f>
        <v/>
      </c>
      <c r="CH147" s="387">
        <f>BZ147</f>
        <v/>
      </c>
      <c r="CI147" s="387">
        <f>CA147</f>
        <v/>
      </c>
      <c r="CJ147" s="1527"/>
      <c r="CK147" s="2042"/>
      <c r="CL147" s="206">
        <f>IF(CF147=""," ",IF(ABS(CE147-CF147)&lt;=0.125,"Valid","Not valid"))</f>
        <v/>
      </c>
      <c r="CM147" s="207">
        <f> IF(CE147="","",IF(AND(CE147&lt;&gt;"",CF147=""),IF(CE147&gt;=1,"Medir+Sig Max","No"),IF(CF147&lt;&gt;"",IF(CF147&gt;=1,"Medir+Sig Max","No"),"")))</f>
        <v/>
      </c>
      <c r="CN147" s="1787"/>
      <c r="CO147" s="220">
        <f>IF(CK147="",IF(AND(CE147="",CF147=""),"",IF(CF147="",IF(DE147&gt;1,ROUND(DE147*CE147,3),CE147),IF(DE147&gt;1,ROUND(DE147*CF147,3),CF147))),IF(AND(CE147="",CF147=""),"",IF(CF147="",IF(DE147&gt;1,ROUND(DE147*CE147*(1/(CK147)),3),CE147*(1/(CK147))),IF(DE147&gt;1,ROUND(DE147*CF147*(1/(CK147)),3),CF147*(1/(CK147))))))</f>
        <v/>
      </c>
      <c r="CP147" s="2043">
        <f>$CP$3</f>
        <v/>
      </c>
      <c r="CQ147" s="1472">
        <f>IF(CO147="","",IF(CO147&gt;CP147,"Fail","Pass"))</f>
        <v/>
      </c>
      <c r="CR147" s="1481">
        <f>IF(AND(MAX(CO144:CO151)=CO147,CO147&lt;&gt;0),COUNT($CR$3:CR146)+1,"")</f>
        <v/>
      </c>
      <c r="CS147" s="1565">
        <f>MyTimestamp(CO147)</f>
        <v/>
      </c>
      <c r="CT147" s="1531">
        <f>IF(CE147="",0,15)+IF(CF147="",0,15)</f>
        <v/>
      </c>
      <c r="CU147" s="1532">
        <f>IF(CT147=0,0,2)</f>
        <v/>
      </c>
      <c r="CV147" s="859" t="inlineStr">
        <is>
          <t>S/02</t>
        </is>
      </c>
      <c r="CW147" s="859" t="inlineStr">
        <is>
          <t>Dasy6</t>
        </is>
      </c>
      <c r="CX147" s="2038"/>
      <c r="CY147" s="2044"/>
      <c r="CZ147" s="1543">
        <f>10^(CJ147/20)*100-100</f>
        <v/>
      </c>
      <c r="DA147" s="1319">
        <f>IF('Tune-Up'!$H$12="","",'Tune-Up'!$H$12)</f>
        <v/>
      </c>
      <c r="DB147" s="695">
        <f>'2G-3G'!BZ24</f>
        <v/>
      </c>
      <c r="DC147" s="797">
        <f>IF(DA147="","",10^(DA147/10))</f>
        <v/>
      </c>
      <c r="DD147" s="1363">
        <f>IF(ISNUMBER(DB147)=FALSE,"",10^(DB147/10))</f>
        <v/>
      </c>
      <c r="DE147" s="1543">
        <f>IF(AND(ISNUMBER(DC147),ISNUMBER(DD147)),IF(DC147/DD147&gt;1,ROUND((DC147)/DD147,3),1),1)</f>
        <v/>
      </c>
      <c r="DF147" s="1541"/>
      <c r="DG147" s="1541"/>
      <c r="DH147" s="1541"/>
      <c r="DI147" s="1541"/>
      <c r="DJ147" s="1541"/>
      <c r="DK147" s="1541"/>
      <c r="DL147" s="1541"/>
      <c r="DM147" s="1541"/>
      <c r="DN147" s="1541"/>
      <c r="DO147" s="1541"/>
      <c r="DP147" s="1541"/>
      <c r="DQ147" s="1541"/>
      <c r="DR147" s="1541"/>
    </row>
    <row r="148" ht="12.75" x14ac:dyDescent="0.2">
      <c r="A148" s="1541"/>
      <c r="B148" s="1541"/>
      <c r="C148"/>
      <c r="D148" s="130">
        <f>IF(BX$144="Close to Ear","EN 62209-1","EN 62209-2")</f>
        <v/>
      </c>
      <c r="E148" s="130">
        <f>IF(CG148="Close to Ear","2016","2010/A1:2019")</f>
        <v/>
      </c>
      <c r="F148" s="1488" t="inlineStr">
        <is>
          <t>5.1</t>
        </is>
      </c>
      <c r="G148" s="1497"/>
      <c r="H148" s="120">
        <f>BV148</f>
        <v/>
      </c>
      <c r="I148" s="120">
        <f>BW148</f>
        <v/>
      </c>
      <c r="J148" s="687" t="str">
        <f>BT148</f>
        <v>GSM</v>
      </c>
      <c r="K148" s="194">
        <f>BU148</f>
        <v>900</v>
      </c>
      <c r="L148" s="115"/>
      <c r="M148" s="120">
        <f>BZ148</f>
        <v>0</v>
      </c>
      <c r="N148" s="119"/>
      <c r="O148" s="131"/>
      <c r="P148" s="6597"/>
      <c r="Q148" s="131"/>
      <c r="R148" s="131"/>
      <c r="S148" s="120">
        <f>CG148</f>
        <v>0</v>
      </c>
      <c r="T148" s="120">
        <f>CC148</f>
        <v>37</v>
      </c>
      <c r="U148" s="120">
        <f>CD148</f>
        <v>897.4</v>
      </c>
      <c r="V148" s="119"/>
      <c r="W148" s="197">
        <f>CK148*100</f>
        <v/>
      </c>
      <c r="X148" s="119"/>
      <c r="Y148" s="119"/>
      <c r="Z148" s="119"/>
      <c r="AA148" s="115"/>
      <c r="AB148" s="115"/>
      <c r="AC148" s="689">
        <f>IF(OR(BX$144="Close to Ear",BX$144="Close to Head"),"Head",IF(BX$144="Extremity","Extremity","Body"))</f>
        <v/>
      </c>
      <c r="AD148" s="690">
        <f>CA148</f>
        <v/>
      </c>
      <c r="AE148" s="688">
        <f>CB148</f>
        <v/>
      </c>
      <c r="AF148" s="115"/>
      <c r="AG148" s="808">
        <f>IF(AZ148="","N/A",IF(CQ148="Pass","P","F"))</f>
        <v/>
      </c>
      <c r="AH148" s="129"/>
      <c r="AI148" s="129"/>
      <c r="AJ148" s="129"/>
      <c r="AK148" s="119"/>
      <c r="AL148" s="115"/>
      <c r="AM148" s="119"/>
      <c r="AN148" s="119"/>
      <c r="AO148" s="692"/>
      <c r="AP148" s="692"/>
      <c r="AQ148" s="692"/>
      <c r="AR148" s="692"/>
      <c r="AS148" s="692"/>
      <c r="AT148" s="691">
        <f>CE148</f>
        <v/>
      </c>
      <c r="AU148" s="691">
        <f>CF148</f>
        <v/>
      </c>
      <c r="AV148" s="813"/>
      <c r="AW148" s="813"/>
      <c r="AX148" s="197">
        <f>CZ148</f>
        <v/>
      </c>
      <c r="AY148" s="197">
        <f>DE148</f>
        <v/>
      </c>
      <c r="AZ148" s="3379">
        <f>CO148</f>
        <v/>
      </c>
      <c r="BA148" s="3380"/>
      <c r="BB148" s="197">
        <f>CP148</f>
        <v/>
      </c>
      <c r="BC148" s="813"/>
      <c r="BD148" s="197">
        <f>CR148</f>
        <v/>
      </c>
      <c r="BE148" s="121">
        <f>CS148</f>
        <v/>
      </c>
      <c r="BF148" s="122">
        <f>CT148*60</f>
        <v/>
      </c>
      <c r="BG148" s="121">
        <f>BE148</f>
        <v/>
      </c>
      <c r="BH148" s="122">
        <f>CU148*60</f>
        <v/>
      </c>
      <c r="BI148" s="122">
        <f>CV148</f>
        <v/>
      </c>
      <c r="BJ148" s="117"/>
      <c r="BK148" s="812">
        <f>Overview!$E$7</f>
        <v/>
      </c>
      <c r="BL148" s="117"/>
      <c r="BM148" s="836">
        <f>CW148</f>
        <v/>
      </c>
      <c r="BN148" s="812">
        <f>Overview!$P$153</f>
        <v/>
      </c>
      <c r="BO148" s="117"/>
      <c r="BP148" s="117"/>
      <c r="BQ148" s="115"/>
      <c r="BR148" s="1478" t="inlineStr">
        <is>
          <t>N/A</t>
        </is>
      </c>
      <c r="BS148" s="1548"/>
      <c r="BT148" s="1783" t="inlineStr">
        <is>
          <t>GSM</t>
        </is>
      </c>
      <c r="BU148" s="1783">
        <v>900</v>
      </c>
      <c r="BV148" s="400">
        <f>Overview!$H$31</f>
        <v/>
      </c>
      <c r="BW148" s="2010"/>
      <c r="BX148" s="1783"/>
      <c r="BY148" s="2040"/>
      <c r="BZ148" s="2040"/>
      <c r="CA148" s="1997" t="inlineStr">
        <is>
          <t>Top Edge</t>
        </is>
      </c>
      <c r="CB148" s="200">
        <v>5</v>
      </c>
      <c r="CC148" s="1063">
        <f>'2G-3G'!BX24</f>
        <v>37</v>
      </c>
      <c r="CD148" s="1063">
        <f>'2G-3G'!BY24</f>
        <v>897.4</v>
      </c>
      <c r="CE148" s="1523"/>
      <c r="CF148" s="1523"/>
      <c r="CG148" s="387" t="str">
        <f>IF(OR($BY$3="",$BY$3=""),"",$BY$3)</f>
        <v/>
      </c>
      <c r="CH148" s="387">
        <f>BZ148</f>
        <v/>
      </c>
      <c r="CI148" s="387">
        <f>CA148</f>
        <v/>
      </c>
      <c r="CJ148" s="1527"/>
      <c r="CK148" s="2042"/>
      <c r="CL148" s="206">
        <f>IF(CF148=""," ",IF(ABS(CE148-CF148)&lt;=0.125,"Valid","Not valid"))</f>
        <v/>
      </c>
      <c r="CM148" s="207">
        <f> IF(CE148="","",IF(AND(CE148&lt;&gt;"",CF148=""),IF(CE148&gt;=1,"Medir+Sig Max","No"),IF(CF148&lt;&gt;"",IF(CF148&gt;=1,"Medir+Sig Max","No"),"")))</f>
        <v/>
      </c>
      <c r="CN148" s="1787"/>
      <c r="CO148" s="220">
        <f>IF(CK148="",IF(AND(CE148="",CF148=""),"",IF(CF148="",IF(DE148&gt;1,ROUND(DE148*CE148,3),CE148),IF(DE148&gt;1,ROUND(DE148*CF148,3),CF148))),IF(AND(CE148="",CF148=""),"",IF(CF148="",IF(DE148&gt;1,ROUND(DE148*CE148*(1/(CK148)),3),CE148*(1/(CK148))),IF(DE148&gt;1,ROUND(DE148*CF148*(1/(CK148)),3),CF148*(1/(CK148))))))</f>
        <v/>
      </c>
      <c r="CP148" s="2043">
        <f>$CP$3</f>
        <v/>
      </c>
      <c r="CQ148" s="1472">
        <f>IF(CO148="","",IF(CO148&gt;CP148,"Fail","Pass"))</f>
        <v/>
      </c>
      <c r="CR148" s="1481">
        <f>IF(AND(MAX(CO144:CO151)=CO148,CO148&lt;&gt;0),COUNT($CR$3:CR147)+1,"")</f>
        <v/>
      </c>
      <c r="CS148" s="1565">
        <f>MyTimestamp(CO148)</f>
        <v/>
      </c>
      <c r="CT148" s="1531">
        <f>IF(CE148="",0,15)+IF(CF148="",0,15)</f>
        <v/>
      </c>
      <c r="CU148" s="1532">
        <f>IF(CT148=0,0,2)</f>
        <v/>
      </c>
      <c r="CV148" s="859" t="inlineStr">
        <is>
          <t>S/02</t>
        </is>
      </c>
      <c r="CW148" s="859" t="inlineStr">
        <is>
          <t>Dasy6</t>
        </is>
      </c>
      <c r="CX148" s="2038"/>
      <c r="CY148" s="2044"/>
      <c r="CZ148" s="1543">
        <f>10^(CJ148/20)*100-100</f>
        <v/>
      </c>
      <c r="DA148" s="1319">
        <f>IF('Tune-Up'!$H$12="","",'Tune-Up'!$H$12)</f>
        <v/>
      </c>
      <c r="DB148" s="695">
        <f>'2G-3G'!BZ24</f>
        <v/>
      </c>
      <c r="DC148" s="797">
        <f>IF(DA148="","",10^(DA148/10))</f>
        <v/>
      </c>
      <c r="DD148" s="1363">
        <f>IF(ISNUMBER(DB148)=FALSE,"",10^(DB148/10))</f>
        <v/>
      </c>
      <c r="DE148" s="1543">
        <f>IF(AND(ISNUMBER(DC148),ISNUMBER(DD148)),IF(DC148/DD148&gt;1,ROUND((DC148)/DD148,3),1),1)</f>
        <v/>
      </c>
      <c r="DF148" s="1541"/>
      <c r="DG148" s="1541"/>
      <c r="DH148" s="1541"/>
      <c r="DI148" s="1541"/>
      <c r="DJ148" s="1541"/>
      <c r="DK148" s="1541"/>
      <c r="DL148" s="1541"/>
      <c r="DM148" s="1541"/>
      <c r="DN148" s="1541"/>
      <c r="DO148" s="1541"/>
      <c r="DP148" s="1541"/>
      <c r="DQ148" s="1541"/>
      <c r="DR148" s="1541"/>
    </row>
    <row r="149" ht="12.75" x14ac:dyDescent="0.2">
      <c r="A149" s="1541"/>
      <c r="B149" s="1541"/>
      <c r="C149"/>
      <c r="D149" s="130">
        <f>IF(BX$144="Close to Ear","EN 62209-1","EN 62209-2")</f>
        <v/>
      </c>
      <c r="E149" s="130">
        <f>IF(CG149="Close to Ear","2016","2010/A1:2019")</f>
        <v/>
      </c>
      <c r="F149" s="1488" t="inlineStr">
        <is>
          <t>5.1</t>
        </is>
      </c>
      <c r="G149" s="1497"/>
      <c r="H149" s="120">
        <f>BV149</f>
        <v/>
      </c>
      <c r="I149" s="120">
        <f>BW149</f>
        <v/>
      </c>
      <c r="J149" s="687" t="str">
        <f>BT149</f>
        <v>GSM</v>
      </c>
      <c r="K149" s="194">
        <f>BU149</f>
        <v>900</v>
      </c>
      <c r="L149" s="115"/>
      <c r="M149" s="120">
        <f>BZ149</f>
        <v>0</v>
      </c>
      <c r="N149" s="119"/>
      <c r="O149" s="131"/>
      <c r="P149" s="6597"/>
      <c r="Q149" s="131"/>
      <c r="R149" s="131"/>
      <c r="S149" s="120">
        <f>CG149</f>
        <v>0</v>
      </c>
      <c r="T149" s="120">
        <f>CC149</f>
        <v>37</v>
      </c>
      <c r="U149" s="120">
        <f>CD149</f>
        <v>897.4</v>
      </c>
      <c r="V149" s="119"/>
      <c r="W149" s="197">
        <f>CK149*100</f>
        <v/>
      </c>
      <c r="X149" s="119"/>
      <c r="Y149" s="119"/>
      <c r="Z149" s="119"/>
      <c r="AA149" s="115"/>
      <c r="AB149" s="115"/>
      <c r="AC149" s="689">
        <f>IF(OR(BX$144="Close to Ear",BX$144="Close to Head"),"Head",IF(BX$144="Extremity","Extremity","Body"))</f>
        <v/>
      </c>
      <c r="AD149" s="690">
        <f>CA149</f>
        <v/>
      </c>
      <c r="AE149" s="688">
        <f>CB149</f>
        <v/>
      </c>
      <c r="AF149" s="115"/>
      <c r="AG149" s="808">
        <f>IF(AZ149="","N/A",IF(CQ149="Pass","P","F"))</f>
        <v/>
      </c>
      <c r="AH149" s="129"/>
      <c r="AI149" s="129"/>
      <c r="AJ149" s="129"/>
      <c r="AK149" s="119"/>
      <c r="AL149" s="115"/>
      <c r="AM149" s="119"/>
      <c r="AN149" s="119"/>
      <c r="AO149" s="692"/>
      <c r="AP149" s="692"/>
      <c r="AQ149" s="692"/>
      <c r="AR149" s="692"/>
      <c r="AS149" s="692"/>
      <c r="AT149" s="691">
        <f>CE149</f>
        <v/>
      </c>
      <c r="AU149" s="691">
        <f>CF149</f>
        <v/>
      </c>
      <c r="AV149" s="813"/>
      <c r="AW149" s="813"/>
      <c r="AX149" s="197">
        <f>CZ149</f>
        <v/>
      </c>
      <c r="AY149" s="197">
        <f>DE149</f>
        <v/>
      </c>
      <c r="AZ149" s="3379">
        <f>CO149</f>
        <v/>
      </c>
      <c r="BA149" s="3380"/>
      <c r="BB149" s="197">
        <f>CP149</f>
        <v/>
      </c>
      <c r="BC149" s="813"/>
      <c r="BD149" s="197">
        <f>CR149</f>
        <v/>
      </c>
      <c r="BE149" s="121">
        <f>CS149</f>
        <v/>
      </c>
      <c r="BF149" s="122">
        <f>CT149*60</f>
        <v/>
      </c>
      <c r="BG149" s="121">
        <f>BE149</f>
        <v/>
      </c>
      <c r="BH149" s="122">
        <f>CU149*60</f>
        <v/>
      </c>
      <c r="BI149" s="122">
        <f>CV149</f>
        <v/>
      </c>
      <c r="BJ149" s="117"/>
      <c r="BK149" s="812">
        <f>Overview!$E$7</f>
        <v/>
      </c>
      <c r="BL149" s="117"/>
      <c r="BM149" s="836">
        <f>CW149</f>
        <v/>
      </c>
      <c r="BN149" s="812">
        <f>Overview!$P$153</f>
        <v/>
      </c>
      <c r="BO149" s="117"/>
      <c r="BP149" s="117"/>
      <c r="BQ149" s="115"/>
      <c r="BR149" s="1478" t="inlineStr">
        <is>
          <t>N/A</t>
        </is>
      </c>
      <c r="BS149" s="1548"/>
      <c r="BT149" s="1783" t="inlineStr">
        <is>
          <t>GSM</t>
        </is>
      </c>
      <c r="BU149" s="1783">
        <v>900</v>
      </c>
      <c r="BV149" s="400">
        <f>Overview!$H$31</f>
        <v/>
      </c>
      <c r="BW149" s="2010"/>
      <c r="BX149" s="1783"/>
      <c r="BY149" s="2040"/>
      <c r="BZ149" s="2040"/>
      <c r="CA149" s="1997" t="inlineStr">
        <is>
          <t>Bottom Edge</t>
        </is>
      </c>
      <c r="CB149" s="200">
        <v>5</v>
      </c>
      <c r="CC149" s="1063">
        <f>'2G-3G'!BX24</f>
        <v>37</v>
      </c>
      <c r="CD149" s="1063">
        <f>'2G-3G'!BY24</f>
        <v>897.4</v>
      </c>
      <c r="CE149" s="1523"/>
      <c r="CF149" s="1523"/>
      <c r="CG149" s="387" t="str">
        <f>IF(OR($BY$3="",$BY$3=""),"",$BY$3)</f>
        <v/>
      </c>
      <c r="CH149" s="387">
        <f>BZ149</f>
        <v/>
      </c>
      <c r="CI149" s="387">
        <f>CA149</f>
        <v/>
      </c>
      <c r="CJ149" s="1527"/>
      <c r="CK149" s="2042"/>
      <c r="CL149" s="206">
        <f>IF(CF149=""," ",IF(ABS(CE149-CF149)&lt;=0.125,"Valid","Not valid"))</f>
        <v/>
      </c>
      <c r="CM149" s="207">
        <f> IF(CE149="","",IF(AND(CE149&lt;&gt;"",CF149=""),IF(CE149&gt;=1,"Medir+Sig Max","No"),IF(CF149&lt;&gt;"",IF(CF149&gt;=1,"Medir+Sig Max","No"),"")))</f>
        <v/>
      </c>
      <c r="CN149" s="1787"/>
      <c r="CO149" s="220">
        <f>IF(CK149="",IF(AND(CE149="",CF149=""),"",IF(CF149="",IF(DE149&gt;1,ROUND(DE149*CE149,3),CE149),IF(DE149&gt;1,ROUND(DE149*CF149,3),CF149))),IF(AND(CE149="",CF149=""),"",IF(CF149="",IF(DE149&gt;1,ROUND(DE149*CE149*(1/(CK149)),3),CE149*(1/(CK149))),IF(DE149&gt;1,ROUND(DE149*CF149*(1/(CK149)),3),CF149*(1/(CK149))))))</f>
        <v/>
      </c>
      <c r="CP149" s="2043">
        <f>$CP$3</f>
        <v/>
      </c>
      <c r="CQ149" s="1472">
        <f>IF(CO149="","",IF(CO149&gt;CP149,"Fail","Pass"))</f>
        <v/>
      </c>
      <c r="CR149" s="1481">
        <f>IF(AND(MAX(CO144:CO151)=CO149,CO149&lt;&gt;0),COUNT($CR$3:CR148)+1,"")</f>
        <v/>
      </c>
      <c r="CS149" s="1565">
        <f>MyTimestamp(CO149)</f>
        <v/>
      </c>
      <c r="CT149" s="1531">
        <f>IF(CE149="",0,15)+IF(CF149="",0,15)</f>
        <v/>
      </c>
      <c r="CU149" s="1532">
        <f>IF(CT149=0,0,2)</f>
        <v/>
      </c>
      <c r="CV149" s="859" t="inlineStr">
        <is>
          <t>S/02</t>
        </is>
      </c>
      <c r="CW149" s="859" t="inlineStr">
        <is>
          <t>Dasy6</t>
        </is>
      </c>
      <c r="CX149" s="2038"/>
      <c r="CY149" s="2044"/>
      <c r="CZ149" s="1543">
        <f>10^(CJ149/20)*100-100</f>
        <v/>
      </c>
      <c r="DA149" s="1319">
        <f>IF('Tune-Up'!$H$12="","",'Tune-Up'!$H$12)</f>
        <v/>
      </c>
      <c r="DB149" s="695">
        <f>'2G-3G'!BZ24</f>
        <v/>
      </c>
      <c r="DC149" s="797">
        <f>IF(DA149="","",10^(DA149/10))</f>
        <v/>
      </c>
      <c r="DD149" s="1363">
        <f>IF(ISNUMBER(DB149)=FALSE,"",10^(DB149/10))</f>
        <v/>
      </c>
      <c r="DE149" s="1543">
        <f>IF(AND(ISNUMBER(DC149),ISNUMBER(DD149)),IF(DC149/DD149&gt;1,ROUND((DC149)/DD149,3),1),1)</f>
        <v/>
      </c>
      <c r="DF149" s="1541"/>
      <c r="DG149" s="1541"/>
      <c r="DH149" s="1541"/>
      <c r="DI149" s="1541"/>
      <c r="DJ149" s="1541"/>
      <c r="DK149" s="1541"/>
      <c r="DL149" s="1541"/>
      <c r="DM149" s="1541"/>
      <c r="DN149" s="1541"/>
      <c r="DO149" s="1541"/>
      <c r="DP149" s="1541"/>
      <c r="DQ149" s="1541"/>
      <c r="DR149" s="1541"/>
    </row>
    <row r="150" ht="12.75" x14ac:dyDescent="0.2">
      <c r="A150" s="1541"/>
      <c r="B150" s="1541"/>
      <c r="C150"/>
      <c r="D150" s="130">
        <f>IF(BX$144="Close to Ear","EN 62209-1","EN 62209-2")</f>
        <v/>
      </c>
      <c r="E150" s="130">
        <f>IF(CG150="Close to Ear","2016","2010/A1:2019")</f>
        <v/>
      </c>
      <c r="F150" s="1488" t="inlineStr">
        <is>
          <t>5.1</t>
        </is>
      </c>
      <c r="G150" s="1497"/>
      <c r="H150" s="120">
        <f>BV150</f>
        <v/>
      </c>
      <c r="I150" s="120">
        <f>BW150</f>
        <v/>
      </c>
      <c r="J150" s="687" t="str">
        <f>BT150</f>
        <v>GSM</v>
      </c>
      <c r="K150" s="194">
        <f>BU150</f>
        <v>900</v>
      </c>
      <c r="L150" s="115"/>
      <c r="M150" s="120">
        <f>BZ150</f>
        <v>0</v>
      </c>
      <c r="N150" s="119"/>
      <c r="O150" s="131"/>
      <c r="P150" s="6597"/>
      <c r="Q150" s="131"/>
      <c r="R150" s="131"/>
      <c r="S150" s="120">
        <f>CG150</f>
        <v>0</v>
      </c>
      <c r="T150" s="120">
        <f>CC150</f>
        <v>975</v>
      </c>
      <c r="U150" s="120">
        <f>CD150</f>
        <v>880.2</v>
      </c>
      <c r="V150" s="119"/>
      <c r="W150" s="197">
        <f>CK150*100</f>
        <v/>
      </c>
      <c r="X150" s="119"/>
      <c r="Y150" s="119"/>
      <c r="Z150" s="119"/>
      <c r="AA150" s="115"/>
      <c r="AB150" s="115"/>
      <c r="AC150" s="689">
        <f>IF(OR(BX$144="Close to Ear",BX$144="Close to Head"),"Head",IF(BX$144="Extremity","Extremity","Body"))</f>
        <v/>
      </c>
      <c r="AD150" s="690">
        <f>CA150</f>
        <v/>
      </c>
      <c r="AE150" s="688">
        <f>CB150</f>
        <v/>
      </c>
      <c r="AF150" s="115"/>
      <c r="AG150" s="808">
        <f>IF(AZ150="","N/A",IF(CQ150="Pass","P","F"))</f>
        <v/>
      </c>
      <c r="AH150" s="129"/>
      <c r="AI150" s="129"/>
      <c r="AJ150" s="129"/>
      <c r="AK150" s="119"/>
      <c r="AL150" s="115"/>
      <c r="AM150" s="119"/>
      <c r="AN150" s="119"/>
      <c r="AO150" s="692"/>
      <c r="AP150" s="692"/>
      <c r="AQ150" s="692"/>
      <c r="AR150" s="692"/>
      <c r="AS150" s="692"/>
      <c r="AT150" s="691">
        <f>CE150</f>
        <v/>
      </c>
      <c r="AU150" s="691">
        <f>CF150</f>
        <v/>
      </c>
      <c r="AV150" s="813"/>
      <c r="AW150" s="813"/>
      <c r="AX150" s="197">
        <f>CZ150</f>
        <v/>
      </c>
      <c r="AY150" s="197">
        <f>DE150</f>
        <v/>
      </c>
      <c r="AZ150" s="3379">
        <f>CO150</f>
        <v/>
      </c>
      <c r="BA150" s="3380"/>
      <c r="BB150" s="197">
        <f>CP150</f>
        <v/>
      </c>
      <c r="BC150" s="813"/>
      <c r="BD150" s="197">
        <f>CR150</f>
        <v/>
      </c>
      <c r="BE150" s="121">
        <f>CS150</f>
        <v/>
      </c>
      <c r="BF150" s="122">
        <f>CT150*60</f>
        <v/>
      </c>
      <c r="BG150" s="121">
        <f>BE150</f>
        <v/>
      </c>
      <c r="BH150" s="122">
        <f>CU150*60</f>
        <v/>
      </c>
      <c r="BI150" s="122">
        <f>CV150</f>
        <v/>
      </c>
      <c r="BJ150" s="117"/>
      <c r="BK150" s="812">
        <f>Overview!$E$7</f>
        <v/>
      </c>
      <c r="BL150" s="117"/>
      <c r="BM150" s="836">
        <f>CW150</f>
        <v/>
      </c>
      <c r="BN150" s="812">
        <f>Overview!$P$153</f>
        <v/>
      </c>
      <c r="BO150" s="117"/>
      <c r="BP150" s="117"/>
      <c r="BQ150" s="115"/>
      <c r="BR150" s="1478" t="inlineStr">
        <is>
          <t>N/A</t>
        </is>
      </c>
      <c r="BS150" s="1548"/>
      <c r="BT150" s="1783" t="inlineStr">
        <is>
          <t>GSM</t>
        </is>
      </c>
      <c r="BU150" s="1783">
        <v>900</v>
      </c>
      <c r="BV150" s="400">
        <f>Overview!$H$31</f>
        <v/>
      </c>
      <c r="BW150" s="2010"/>
      <c r="BX150" s="1783"/>
      <c r="BY150" s="2040"/>
      <c r="BZ150" s="2040"/>
      <c r="CA150" s="401" t="str">
        <f>IF(COUNT(CF144:CF149)=0,IF(COUNT(CE144:CE149)=0,"TBD",VLOOKUP(MAX(CE144:CE149),CE144:CI149,5,FALSE)),VLOOKUP(MAX(CF144:CF149),CF144:CI149,4,FALSE))</f>
        <v>TBD</v>
      </c>
      <c r="CB150" s="200">
        <v>5</v>
      </c>
      <c r="CC150" s="1063">
        <f>'2G-3G'!BX25</f>
        <v>975</v>
      </c>
      <c r="CD150" s="1063">
        <f>'2G-3G'!BY25</f>
        <v>880.2</v>
      </c>
      <c r="CE150" s="1523"/>
      <c r="CF150" s="1523"/>
      <c r="CG150" s="387" t="str">
        <f>IF(OR($BY$3="",$BY$3=""),"",$BY$3)</f>
        <v/>
      </c>
      <c r="CH150" s="387">
        <f>BZ150</f>
        <v/>
      </c>
      <c r="CI150" s="387">
        <f>CA150</f>
        <v/>
      </c>
      <c r="CJ150" s="1527"/>
      <c r="CK150" s="2042"/>
      <c r="CL150" s="206">
        <f>IF(CF150=""," ",IF(ABS(CE150-CF150)&lt;=0.125,"Valid","Not valid"))</f>
        <v/>
      </c>
      <c r="CM150" s="207">
        <f> IF(CE150="","",IF(AND(CE150&lt;&gt;"",CF150=""),IF(CE150&gt;=1,"Medir+Sig Max","No"),IF(CF150&lt;&gt;"",IF(CF150&gt;=1,"Medir+Sig Max","No"),"")))</f>
        <v/>
      </c>
      <c r="CN150" s="1787"/>
      <c r="CO150" s="220">
        <f>IF(CK150="",IF(AND(CE150="",CF150=""),"",IF(CF150="",IF(DE150&gt;1,ROUND(DE150*CE150,3),CE150),IF(DE150&gt;1,ROUND(DE150*CF150,3),CF150))),IF(AND(CE150="",CF150=""),"",IF(CF150="",IF(DE150&gt;1,ROUND(DE150*CE150*(1/(CK150)),3),CE150*(1/(CK150))),IF(DE150&gt;1,ROUND(DE150*CF150*(1/(CK150)),3),CF150*(1/(CK150))))))</f>
        <v/>
      </c>
      <c r="CP150" s="2043">
        <f>$CP$3</f>
        <v/>
      </c>
      <c r="CQ150" s="1472">
        <f>IF(CO150="","",IF(CO150&gt;CP150,"Fail","Pass"))</f>
        <v/>
      </c>
      <c r="CR150" s="1481">
        <f>IF(AND(MAX(CO144:CO151)=CO150,CO150&lt;&gt;0),COUNT($CR$3:CR149)+1,"")</f>
        <v/>
      </c>
      <c r="CS150" s="1565">
        <f>MyTimestamp(CO150)</f>
        <v/>
      </c>
      <c r="CT150" s="1531">
        <f>IF(CE150="",0,15)+IF(CF150="",0,15)</f>
        <v/>
      </c>
      <c r="CU150" s="1532">
        <f>IF(CT150=0,0,2)</f>
        <v/>
      </c>
      <c r="CV150" s="859" t="inlineStr">
        <is>
          <t>S/02</t>
        </is>
      </c>
      <c r="CW150" s="859" t="inlineStr">
        <is>
          <t>Dasy6</t>
        </is>
      </c>
      <c r="CX150" s="2038"/>
      <c r="CY150" s="2044"/>
      <c r="CZ150" s="1543">
        <f>10^(CJ150/20)*100-100</f>
        <v/>
      </c>
      <c r="DA150" s="1319">
        <f>IF('Tune-Up'!$H$12="","",'Tune-Up'!$H$12)</f>
        <v/>
      </c>
      <c r="DB150" s="695">
        <f>'2G-3G'!BZ25</f>
        <v/>
      </c>
      <c r="DC150" s="797">
        <f>IF(DA150="","",10^(DA150/10))</f>
        <v/>
      </c>
      <c r="DD150" s="1363">
        <f>IF(ISNUMBER(DB150)=FALSE,"",10^(DB150/10))</f>
        <v/>
      </c>
      <c r="DE150" s="1543">
        <f>IF(AND(ISNUMBER(DC150),ISNUMBER(DD150)),IF(DC150/DD150&gt;1,ROUND((DC150)/DD150,3),1),1)</f>
        <v/>
      </c>
      <c r="DF150" s="1541"/>
      <c r="DG150" s="1541"/>
      <c r="DH150" s="1541"/>
      <c r="DI150" s="1541"/>
      <c r="DJ150" s="1541"/>
      <c r="DK150" s="1541"/>
      <c r="DL150" s="1541"/>
      <c r="DM150" s="1541"/>
      <c r="DN150" s="1541"/>
      <c r="DO150" s="1541"/>
      <c r="DP150" s="1541"/>
      <c r="DQ150" s="1541"/>
      <c r="DR150" s="1541"/>
    </row>
    <row r="151" ht="12.75" x14ac:dyDescent="0.2">
      <c r="A151" s="1541"/>
      <c r="B151" s="1541"/>
      <c r="C151"/>
      <c r="D151" s="130">
        <f>IF(BX$144="Close to Ear","EN 62209-1","EN 62209-2")</f>
        <v/>
      </c>
      <c r="E151" s="130">
        <f>IF(CG151="Close to Ear","2016","2010/A1:2019")</f>
        <v/>
      </c>
      <c r="F151" s="1488" t="inlineStr">
        <is>
          <t>5.1</t>
        </is>
      </c>
      <c r="G151" s="1497"/>
      <c r="H151" s="120">
        <f>BV151</f>
        <v/>
      </c>
      <c r="I151" s="120">
        <f>BW151</f>
        <v/>
      </c>
      <c r="J151" s="687" t="str">
        <f>BT151</f>
        <v>GSM</v>
      </c>
      <c r="K151" s="194">
        <f>BU151</f>
        <v>900</v>
      </c>
      <c r="L151" s="115"/>
      <c r="M151" s="120">
        <f>BZ151</f>
        <v>0</v>
      </c>
      <c r="N151" s="119"/>
      <c r="O151" s="131"/>
      <c r="P151" s="6597"/>
      <c r="Q151" s="131"/>
      <c r="R151" s="131"/>
      <c r="S151" s="120">
        <f>CG151</f>
        <v>0</v>
      </c>
      <c r="T151" s="120">
        <f>CC151</f>
        <v>124</v>
      </c>
      <c r="U151" s="120">
        <f>CD151</f>
        <v>914.8</v>
      </c>
      <c r="V151" s="119"/>
      <c r="W151" s="197">
        <f>CK151*100</f>
        <v/>
      </c>
      <c r="X151" s="119"/>
      <c r="Y151" s="119"/>
      <c r="Z151" s="119"/>
      <c r="AA151" s="115"/>
      <c r="AB151" s="115"/>
      <c r="AC151" s="689">
        <f>IF(OR(BX$144="Close to Ear",BX$144="Close to Head"),"Head",IF(BX$144="Extremity","Extremity","Body"))</f>
        <v/>
      </c>
      <c r="AD151" s="690">
        <f>CA151</f>
        <v/>
      </c>
      <c r="AE151" s="688">
        <f>CB151</f>
        <v/>
      </c>
      <c r="AF151" s="115"/>
      <c r="AG151" s="808">
        <f>IF(AZ151="","N/A",IF(CQ151="Pass","P","F"))</f>
        <v/>
      </c>
      <c r="AH151" s="129"/>
      <c r="AI151" s="129"/>
      <c r="AJ151" s="129"/>
      <c r="AK151" s="119"/>
      <c r="AL151" s="115"/>
      <c r="AM151" s="119"/>
      <c r="AN151" s="119"/>
      <c r="AO151" s="692"/>
      <c r="AP151" s="692"/>
      <c r="AQ151" s="692"/>
      <c r="AR151" s="692"/>
      <c r="AS151" s="692"/>
      <c r="AT151" s="691">
        <f>CE151</f>
        <v/>
      </c>
      <c r="AU151" s="691">
        <f>CF151</f>
        <v/>
      </c>
      <c r="AV151" s="813"/>
      <c r="AW151" s="813"/>
      <c r="AX151" s="197">
        <f>CZ151</f>
        <v/>
      </c>
      <c r="AY151" s="197">
        <f>DE151</f>
        <v/>
      </c>
      <c r="AZ151" s="3379">
        <f>CO151</f>
        <v/>
      </c>
      <c r="BA151" s="3380"/>
      <c r="BB151" s="197">
        <f>CP151</f>
        <v/>
      </c>
      <c r="BC151" s="813"/>
      <c r="BD151" s="197">
        <f>CR151</f>
        <v/>
      </c>
      <c r="BE151" s="121">
        <f>CS151</f>
        <v/>
      </c>
      <c r="BF151" s="122">
        <f>CT151*60</f>
        <v/>
      </c>
      <c r="BG151" s="121">
        <f>BE151</f>
        <v/>
      </c>
      <c r="BH151" s="122">
        <f>CU151*60</f>
        <v/>
      </c>
      <c r="BI151" s="122">
        <f>CV151</f>
        <v/>
      </c>
      <c r="BJ151" s="117"/>
      <c r="BK151" s="812">
        <f>Overview!$E$7</f>
        <v/>
      </c>
      <c r="BL151" s="117"/>
      <c r="BM151" s="836">
        <f>CW151</f>
        <v/>
      </c>
      <c r="BN151" s="812">
        <f>Overview!$P$153</f>
        <v/>
      </c>
      <c r="BO151" s="117"/>
      <c r="BP151" s="117"/>
      <c r="BQ151" s="115"/>
      <c r="BR151" s="1478" t="inlineStr">
        <is>
          <t>N/A</t>
        </is>
      </c>
      <c r="BS151" s="1548"/>
      <c r="BT151" s="1783" t="inlineStr">
        <is>
          <t>GSM</t>
        </is>
      </c>
      <c r="BU151" s="1783">
        <v>900</v>
      </c>
      <c r="BV151" s="400">
        <f>Overview!$H$31</f>
        <v/>
      </c>
      <c r="BW151" s="2010"/>
      <c r="BX151" s="1800"/>
      <c r="BY151" s="2040"/>
      <c r="BZ151" s="2040"/>
      <c r="CA151" s="404" t="str">
        <f>IF(COUNT(CF144:CF149)=0,IF(COUNT(CE144:CE149)=0,"TBD",VLOOKUP(MAX(CE144:CE149),CE144:CI149,5,FALSE)),VLOOKUP(MAX(CF144:CF149),CF144:CI149,4,FALSE))</f>
        <v>TBD</v>
      </c>
      <c r="CB151" s="201">
        <v>5</v>
      </c>
      <c r="CC151" s="1081">
        <f>'2G-3G'!BX26</f>
        <v>124</v>
      </c>
      <c r="CD151" s="1081">
        <f>'2G-3G'!BY26</f>
        <v>914.8</v>
      </c>
      <c r="CE151" s="1874"/>
      <c r="CF151" s="1874"/>
      <c r="CG151" s="388" t="str">
        <f>IF(OR($BY$3="",$BY$3=""),"",$BY$3)</f>
        <v/>
      </c>
      <c r="CH151" s="388">
        <f>BZ151</f>
        <v/>
      </c>
      <c r="CI151" s="388">
        <f>CA151</f>
        <v/>
      </c>
      <c r="CJ151" s="2046"/>
      <c r="CK151" s="2047"/>
      <c r="CL151" s="212">
        <f>IF(CF151=""," ",IF(ABS(CE151-CF151)&lt;=0.125,"Valid","Not valid"))</f>
        <v/>
      </c>
      <c r="CM151" s="213">
        <f> IF(CE151="","",IF(AND(CE151&lt;&gt;"",CF151=""),IF(CE151&gt;=1,"Medir+Sig Max","No"),IF(CF151&lt;&gt;"",IF(CF151&gt;=1,"Medir+Sig Max","No"),"")))</f>
        <v/>
      </c>
      <c r="CN151" s="1794"/>
      <c r="CO151" s="221">
        <f>IF(CK151="",IF(AND(CE151="",CF151=""),"",IF(CF151="",IF(DE151&gt;1,ROUND(DE151*CE151,3),CE151),IF(DE151&gt;1,ROUND(DE151*CF151,3),CF151))),IF(AND(CE151="",CF151=""),"",IF(CF151="",IF(DE151&gt;1,ROUND(DE151*CE151*(1/(CK151)),3),CE151*(1/(CK151))),IF(DE151&gt;1,ROUND(DE151*CF151*(1/(CK151)),3),CF151*(1/(CK151))))))</f>
        <v/>
      </c>
      <c r="CP151" s="2048">
        <f>$CP$3</f>
        <v/>
      </c>
      <c r="CQ151" s="1473">
        <f>IF(CO151="","",IF(CO151&gt;CP151,"Fail","Pass"))</f>
        <v/>
      </c>
      <c r="CR151" s="1482">
        <f>IF(AND(MAX(CO144:CO151)=CO151,CO151&lt;&gt;0),COUNT($CR$3:CR150)+1,"")</f>
        <v/>
      </c>
      <c r="CS151" s="1566">
        <f>MyTimestamp(CO151)</f>
        <v/>
      </c>
      <c r="CT151" s="1535">
        <f>IF(CE151="",0,15)+IF(CF151="",0,15)</f>
        <v/>
      </c>
      <c r="CU151" s="1536">
        <f>IF(CT151=0,0,2)</f>
        <v/>
      </c>
      <c r="CV151" s="861" t="inlineStr">
        <is>
          <t>S/02</t>
        </is>
      </c>
      <c r="CW151" s="861" t="inlineStr">
        <is>
          <t>Dasy6</t>
        </is>
      </c>
      <c r="CX151" s="2038"/>
      <c r="CY151" s="2050"/>
      <c r="CZ151" s="1545">
        <f>10^(CJ151/20)*100-100</f>
        <v/>
      </c>
      <c r="DA151" s="1320">
        <f>IF('Tune-Up'!$H$12="","",'Tune-Up'!$H$12)</f>
        <v/>
      </c>
      <c r="DB151" s="696">
        <f>'2G-3G'!BZ26</f>
        <v/>
      </c>
      <c r="DC151" s="798">
        <f>IF(DA151="","",10^(DA151/10))</f>
        <v/>
      </c>
      <c r="DD151" s="1364">
        <f>IF(ISNUMBER(DB151)=FALSE,"",10^(DB151/10))</f>
        <v/>
      </c>
      <c r="DE151" s="1545">
        <f>IF(AND(ISNUMBER(DC151),ISNUMBER(DD151)),IF(DC151/DD151&gt;1,ROUND((DC151)/DD151,3),1),1)</f>
        <v/>
      </c>
      <c r="DF151" s="1541"/>
      <c r="DG151" s="1541"/>
      <c r="DH151" s="1541"/>
      <c r="DI151" s="1541"/>
      <c r="DJ151" s="1541"/>
      <c r="DK151" s="1541"/>
      <c r="DL151" s="1541"/>
      <c r="DM151" s="1541"/>
      <c r="DN151" s="1541"/>
      <c r="DO151" s="1541"/>
      <c r="DP151" s="1541"/>
      <c r="DQ151" s="1541"/>
      <c r="DR151" s="1541"/>
    </row>
    <row r="152" ht="12.75" x14ac:dyDescent="0.2">
      <c r="A152" s="1541"/>
      <c r="B152" s="1541"/>
      <c r="C152"/>
      <c r="D152" s="130">
        <f>IF(BX$144="Close to Ear","EN 62209-1","EN 62209-2")</f>
        <v/>
      </c>
      <c r="E152" s="130">
        <f>IF(CG152="Close to Ear","2016","2010/A1:2019")</f>
        <v/>
      </c>
      <c r="F152" s="1488" t="inlineStr">
        <is>
          <t>5.1</t>
        </is>
      </c>
      <c r="G152" s="1497"/>
      <c r="H152" s="120">
        <f>BV152</f>
        <v/>
      </c>
      <c r="I152" s="120">
        <f>BW152</f>
        <v/>
      </c>
      <c r="J152" s="687">
        <f>BT152</f>
        <v/>
      </c>
      <c r="K152" s="194">
        <f>BU152</f>
        <v/>
      </c>
      <c r="L152" s="115"/>
      <c r="M152" s="120">
        <f>BZ152</f>
        <v/>
      </c>
      <c r="N152" s="119"/>
      <c r="O152" s="131"/>
      <c r="P152" s="6597"/>
      <c r="Q152" s="131"/>
      <c r="R152" s="131"/>
      <c r="S152" s="120">
        <f>CG152</f>
        <v/>
      </c>
      <c r="T152" s="120">
        <f>CC152</f>
        <v/>
      </c>
      <c r="U152" s="120">
        <f>CD152</f>
        <v/>
      </c>
      <c r="V152" s="119"/>
      <c r="W152" s="197">
        <f>CK152*100</f>
        <v/>
      </c>
      <c r="X152" s="119"/>
      <c r="Y152" s="119"/>
      <c r="Z152" s="119"/>
      <c r="AA152" s="115"/>
      <c r="AB152" s="115"/>
      <c r="AC152" s="689">
        <f>IF(OR(BX$144="Close to Ear",BX$144="Close to Head"),"Head",IF(BX$144="Extremity","Extremity","Body"))</f>
        <v/>
      </c>
      <c r="AD152" s="690">
        <f>CA152</f>
        <v/>
      </c>
      <c r="AE152" s="688">
        <f>CB152</f>
        <v/>
      </c>
      <c r="AF152" s="115"/>
      <c r="AG152" s="808">
        <f>IF(AZ152="","N/A",IF(CQ152="Pass","P","F"))</f>
        <v/>
      </c>
      <c r="AH152" s="129"/>
      <c r="AI152" s="129"/>
      <c r="AJ152" s="129"/>
      <c r="AK152" s="119"/>
      <c r="AL152" s="115"/>
      <c r="AM152" s="119"/>
      <c r="AN152" s="119"/>
      <c r="AO152" s="692"/>
      <c r="AP152" s="692"/>
      <c r="AQ152" s="692"/>
      <c r="AR152" s="692"/>
      <c r="AS152" s="692"/>
      <c r="AT152" s="691">
        <f>CE152</f>
        <v/>
      </c>
      <c r="AU152" s="691">
        <f>CF152</f>
        <v/>
      </c>
      <c r="AV152" s="813"/>
      <c r="AW152" s="813"/>
      <c r="AX152" s="197">
        <f>CZ152</f>
        <v/>
      </c>
      <c r="AY152" s="197">
        <f>DE152</f>
        <v/>
      </c>
      <c r="AZ152" s="3379">
        <f>CO152</f>
        <v/>
      </c>
      <c r="BA152" s="3380"/>
      <c r="BB152" s="197">
        <f>CP152</f>
        <v/>
      </c>
      <c r="BC152" s="813"/>
      <c r="BD152" s="197">
        <f>CR152</f>
        <v/>
      </c>
      <c r="BE152" s="121">
        <f>CS152</f>
        <v/>
      </c>
      <c r="BF152" s="122">
        <f>CT152*60</f>
        <v/>
      </c>
      <c r="BG152" s="121">
        <f>BE152</f>
        <v/>
      </c>
      <c r="BH152" s="122">
        <f>CU152*60</f>
        <v/>
      </c>
      <c r="BI152" s="122">
        <f>CV152</f>
        <v/>
      </c>
      <c r="BJ152" s="117"/>
      <c r="BK152" s="812">
        <f>Overview!$E$7</f>
        <v/>
      </c>
      <c r="BL152" s="117"/>
      <c r="BM152" s="836">
        <f>CW152</f>
        <v/>
      </c>
      <c r="BN152" s="812">
        <f>Overview!$P$153</f>
        <v/>
      </c>
      <c r="BO152" s="117"/>
      <c r="BP152" s="117"/>
      <c r="BQ152" s="115"/>
      <c r="BR152" s="1478" t="inlineStr">
        <is>
          <t>N/A</t>
        </is>
      </c>
      <c r="BS152" s="1548"/>
      <c r="BT152" s="1783" t="inlineStr">
        <is>
          <t>GSM</t>
        </is>
      </c>
      <c r="BU152" s="1783">
        <v>900</v>
      </c>
      <c r="BV152" s="400">
        <f>Overview!$H$31</f>
        <v/>
      </c>
      <c r="BW152" s="2010"/>
      <c r="BX152" s="1800"/>
      <c r="BY152" s="2040"/>
      <c r="BZ152" s="2040"/>
      <c r="CA152" s="404" t="str">
        <f>CONCATENATE(CA150," - Battery check 1")</f>
        <v>TBD - Battery check 1</v>
      </c>
      <c r="CB152" s="201">
        <v>5</v>
      </c>
      <c r="CC152" s="1081">
        <f>IF(COUNT($CO$144:$CO$151)=0,"N/A",INDEX($CC$144:$CC$151,MATCH(MAX($CO$144:$CO$151),$CO$144:$CO$151,0)))</f>
        <v/>
      </c>
      <c r="CD152" s="1081">
        <f>IF(COUNT($CO$144:$CO$151)=0,"N/A",INDEX($CD$144:$CD$151,MATCH(MAX($CO$144:$CO$151),$CO$144:$CO$151,0)))</f>
        <v/>
      </c>
      <c r="CE152" s="1874"/>
      <c r="CF152" s="1874"/>
      <c r="CG152" s="388" t="inlineStr">
        <is>
          <t>N/A</t>
        </is>
      </c>
      <c r="CH152" s="388">
        <f>BZ152</f>
        <v/>
      </c>
      <c r="CI152" s="388">
        <f>CA152</f>
        <v/>
      </c>
      <c r="CJ152" s="2046"/>
      <c r="CK152" s="2047"/>
      <c r="CL152" s="212">
        <f>IF(CF152=""," ",IF(ABS(CE152-CF152)&lt;=0.125,"Valid","Not valid"))</f>
        <v/>
      </c>
      <c r="CM152" s="213">
        <f> IF(CE152="","",IF(AND(CE152&lt;&gt;"",CF152=""),IF(CE152&gt;=1,"Medir+Sig Max","No"),IF(CF152&lt;&gt;"",IF(CF152&gt;=1,"Medir+Sig Max","No"),"")))</f>
        <v/>
      </c>
      <c r="CN152" s="1794"/>
      <c r="CO152" s="221">
        <f>IF(CK152="",IF(AND(CE152="",CF152=""),"",IF(CF152="",IF(DE152&gt;1,ROUND(DE152*CE152,3),CE152),IF(DE152&gt;1,ROUND(DE152*CF152,3),CF152))),IF(AND(CE152="",CF152=""),"",IF(CF152="",IF(DE152&gt;1,ROUND(DE152*CE152*(1/(CK152)),3),CE152*(1/(CK152))),IF(DE152&gt;1,ROUND(DE152*CF152*(1/(CK152)),3),CF152*(1/(CK152))))))</f>
        <v/>
      </c>
      <c r="CP152" s="2048">
        <f>$CP$3</f>
        <v/>
      </c>
      <c r="CQ152" s="1473">
        <f>IF(CO152="","",IF(CO152&gt;CP152,"Fail","Pass"))</f>
        <v/>
      </c>
      <c r="CR152" s="1482">
        <f>IF(CO152&lt;&gt;"",MAX($CR$3:CR151)+1,"")</f>
        <v/>
      </c>
      <c r="CS152" s="1566">
        <f>MyTimestamp(CQ152)</f>
        <v/>
      </c>
      <c r="CT152" s="1535">
        <f>IF(COUNT(CE152:CF152)=1,15,IF(COUNT(CE152:CF152)=0,0,30))</f>
        <v/>
      </c>
      <c r="CU152" s="1536">
        <f>IF(CT152=0,0,2)</f>
        <v/>
      </c>
      <c r="CV152" s="861" t="inlineStr">
        <is>
          <t>S/02</t>
        </is>
      </c>
      <c r="CW152" s="861" t="inlineStr">
        <is>
          <t>Dasy6</t>
        </is>
      </c>
      <c r="CX152" s="2038"/>
      <c r="CY152" s="2050"/>
      <c r="CZ152" s="1545">
        <f>10^(CJ152/20)*100-100</f>
        <v/>
      </c>
      <c r="DA152" s="1320">
        <f>IF('Tune-Up'!$H$12="","",'Tune-Up'!$H$12)</f>
        <v/>
      </c>
      <c r="DB152" s="696">
        <f>IF(COUNT($CO$144:$CO$151)=0,"N/A",IFERROR(INDEX($DB$144:$DB$151,MATCH(MAX($CO$144:$CO$151),$CO$144:$CO$151,0)),"N/A"))</f>
        <v/>
      </c>
      <c r="DC152" s="798">
        <f>IF(DA152="","",10^(DA152/10))</f>
        <v/>
      </c>
      <c r="DD152" s="1364">
        <f>IF(ISNUMBER(DB152)=FALSE,"N/A",10^(DB152/10))</f>
        <v/>
      </c>
      <c r="DE152" s="1545">
        <f>IF(AND(ISNUMBER(DC152),ISNUMBER(DD152)),IF(DC152/DD152&gt;1,ROUND((DC152)/DD152,3),1),1)</f>
        <v/>
      </c>
      <c r="DF152" s="1541"/>
      <c r="DG152" s="1541"/>
      <c r="DH152" s="1541"/>
      <c r="DI152" s="1541"/>
      <c r="DJ152" s="1541"/>
      <c r="DK152" s="1541"/>
      <c r="DL152" s="1541"/>
      <c r="DM152" s="1541"/>
      <c r="DN152" s="1541"/>
      <c r="DO152" s="1541"/>
      <c r="DP152" s="1541"/>
      <c r="DQ152" s="1541"/>
      <c r="DR152" s="1541"/>
    </row>
    <row r="153" ht="12.75" x14ac:dyDescent="0.2">
      <c r="A153" s="1541"/>
      <c r="B153" s="1541"/>
      <c r="C153"/>
      <c r="D153" s="130">
        <f>IF(BX$144="Close to Ear","EN 62209-1","EN 62209-2")</f>
        <v/>
      </c>
      <c r="E153" s="130">
        <f>IF(CG153="Close to Ear","2016","2010/A1:2019")</f>
        <v/>
      </c>
      <c r="F153" s="1488" t="inlineStr">
        <is>
          <t>5.1</t>
        </is>
      </c>
      <c r="G153" s="1497"/>
      <c r="H153" s="120">
        <f>BV153</f>
        <v/>
      </c>
      <c r="I153" s="120">
        <f>BW153</f>
        <v/>
      </c>
      <c r="J153" s="687">
        <f>BT153</f>
        <v/>
      </c>
      <c r="K153" s="194">
        <f>BU153</f>
        <v/>
      </c>
      <c r="L153" s="115"/>
      <c r="M153" s="120">
        <f>BZ153</f>
        <v/>
      </c>
      <c r="N153" s="119"/>
      <c r="O153" s="131"/>
      <c r="P153" s="6597"/>
      <c r="Q153" s="131"/>
      <c r="R153" s="131"/>
      <c r="S153" s="120">
        <f>CG153</f>
        <v/>
      </c>
      <c r="T153" s="120">
        <f>CC153</f>
        <v/>
      </c>
      <c r="U153" s="120">
        <f>CD153</f>
        <v/>
      </c>
      <c r="V153" s="119"/>
      <c r="W153" s="197">
        <f>CK153*100</f>
        <v/>
      </c>
      <c r="X153" s="119"/>
      <c r="Y153" s="119"/>
      <c r="Z153" s="119"/>
      <c r="AA153" s="115"/>
      <c r="AB153" s="115"/>
      <c r="AC153" s="689">
        <f>IF(OR(BX$144="Close to Ear",BX$144="Close to Head"),"Head",IF(BX$144="Extremity","Extremity","Body"))</f>
        <v/>
      </c>
      <c r="AD153" s="690">
        <f>CA153</f>
        <v/>
      </c>
      <c r="AE153" s="688">
        <f>CB153</f>
        <v/>
      </c>
      <c r="AF153" s="115"/>
      <c r="AG153" s="808">
        <f>IF(AZ153="","N/A",IF(CQ153="Pass","P","F"))</f>
        <v/>
      </c>
      <c r="AH153" s="129"/>
      <c r="AI153" s="129"/>
      <c r="AJ153" s="129"/>
      <c r="AK153" s="119"/>
      <c r="AL153" s="115"/>
      <c r="AM153" s="119"/>
      <c r="AN153" s="119"/>
      <c r="AO153" s="692"/>
      <c r="AP153" s="692"/>
      <c r="AQ153" s="692"/>
      <c r="AR153" s="692"/>
      <c r="AS153" s="692"/>
      <c r="AT153" s="691">
        <f>CE153</f>
        <v/>
      </c>
      <c r="AU153" s="691">
        <f>CF153</f>
        <v/>
      </c>
      <c r="AV153" s="813"/>
      <c r="AW153" s="813"/>
      <c r="AX153" s="197">
        <f>CZ153</f>
        <v/>
      </c>
      <c r="AY153" s="197">
        <f>DE153</f>
        <v/>
      </c>
      <c r="AZ153" s="3379">
        <f>CO153</f>
        <v/>
      </c>
      <c r="BA153" s="3380"/>
      <c r="BB153" s="197">
        <f>CP153</f>
        <v/>
      </c>
      <c r="BC153" s="813"/>
      <c r="BD153" s="197">
        <f>CR153</f>
        <v/>
      </c>
      <c r="BE153" s="121">
        <f>CS153</f>
        <v/>
      </c>
      <c r="BF153" s="122">
        <f>CT153*60</f>
        <v/>
      </c>
      <c r="BG153" s="121">
        <f>BE153</f>
        <v/>
      </c>
      <c r="BH153" s="122">
        <f>CU153*60</f>
        <v/>
      </c>
      <c r="BI153" s="122">
        <f>CV153</f>
        <v/>
      </c>
      <c r="BJ153" s="117"/>
      <c r="BK153" s="812">
        <f>Overview!$E$7</f>
        <v/>
      </c>
      <c r="BL153" s="117"/>
      <c r="BM153" s="836">
        <f>CW153</f>
        <v/>
      </c>
      <c r="BN153" s="812">
        <f>Overview!$P$153</f>
        <v/>
      </c>
      <c r="BO153" s="117"/>
      <c r="BP153" s="117"/>
      <c r="BQ153" s="115"/>
      <c r="BR153" s="1478" t="inlineStr">
        <is>
          <t>N/A</t>
        </is>
      </c>
      <c r="BS153" s="1548"/>
      <c r="BT153" s="1783" t="inlineStr">
        <is>
          <t>GSM</t>
        </is>
      </c>
      <c r="BU153" s="1783">
        <v>900</v>
      </c>
      <c r="BV153" s="400">
        <f>Overview!$H$31</f>
        <v/>
      </c>
      <c r="BW153" s="2010"/>
      <c r="BX153" s="1800"/>
      <c r="BY153" s="2040"/>
      <c r="BZ153" s="2040"/>
      <c r="CA153" s="404" t="str">
        <f>CONCATENATE(CA151," - Battery check 2")</f>
        <v>TBD - Battery check 2</v>
      </c>
      <c r="CB153" s="201">
        <v>5</v>
      </c>
      <c r="CC153" s="1081">
        <f>IF(COUNT($CO$144:$CO$151)=0,"N/A",INDEX($CC$144:$CC$151,MATCH(MAX($CO$144:$CO$151),$CO$144:$CO$151,0)))</f>
        <v/>
      </c>
      <c r="CD153" s="1081">
        <f>IF(COUNT($CO$144:$CO$151)=0,"N/A",INDEX($CD$144:$CD$151,MATCH(MAX($CO$144:$CO$151),$CO$144:$CO$151,0)))</f>
        <v/>
      </c>
      <c r="CE153" s="1874"/>
      <c r="CF153" s="1874"/>
      <c r="CG153" s="388" t="inlineStr">
        <is>
          <t>N/A</t>
        </is>
      </c>
      <c r="CH153" s="388">
        <f>BZ153</f>
        <v/>
      </c>
      <c r="CI153" s="388">
        <f>CA153</f>
        <v/>
      </c>
      <c r="CJ153" s="2046"/>
      <c r="CK153" s="2047"/>
      <c r="CL153" s="212">
        <f>IF(CF153=""," ",IF(ABS(CE153-CF153)&lt;=0.125,"Valid","Not valid"))</f>
        <v/>
      </c>
      <c r="CM153" s="213">
        <f> IF(CE153="","",IF(AND(CE153&lt;&gt;"",CF153=""),IF(CE153&gt;=1,"Medir+Sig Max","No"),IF(CF153&lt;&gt;"",IF(CF153&gt;=1,"Medir+Sig Max","No"),"")))</f>
        <v/>
      </c>
      <c r="CN153" s="1794"/>
      <c r="CO153" s="221">
        <f>IF(CK153="",IF(AND(CE153="",CF153=""),"",IF(CF153="",IF(DE153&gt;1,ROUND(DE153*CE153,3),CE153),IF(DE153&gt;1,ROUND(DE153*CF153,3),CF153))),IF(AND(CE153="",CF153=""),"",IF(CF153="",IF(DE153&gt;1,ROUND(DE153*CE153*(1/(CK153)),3),CE153*(1/(CK153))),IF(DE153&gt;1,ROUND(DE153*CF153*(1/(CK153)),3),CF153*(1/(CK153))))))</f>
        <v/>
      </c>
      <c r="CP153" s="2048">
        <f>$CP$3</f>
        <v/>
      </c>
      <c r="CQ153" s="1473">
        <f>IF(CO153="","",IF(CO153&gt;CP153,"Fail","Pass"))</f>
        <v/>
      </c>
      <c r="CR153" s="1482">
        <f>IF(CO153&lt;&gt;"",MAX($CR$3:CR152)+1,"")</f>
        <v/>
      </c>
      <c r="CS153" s="1566">
        <f>MyTimestamp(CQ153)</f>
        <v/>
      </c>
      <c r="CT153" s="1535">
        <f>IF(COUNT(CE153:CF153)=1,15,IF(COUNT(CE153:CF153)=0,0,30))</f>
        <v/>
      </c>
      <c r="CU153" s="1536">
        <f>IF(CT153=0,0,2)</f>
        <v/>
      </c>
      <c r="CV153" s="861" t="inlineStr">
        <is>
          <t>S/02</t>
        </is>
      </c>
      <c r="CW153" s="861" t="inlineStr">
        <is>
          <t>Dasy6</t>
        </is>
      </c>
      <c r="CX153" s="2038"/>
      <c r="CY153" s="2050"/>
      <c r="CZ153" s="1545">
        <f>10^(CJ153/20)*100-100</f>
        <v/>
      </c>
      <c r="DA153" s="1320">
        <f>IF('Tune-Up'!$H$12="","",'Tune-Up'!$H$12)</f>
        <v/>
      </c>
      <c r="DB153" s="696">
        <f>IF(COUNT($CO$144:$CO$151)=0,"N/A",IFERROR(INDEX($DB$144:$DB$151,MATCH(MAX($CO$144:$CO$151),$CO$144:$CO$151,0)),"N/A"))</f>
        <v/>
      </c>
      <c r="DC153" s="798">
        <f>IF(DA153="","",10^(DA153/10))</f>
        <v/>
      </c>
      <c r="DD153" s="1364">
        <f>IF(ISNUMBER(DB153)=FALSE,"N/A",10^(DB153/10))</f>
        <v/>
      </c>
      <c r="DE153" s="1545">
        <f>IF(AND(ISNUMBER(DC153),ISNUMBER(DD153)),IF(DC153/DD153&gt;1,ROUND((DC153)/DD153,3),1),1)</f>
        <v/>
      </c>
      <c r="DF153" s="1541"/>
      <c r="DG153" s="1541"/>
      <c r="DH153" s="1541"/>
      <c r="DI153" s="1541"/>
      <c r="DJ153" s="1541"/>
      <c r="DK153" s="1541"/>
      <c r="DL153" s="1541"/>
      <c r="DM153" s="1541"/>
      <c r="DN153" s="1541"/>
      <c r="DO153" s="1541"/>
      <c r="DP153" s="1541"/>
      <c r="DQ153" s="1541"/>
      <c r="DR153" s="1541"/>
    </row>
    <row r="154" ht="12.75" x14ac:dyDescent="0.2">
      <c r="A154" s="1541"/>
      <c r="B154" s="1541"/>
      <c r="C154"/>
      <c r="D154" s="130">
        <f>IF(BX$144="Close to Ear","EN 62209-1","EN 62209-2")</f>
        <v/>
      </c>
      <c r="E154" s="130">
        <f>IF(CG154="Close to Ear","2016","2010/A1:2019")</f>
        <v/>
      </c>
      <c r="F154" s="1488" t="inlineStr">
        <is>
          <t>5.1</t>
        </is>
      </c>
      <c r="G154" s="1497"/>
      <c r="H154" s="120">
        <f>BV154</f>
        <v/>
      </c>
      <c r="I154" s="120">
        <f>BW154</f>
        <v/>
      </c>
      <c r="J154" s="687">
        <f>BT154</f>
        <v/>
      </c>
      <c r="K154" s="194">
        <f>BU154</f>
        <v/>
      </c>
      <c r="L154" s="115"/>
      <c r="M154" s="120">
        <f>BZ154</f>
        <v/>
      </c>
      <c r="N154" s="119"/>
      <c r="O154" s="131"/>
      <c r="P154" s="6597"/>
      <c r="Q154" s="131"/>
      <c r="R154" s="131"/>
      <c r="S154" s="120">
        <f>CG154</f>
        <v/>
      </c>
      <c r="T154" s="120">
        <f>CC154</f>
        <v/>
      </c>
      <c r="U154" s="120">
        <f>CD154</f>
        <v/>
      </c>
      <c r="V154" s="119"/>
      <c r="W154" s="197">
        <f>CK154*100</f>
        <v/>
      </c>
      <c r="X154" s="119"/>
      <c r="Y154" s="119"/>
      <c r="Z154" s="119"/>
      <c r="AA154" s="115"/>
      <c r="AB154" s="115"/>
      <c r="AC154" s="689">
        <f>IF(OR(BX$144="Close to Ear",BX$144="Close to Head"),"Head",IF(BX$144="Extremity","Extremity","Body"))</f>
        <v/>
      </c>
      <c r="AD154" s="690">
        <f>CA154</f>
        <v/>
      </c>
      <c r="AE154" s="688">
        <f>CB154</f>
        <v/>
      </c>
      <c r="AF154" s="115"/>
      <c r="AG154" s="808">
        <f>IF(AZ154="","N/A",IF(CQ154="Pass","P","F"))</f>
        <v/>
      </c>
      <c r="AH154" s="129"/>
      <c r="AI154" s="129"/>
      <c r="AJ154" s="129"/>
      <c r="AK154" s="119"/>
      <c r="AL154" s="115"/>
      <c r="AM154" s="119"/>
      <c r="AN154" s="119"/>
      <c r="AO154" s="692"/>
      <c r="AP154" s="692"/>
      <c r="AQ154" s="692"/>
      <c r="AR154" s="692"/>
      <c r="AS154" s="692"/>
      <c r="AT154" s="691">
        <f>CE154</f>
        <v/>
      </c>
      <c r="AU154" s="691">
        <f>CF154</f>
        <v/>
      </c>
      <c r="AV154" s="813"/>
      <c r="AW154" s="813"/>
      <c r="AX154" s="197">
        <f>CZ154</f>
        <v/>
      </c>
      <c r="AY154" s="197">
        <f>DE154</f>
        <v/>
      </c>
      <c r="AZ154" s="3379">
        <f>CO154</f>
        <v/>
      </c>
      <c r="BA154" s="3380"/>
      <c r="BB154" s="197">
        <f>CP154</f>
        <v/>
      </c>
      <c r="BC154" s="813"/>
      <c r="BD154" s="197">
        <f>CR154</f>
        <v/>
      </c>
      <c r="BE154" s="121">
        <f>CS154</f>
        <v/>
      </c>
      <c r="BF154" s="122">
        <f>CT154*60</f>
        <v/>
      </c>
      <c r="BG154" s="121">
        <f>BE154</f>
        <v/>
      </c>
      <c r="BH154" s="122">
        <f>CU154*60</f>
        <v/>
      </c>
      <c r="BI154" s="122">
        <f>CV154</f>
        <v/>
      </c>
      <c r="BJ154" s="117"/>
      <c r="BK154" s="812">
        <f>Overview!$E$7</f>
        <v/>
      </c>
      <c r="BL154" s="117"/>
      <c r="BM154" s="836">
        <f>CW154</f>
        <v/>
      </c>
      <c r="BN154" s="812">
        <f>Overview!$P$153</f>
        <v/>
      </c>
      <c r="BO154" s="117"/>
      <c r="BP154" s="117"/>
      <c r="BQ154" s="115"/>
      <c r="BR154" s="1478" t="inlineStr">
        <is>
          <t>N/A</t>
        </is>
      </c>
      <c r="BS154" s="1548"/>
      <c r="BT154" s="1783" t="inlineStr">
        <is>
          <t>GSM</t>
        </is>
      </c>
      <c r="BU154" s="1783">
        <v>900</v>
      </c>
      <c r="BV154" s="400">
        <f>Overview!$H$31</f>
        <v/>
      </c>
      <c r="BW154" s="2010"/>
      <c r="BX154" s="1800"/>
      <c r="BY154" s="2040"/>
      <c r="BZ154" s="2040"/>
      <c r="CA154" s="404" t="inlineStr">
        <is>
          <t>Front Face</t>
        </is>
      </c>
      <c r="CB154" s="201">
        <v>25</v>
      </c>
      <c r="CC154" s="1081">
        <f>IF(COUNT($CO$144:$CO$151)=0,"N/A",INDEX($CC$144:$CC$151,MATCH(MAX($CO$144:$CO$151),$CO$144:$CO$151,0)))</f>
        <v/>
      </c>
      <c r="CD154" s="1081">
        <f>IF(COUNT($CO$144:$CO$151)=0,"N/A",INDEX($CD$144:$CD$151,MATCH(MAX($CO$144:$CO$151),$CO$144:$CO$151,0)))</f>
        <v/>
      </c>
      <c r="CE154" s="1874"/>
      <c r="CF154" s="1874"/>
      <c r="CG154" s="388" t="inlineStr">
        <is>
          <t>N/A</t>
        </is>
      </c>
      <c r="CH154" s="388">
        <f>BZ154</f>
        <v/>
      </c>
      <c r="CI154" s="388">
        <f>CA154</f>
        <v/>
      </c>
      <c r="CJ154" s="2046"/>
      <c r="CK154" s="2047"/>
      <c r="CL154" s="212">
        <f>IF(CF154=""," ",IF(ABS(CE154-CF154)&lt;=0.125,"Valid","Not valid"))</f>
        <v/>
      </c>
      <c r="CM154" s="213">
        <f> IF(CE154="","",IF(AND(CE154&lt;&gt;"",CF154=""),IF(CE154&gt;=1,"Medir+Sig Max","No"),IF(CF154&lt;&gt;"",IF(CF154&gt;=1,"Medir+Sig Max","No"),"")))</f>
        <v/>
      </c>
      <c r="CN154" s="1794"/>
      <c r="CO154" s="221">
        <f>IF(CK154="",IF(AND(CE154="",CF154=""),"",IF(CF154="",IF(DE154&gt;1,ROUND(DE154*CE154,3),CE154),IF(DE154&gt;1,ROUND(DE154*CF154,3),CF154))),IF(AND(CE154="",CF154=""),"",IF(CF154="",IF(DE154&gt;1,ROUND(DE154*CE154*(1/(CK154)),3),CE154*(1/(CK154))),IF(DE154&gt;1,ROUND(DE154*CF154*(1/(CK154)),3),CF154*(1/(CK154))))))</f>
        <v/>
      </c>
      <c r="CP154" s="2048">
        <f>$CP$3</f>
        <v/>
      </c>
      <c r="CQ154" s="1473">
        <f>IF(CO154="","",IF(CO154&gt;CP154,"Fail","Pass"))</f>
        <v/>
      </c>
      <c r="CR154" s="1482">
        <f>IF(CO154&lt;&gt;"",MAX($CR$3:CR153)+1,"")</f>
        <v/>
      </c>
      <c r="CS154" s="1566">
        <f>MyTimestamp(CQ154)</f>
        <v/>
      </c>
      <c r="CT154" s="1535">
        <f>IF(COUNT(CE154:CF154)=1,15,IF(COUNT(CE154:CF154)=0,0,30))</f>
        <v/>
      </c>
      <c r="CU154" s="1536">
        <f>IF(CT154=0,0,2)</f>
        <v/>
      </c>
      <c r="CV154" s="861" t="inlineStr">
        <is>
          <t>S/02</t>
        </is>
      </c>
      <c r="CW154" s="861" t="inlineStr">
        <is>
          <t>Dasy6</t>
        </is>
      </c>
      <c r="CX154" s="2038"/>
      <c r="CY154" s="2050"/>
      <c r="CZ154" s="1545">
        <f>10^(CJ154/20)*100-100</f>
        <v/>
      </c>
      <c r="DA154" s="1320">
        <f>IF('Tune-Up'!$H$12="","",'Tune-Up'!$H$12)</f>
        <v/>
      </c>
      <c r="DB154" s="696">
        <f>IF(COUNT($CO$144:$CO$151)=0,"N/A",IFERROR(INDEX($DB$144:$DB$151,MATCH(MAX($CO$144:$CO$151),$CO$144:$CO$151,0)),"N/A"))</f>
        <v/>
      </c>
      <c r="DC154" s="798">
        <f>IF(DA154="","",10^(DA154/10))</f>
        <v/>
      </c>
      <c r="DD154" s="1364">
        <f>IF(ISNUMBER(DB154)=FALSE,"N/A",10^(DB154/10))</f>
        <v/>
      </c>
      <c r="DE154" s="1545">
        <f>IF(AND(ISNUMBER(DC154),ISNUMBER(DD154)),IF(DC154/DD154&gt;1,ROUND((DC154)/DD154,3),1),1)</f>
        <v/>
      </c>
      <c r="DF154" s="1541"/>
      <c r="DG154" s="1541"/>
      <c r="DH154" s="1541"/>
      <c r="DI154" s="1541"/>
      <c r="DJ154" s="1541"/>
      <c r="DK154" s="1541"/>
      <c r="DL154" s="1541"/>
      <c r="DM154" s="1541"/>
      <c r="DN154" s="1541"/>
      <c r="DO154" s="1541"/>
      <c r="DP154" s="1541"/>
      <c r="DQ154" s="1541"/>
      <c r="DR154" s="1541"/>
    </row>
    <row r="155" ht="12.75" x14ac:dyDescent="0.2">
      <c r="A155" s="1541"/>
      <c r="B155" s="1541"/>
      <c r="C155"/>
      <c r="D155" s="130">
        <f>IF(BX$144="Close to Ear","EN 62209-1","EN 62209-2")</f>
        <v/>
      </c>
      <c r="E155" s="130">
        <f>IF(CG155="Close to Ear","2016","2010/A1:2019")</f>
        <v/>
      </c>
      <c r="F155" s="1488" t="inlineStr">
        <is>
          <t>5.1</t>
        </is>
      </c>
      <c r="G155" s="1497"/>
      <c r="H155" s="120">
        <f>BV155</f>
        <v/>
      </c>
      <c r="I155" s="120">
        <f>BW155</f>
        <v/>
      </c>
      <c r="J155" s="687">
        <f>BT155</f>
        <v/>
      </c>
      <c r="K155" s="194">
        <f>BU155</f>
        <v/>
      </c>
      <c r="L155" s="115"/>
      <c r="M155" s="120">
        <f>BZ155</f>
        <v/>
      </c>
      <c r="N155" s="119"/>
      <c r="O155" s="131"/>
      <c r="P155" s="6597"/>
      <c r="Q155" s="131"/>
      <c r="R155" s="131"/>
      <c r="S155" s="120">
        <f>CG155</f>
        <v/>
      </c>
      <c r="T155" s="120">
        <f>CC155</f>
        <v/>
      </c>
      <c r="U155" s="120">
        <f>CD155</f>
        <v/>
      </c>
      <c r="V155" s="119"/>
      <c r="W155" s="197">
        <f>CK155*100</f>
        <v/>
      </c>
      <c r="X155" s="119"/>
      <c r="Y155" s="119"/>
      <c r="Z155" s="119"/>
      <c r="AA155" s="115"/>
      <c r="AB155" s="115"/>
      <c r="AC155" s="689">
        <f>IF(OR(BX$144="Close to Ear",BX$144="Close to Head"),"Head",IF(BX$144="Extremity","Extremity","Body"))</f>
        <v/>
      </c>
      <c r="AD155" s="690">
        <f>CA155</f>
        <v/>
      </c>
      <c r="AE155" s="688">
        <f>CB155</f>
        <v/>
      </c>
      <c r="AF155" s="115"/>
      <c r="AG155" s="808">
        <f>IF(AZ155="","N/A",IF(CQ155="Pass","P","F"))</f>
        <v/>
      </c>
      <c r="AH155" s="129"/>
      <c r="AI155" s="129"/>
      <c r="AJ155" s="129"/>
      <c r="AK155" s="119"/>
      <c r="AL155" s="115"/>
      <c r="AM155" s="119"/>
      <c r="AN155" s="119"/>
      <c r="AO155" s="692"/>
      <c r="AP155" s="692"/>
      <c r="AQ155" s="692"/>
      <c r="AR155" s="692"/>
      <c r="AS155" s="692"/>
      <c r="AT155" s="691">
        <f>CE155</f>
        <v/>
      </c>
      <c r="AU155" s="691">
        <f>CF155</f>
        <v/>
      </c>
      <c r="AV155" s="813"/>
      <c r="AW155" s="813"/>
      <c r="AX155" s="197">
        <f>CZ155</f>
        <v/>
      </c>
      <c r="AY155" s="197">
        <f>DE155</f>
        <v/>
      </c>
      <c r="AZ155" s="3379">
        <f>CO155</f>
        <v/>
      </c>
      <c r="BA155" s="3380"/>
      <c r="BB155" s="197">
        <f>CP155</f>
        <v/>
      </c>
      <c r="BC155" s="813"/>
      <c r="BD155" s="197">
        <f>CR155</f>
        <v/>
      </c>
      <c r="BE155" s="121">
        <f>CS155</f>
        <v/>
      </c>
      <c r="BF155" s="122">
        <f>CT155*60</f>
        <v/>
      </c>
      <c r="BG155" s="121">
        <f>BE155</f>
        <v/>
      </c>
      <c r="BH155" s="122">
        <f>CU155*60</f>
        <v/>
      </c>
      <c r="BI155" s="122">
        <f>CV155</f>
        <v/>
      </c>
      <c r="BJ155" s="117"/>
      <c r="BK155" s="812">
        <f>Overview!$E$7</f>
        <v/>
      </c>
      <c r="BL155" s="117"/>
      <c r="BM155" s="836">
        <f>CW155</f>
        <v/>
      </c>
      <c r="BN155" s="812">
        <f>Overview!$P$153</f>
        <v/>
      </c>
      <c r="BO155" s="117"/>
      <c r="BP155" s="117"/>
      <c r="BQ155" s="115"/>
      <c r="BR155" s="1478" t="inlineStr">
        <is>
          <t>N/A</t>
        </is>
      </c>
      <c r="BS155" s="1548"/>
      <c r="BT155" s="1783" t="inlineStr">
        <is>
          <t>GSM</t>
        </is>
      </c>
      <c r="BU155" s="1783">
        <v>900</v>
      </c>
      <c r="BV155" s="400">
        <f>Overview!$H$31</f>
        <v/>
      </c>
      <c r="BW155" s="2010"/>
      <c r="BX155" s="1800"/>
      <c r="BY155" s="2040"/>
      <c r="BZ155" s="2040"/>
      <c r="CA155" s="404" t="inlineStr">
        <is>
          <t>Accesorio 1: Funda</t>
        </is>
      </c>
      <c r="CB155" s="201">
        <v>0</v>
      </c>
      <c r="CC155" s="1081">
        <f>IF(COUNT($CO$144:$CO$151)=0,"N/A",INDEX($CC$144:$CC$151,MATCH(MAX($CO$144:$CO$151),$CO$144:$CO$151,0)))</f>
        <v/>
      </c>
      <c r="CD155" s="1081">
        <f>IF(COUNT($CO$144:$CO$151)=0,"N/A",INDEX($CD$144:$CD$151,MATCH(MAX($CO$144:$CO$151),$CO$144:$CO$151,0)))</f>
        <v/>
      </c>
      <c r="CE155" s="1874"/>
      <c r="CF155" s="1874"/>
      <c r="CG155" s="388" t="inlineStr">
        <is>
          <t>N/A</t>
        </is>
      </c>
      <c r="CH155" s="388">
        <f>BZ155</f>
        <v/>
      </c>
      <c r="CI155" s="388">
        <f>CA155</f>
        <v/>
      </c>
      <c r="CJ155" s="2046"/>
      <c r="CK155" s="2047"/>
      <c r="CL155" s="212">
        <f>IF(CF155=""," ",IF(ABS(CE155-CF155)&lt;=0.125,"Valid","Not valid"))</f>
        <v/>
      </c>
      <c r="CM155" s="213">
        <f> IF(CE155="","",IF(AND(CE155&lt;&gt;"",CF155=""),IF(CE155&gt;=1,"Medir+Sig Max","No"),IF(CF155&lt;&gt;"",IF(CF155&gt;=1,"Medir+Sig Max","No"),"")))</f>
        <v/>
      </c>
      <c r="CN155" s="1794"/>
      <c r="CO155" s="221">
        <f>IF(CK155="",IF(AND(CE155="",CF155=""),"",IF(CF155="",IF(DE155&gt;1,ROUND(DE155*CE155,3),CE155),IF(DE155&gt;1,ROUND(DE155*CF155,3),CF155))),IF(AND(CE155="",CF155=""),"",IF(CF155="",IF(DE155&gt;1,ROUND(DE155*CE155*(1/(CK155)),3),CE155*(1/(CK155))),IF(DE155&gt;1,ROUND(DE155*CF155*(1/(CK155)),3),CF155*(1/(CK155))))))</f>
        <v/>
      </c>
      <c r="CP155" s="2048">
        <f>$CP$3</f>
        <v/>
      </c>
      <c r="CQ155" s="1473">
        <f>IF(CO155="","",IF(CO155&gt;CP155,"Fail","Pass"))</f>
        <v/>
      </c>
      <c r="CR155" s="1482">
        <f>IF(CO155&lt;&gt;"",MAX($CR$3:CR154)+1,"")</f>
        <v/>
      </c>
      <c r="CS155" s="1566">
        <f>MyTimestamp(CQ155)</f>
        <v/>
      </c>
      <c r="CT155" s="1535">
        <f>IF(COUNT(CE155:CF155)=1,15,IF(COUNT(CE155:CF155)=0,0,30))</f>
        <v/>
      </c>
      <c r="CU155" s="1536">
        <f>IF(CT155=0,0,2)</f>
        <v/>
      </c>
      <c r="CV155" s="861" t="inlineStr">
        <is>
          <t>S/02</t>
        </is>
      </c>
      <c r="CW155" s="861" t="inlineStr">
        <is>
          <t>Dasy6</t>
        </is>
      </c>
      <c r="CX155" s="2038"/>
      <c r="CY155" s="2050"/>
      <c r="CZ155" s="1545">
        <f>10^(CJ155/20)*100-100</f>
        <v/>
      </c>
      <c r="DA155" s="1320">
        <f>IF('Tune-Up'!$H$12="","",'Tune-Up'!$H$12)</f>
        <v/>
      </c>
      <c r="DB155" s="696">
        <f>IF(COUNT($CO$144:$CO$151)=0,"N/A",IFERROR(INDEX($DB$144:$DB$151,MATCH(MAX($CO$144:$CO$151),$CO$144:$CO$151,0)),"N/A"))</f>
        <v/>
      </c>
      <c r="DC155" s="798">
        <f>IF(DA155="","",10^(DA155/10))</f>
        <v/>
      </c>
      <c r="DD155" s="1364">
        <f>IF(ISNUMBER(DB155)=FALSE,"N/A",10^(DB155/10))</f>
        <v/>
      </c>
      <c r="DE155" s="1545">
        <f>IF(AND(ISNUMBER(DC155),ISNUMBER(DD155)),IF(DC155/DD155&gt;1,ROUND((DC155)/DD155,3),1),1)</f>
        <v/>
      </c>
      <c r="DF155" s="1541"/>
      <c r="DG155" s="1541"/>
      <c r="DH155" s="1541"/>
      <c r="DI155" s="1541"/>
      <c r="DJ155" s="1541"/>
      <c r="DK155" s="1541"/>
      <c r="DL155" s="1541"/>
      <c r="DM155" s="1541"/>
      <c r="DN155" s="1541"/>
      <c r="DO155" s="1541"/>
      <c r="DP155" s="1541"/>
      <c r="DQ155" s="1541"/>
      <c r="DR155" s="1541"/>
    </row>
    <row r="156" ht="12.75" x14ac:dyDescent="0.2">
      <c r="A156" s="1541"/>
      <c r="B156" s="1541"/>
      <c r="C156"/>
      <c r="D156" s="130">
        <f>IF(BX$144="Close to Ear","EN 62209-1","EN 62209-2")</f>
        <v/>
      </c>
      <c r="E156" s="130">
        <f>IF(CG156="Close to Ear","2016","2010/A1:2019")</f>
        <v/>
      </c>
      <c r="F156" s="1488" t="inlineStr">
        <is>
          <t>5.1</t>
        </is>
      </c>
      <c r="G156" s="1497"/>
      <c r="H156" s="120">
        <f>BV156</f>
        <v/>
      </c>
      <c r="I156" s="120">
        <f>BW156</f>
        <v/>
      </c>
      <c r="J156" s="687">
        <f>BT156</f>
        <v/>
      </c>
      <c r="K156" s="194">
        <f>BU156</f>
        <v/>
      </c>
      <c r="L156" s="115"/>
      <c r="M156" s="120">
        <f>BZ156</f>
        <v/>
      </c>
      <c r="N156" s="119"/>
      <c r="O156" s="131"/>
      <c r="P156" s="6597"/>
      <c r="Q156" s="131"/>
      <c r="R156" s="131"/>
      <c r="S156" s="120">
        <f>CG156</f>
        <v/>
      </c>
      <c r="T156" s="120">
        <f>CC156</f>
        <v/>
      </c>
      <c r="U156" s="120">
        <f>CD156</f>
        <v/>
      </c>
      <c r="V156" s="119"/>
      <c r="W156" s="197">
        <f>CK156*100</f>
        <v/>
      </c>
      <c r="X156" s="119"/>
      <c r="Y156" s="119"/>
      <c r="Z156" s="119"/>
      <c r="AA156" s="115"/>
      <c r="AB156" s="115"/>
      <c r="AC156" s="689">
        <f>IF(OR(BX$144="Close to Ear",BX$144="Close to Head"),"Head",IF(BX$144="Extremity","Extremity","Body"))</f>
        <v/>
      </c>
      <c r="AD156" s="690">
        <f>CA156</f>
        <v/>
      </c>
      <c r="AE156" s="688">
        <f>CB156</f>
        <v/>
      </c>
      <c r="AF156" s="115"/>
      <c r="AG156" s="808">
        <f>IF(AZ156="","N/A",IF(CQ156="Pass","P","F"))</f>
        <v/>
      </c>
      <c r="AH156" s="129"/>
      <c r="AI156" s="129"/>
      <c r="AJ156" s="129"/>
      <c r="AK156" s="119"/>
      <c r="AL156" s="115"/>
      <c r="AM156" s="119"/>
      <c r="AN156" s="119"/>
      <c r="AO156" s="692"/>
      <c r="AP156" s="692"/>
      <c r="AQ156" s="692"/>
      <c r="AR156" s="692"/>
      <c r="AS156" s="692"/>
      <c r="AT156" s="691">
        <f>CE156</f>
        <v/>
      </c>
      <c r="AU156" s="691">
        <f>CF156</f>
        <v/>
      </c>
      <c r="AV156" s="813"/>
      <c r="AW156" s="813"/>
      <c r="AX156" s="197">
        <f>CZ156</f>
        <v/>
      </c>
      <c r="AY156" s="197">
        <f>DE156</f>
        <v/>
      </c>
      <c r="AZ156" s="3379">
        <f>CO156</f>
        <v/>
      </c>
      <c r="BA156" s="3380"/>
      <c r="BB156" s="197">
        <f>CP156</f>
        <v/>
      </c>
      <c r="BC156" s="813"/>
      <c r="BD156" s="197">
        <f>CR156</f>
        <v/>
      </c>
      <c r="BE156" s="121">
        <f>CS156</f>
        <v/>
      </c>
      <c r="BF156" s="122">
        <f>CT156*60</f>
        <v/>
      </c>
      <c r="BG156" s="121">
        <f>BE156</f>
        <v/>
      </c>
      <c r="BH156" s="122">
        <f>CU156*60</f>
        <v/>
      </c>
      <c r="BI156" s="122">
        <f>CV156</f>
        <v/>
      </c>
      <c r="BJ156" s="117"/>
      <c r="BK156" s="812">
        <f>Overview!$E$7</f>
        <v/>
      </c>
      <c r="BL156" s="117"/>
      <c r="BM156" s="836">
        <f>CW156</f>
        <v/>
      </c>
      <c r="BN156" s="812">
        <f>Overview!$P$153</f>
        <v/>
      </c>
      <c r="BO156" s="117"/>
      <c r="BP156" s="117"/>
      <c r="BQ156" s="115"/>
      <c r="BR156" s="1478" t="inlineStr">
        <is>
          <t>N/A</t>
        </is>
      </c>
      <c r="BS156" s="1548"/>
      <c r="BT156" s="1783" t="inlineStr">
        <is>
          <t>GSM</t>
        </is>
      </c>
      <c r="BU156" s="1783">
        <v>900</v>
      </c>
      <c r="BV156" s="400">
        <f>Overview!$H$31</f>
        <v/>
      </c>
      <c r="BW156" s="2010"/>
      <c r="BX156" s="1800"/>
      <c r="BY156" s="2040"/>
      <c r="BZ156" s="2040"/>
      <c r="CA156" s="404" t="inlineStr">
        <is>
          <t>Accesorio 2: Clip</t>
        </is>
      </c>
      <c r="CB156" s="201">
        <v>0</v>
      </c>
      <c r="CC156" s="1081">
        <f>IF(COUNT($CO$144:$CO$151)=0,"N/A",INDEX($CC$144:$CC$151,MATCH(MAX($CO$144:$CO$151),$CO$144:$CO$151,0)))</f>
        <v/>
      </c>
      <c r="CD156" s="1081">
        <f>IF(COUNT($CO$144:$CO$151)=0,"N/A",INDEX($CD$144:$CD$151,MATCH(MAX($CO$144:$CO$151),$CO$144:$CO$151,0)))</f>
        <v/>
      </c>
      <c r="CE156" s="1874"/>
      <c r="CF156" s="1874"/>
      <c r="CG156" s="388" t="inlineStr">
        <is>
          <t>N/A</t>
        </is>
      </c>
      <c r="CH156" s="388">
        <f>BZ156</f>
        <v/>
      </c>
      <c r="CI156" s="388">
        <f>CA156</f>
        <v/>
      </c>
      <c r="CJ156" s="2046"/>
      <c r="CK156" s="2047"/>
      <c r="CL156" s="212">
        <f>IF(CF156=""," ",IF(ABS(CE156-CF156)&lt;=0.125,"Valid","Not valid"))</f>
        <v/>
      </c>
      <c r="CM156" s="213">
        <f> IF(CE156="","",IF(AND(CE156&lt;&gt;"",CF156=""),IF(CE156&gt;=1,"Medir+Sig Max","No"),IF(CF156&lt;&gt;"",IF(CF156&gt;=1,"Medir+Sig Max","No"),"")))</f>
        <v/>
      </c>
      <c r="CN156" s="1794"/>
      <c r="CO156" s="221">
        <f>IF(CK156="",IF(AND(CE156="",CF156=""),"",IF(CF156="",IF(DE156&gt;1,ROUND(DE156*CE156,3),CE156),IF(DE156&gt;1,ROUND(DE156*CF156,3),CF156))),IF(AND(CE156="",CF156=""),"",IF(CF156="",IF(DE156&gt;1,ROUND(DE156*CE156*(1/(CK156)),3),CE156*(1/(CK156))),IF(DE156&gt;1,ROUND(DE156*CF156*(1/(CK156)),3),CF156*(1/(CK156))))))</f>
        <v/>
      </c>
      <c r="CP156" s="2048">
        <f>$CP$3</f>
        <v/>
      </c>
      <c r="CQ156" s="1473">
        <f>IF(CO156="","",IF(CO156&gt;CP156,"Fail","Pass"))</f>
        <v/>
      </c>
      <c r="CR156" s="1482">
        <f>IF(CO156&lt;&gt;"",MAX($CR$3:CR155)+1,"")</f>
        <v/>
      </c>
      <c r="CS156" s="1566">
        <f>MyTimestamp(CQ156)</f>
        <v/>
      </c>
      <c r="CT156" s="1535">
        <f>IF(COUNT(CE156:CF156)=1,15,IF(COUNT(CE156:CF156)=0,0,30))</f>
        <v/>
      </c>
      <c r="CU156" s="1536">
        <f>IF(CT156=0,0,2)</f>
        <v/>
      </c>
      <c r="CV156" s="861" t="inlineStr">
        <is>
          <t>S/02</t>
        </is>
      </c>
      <c r="CW156" s="861" t="inlineStr">
        <is>
          <t>Dasy6</t>
        </is>
      </c>
      <c r="CX156" s="2038"/>
      <c r="CY156" s="2050"/>
      <c r="CZ156" s="1545">
        <f>10^(CJ156/20)*100-100</f>
        <v/>
      </c>
      <c r="DA156" s="1320">
        <f>IF('Tune-Up'!$H$12="","",'Tune-Up'!$H$12)</f>
        <v/>
      </c>
      <c r="DB156" s="696">
        <f>IF(COUNT($CO$144:$CO$151)=0,"N/A",IFERROR(INDEX($DB$144:$DB$151,MATCH(MAX($CO$144:$CO$151),$CO$144:$CO$151,0)),"N/A"))</f>
        <v/>
      </c>
      <c r="DC156" s="798">
        <f>IF(DA156="","",10^(DA156/10))</f>
        <v/>
      </c>
      <c r="DD156" s="1364">
        <f>IF(ISNUMBER(DB156)=FALSE,"N/A",10^(DB156/10))</f>
        <v/>
      </c>
      <c r="DE156" s="1545">
        <f>IF(AND(ISNUMBER(DC156),ISNUMBER(DD156)),IF(DC156/DD156&gt;1,ROUND((DC156)/DD156,3),1),1)</f>
        <v/>
      </c>
      <c r="DF156" s="1541"/>
      <c r="DG156" s="1541"/>
      <c r="DH156" s="1541"/>
      <c r="DI156" s="1541"/>
      <c r="DJ156" s="1541"/>
      <c r="DK156" s="1541"/>
      <c r="DL156" s="1541"/>
      <c r="DM156" s="1541"/>
      <c r="DN156" s="1541"/>
      <c r="DO156" s="1541"/>
      <c r="DP156" s="1541"/>
      <c r="DQ156" s="1541"/>
      <c r="DR156" s="1541"/>
    </row>
    <row r="157" ht="12.75" x14ac:dyDescent="0.2">
      <c r="A157" s="1541"/>
      <c r="B157" s="1541"/>
      <c r="C157"/>
      <c r="D157" s="130">
        <f>IF(BX$157="Close to Ear","EN 62209-1","EN 62209-2")</f>
        <v/>
      </c>
      <c r="E157" s="130">
        <f>IF(CG157="Close to Ear","2016","2010/A1:2019")</f>
        <v/>
      </c>
      <c r="F157" s="1488" t="inlineStr">
        <is>
          <t>5.1</t>
        </is>
      </c>
      <c r="G157" s="1497"/>
      <c r="H157" s="120">
        <f>BV157</f>
        <v/>
      </c>
      <c r="I157" s="120">
        <f>BW157</f>
        <v/>
      </c>
      <c r="J157" s="687" t="str">
        <f>BT157</f>
        <v>GSM</v>
      </c>
      <c r="K157" s="194">
        <f>BU157</f>
        <v>900</v>
      </c>
      <c r="L157" s="115"/>
      <c r="M157" s="120">
        <f>BZ157</f>
        <v>0</v>
      </c>
      <c r="N157" s="119"/>
      <c r="O157" s="131"/>
      <c r="P157" s="6597"/>
      <c r="Q157" s="131"/>
      <c r="R157" s="131"/>
      <c r="S157" s="120">
        <f>CG157</f>
        <v>0</v>
      </c>
      <c r="T157" s="120">
        <f>CC157</f>
        <v>37</v>
      </c>
      <c r="U157" s="120">
        <f>CD157</f>
        <v>897.4</v>
      </c>
      <c r="V157" s="119"/>
      <c r="W157" s="197">
        <f>CK157*100</f>
        <v/>
      </c>
      <c r="X157" s="119"/>
      <c r="Y157" s="119"/>
      <c r="Z157" s="119"/>
      <c r="AA157" s="115"/>
      <c r="AB157" s="115"/>
      <c r="AC157" s="689">
        <f>IF(OR(BX$157="Close to Ear",BX$157="Close to Head"),"Head",IF(BX$157="Extremity","Extremity","Body"))</f>
        <v/>
      </c>
      <c r="AD157" s="690">
        <f>CA157</f>
        <v/>
      </c>
      <c r="AE157" s="688">
        <f>CB157</f>
        <v/>
      </c>
      <c r="AF157" s="115"/>
      <c r="AG157" s="808">
        <f>IF(AZ157="","N/A",IF(CQ157="Pass","P","F"))</f>
        <v/>
      </c>
      <c r="AH157" s="129"/>
      <c r="AI157" s="129"/>
      <c r="AJ157" s="129"/>
      <c r="AK157" s="119"/>
      <c r="AL157" s="115"/>
      <c r="AM157" s="119"/>
      <c r="AN157" s="119"/>
      <c r="AO157" s="692"/>
      <c r="AP157" s="692"/>
      <c r="AQ157" s="692"/>
      <c r="AR157" s="692"/>
      <c r="AS157" s="692"/>
      <c r="AT157" s="691">
        <f>CE157</f>
        <v/>
      </c>
      <c r="AU157" s="691">
        <f>CF157</f>
        <v/>
      </c>
      <c r="AV157" s="813"/>
      <c r="AW157" s="813"/>
      <c r="AX157" s="197">
        <f>CZ157</f>
        <v/>
      </c>
      <c r="AY157" s="197">
        <f>DE157</f>
        <v/>
      </c>
      <c r="AZ157" s="3379">
        <f>CO157</f>
        <v/>
      </c>
      <c r="BA157" s="3380"/>
      <c r="BB157" s="197">
        <f>CP157</f>
        <v/>
      </c>
      <c r="BC157" s="813"/>
      <c r="BD157" s="197">
        <f>CR157</f>
        <v/>
      </c>
      <c r="BE157" s="121">
        <f>CS157</f>
        <v/>
      </c>
      <c r="BF157" s="122">
        <f>CT157*60</f>
        <v/>
      </c>
      <c r="BG157" s="121">
        <f>BE157</f>
        <v/>
      </c>
      <c r="BH157" s="122">
        <f>CU157*60</f>
        <v/>
      </c>
      <c r="BI157" s="122">
        <f>CV157</f>
        <v/>
      </c>
      <c r="BJ157" s="117"/>
      <c r="BK157" s="812">
        <f>Overview!$E$7</f>
        <v/>
      </c>
      <c r="BL157" s="117"/>
      <c r="BM157" s="836">
        <f>CW157</f>
        <v/>
      </c>
      <c r="BN157" s="812">
        <f>Overview!$P$153</f>
        <v/>
      </c>
      <c r="BO157" s="117"/>
      <c r="BP157" s="117"/>
      <c r="BQ157" s="115"/>
      <c r="BR157" s="1478" t="inlineStr">
        <is>
          <t>N/A</t>
        </is>
      </c>
      <c r="BS157" s="1548"/>
      <c r="BT157" s="1783" t="inlineStr">
        <is>
          <t>GSM</t>
        </is>
      </c>
      <c r="BU157" s="1783">
        <v>900</v>
      </c>
      <c r="BV157" s="400">
        <f>Overview!$H$31</f>
        <v/>
      </c>
      <c r="BW157" s="2010"/>
      <c r="BX157" s="7673" t="inlineStr">
        <is>
          <t>Extremity</t>
        </is>
      </c>
      <c r="BY157" s="2040"/>
      <c r="BZ157" s="2040"/>
      <c r="CA157" s="1996" t="inlineStr">
        <is>
          <t>Front Face</t>
        </is>
      </c>
      <c r="CB157" s="200">
        <v>5</v>
      </c>
      <c r="CC157" s="1062">
        <f>'2G-3G'!BX24</f>
        <v>37</v>
      </c>
      <c r="CD157" s="1062">
        <f>'2G-3G'!BY24</f>
        <v>897.4</v>
      </c>
      <c r="CE157" s="2051"/>
      <c r="CF157" s="2051"/>
      <c r="CG157" s="389" t="str">
        <f>IF(OR($BY$3="",$BY$3=""),"",$BY$3)</f>
        <v/>
      </c>
      <c r="CH157" s="389">
        <f>BZ157</f>
        <v/>
      </c>
      <c r="CI157" s="389">
        <f>CA157</f>
        <v/>
      </c>
      <c r="CJ157" s="2052"/>
      <c r="CK157" s="2036"/>
      <c r="CL157" s="203">
        <f>IF(CF157=""," ",IF(ABS(CE157-CF157)&lt;=0.25,"Valid","Not valid"))</f>
        <v/>
      </c>
      <c r="CM157" s="204">
        <f> IF(CE157="","",IF(AND(CE157&lt;&gt;"",CF157=""),IF(CE157&gt;=2,"Medir+Sig Max","No"),IF(CF157&lt;&gt;"",IF(CF157&gt;=2,"Medir+Sig Max","No"),"")))</f>
        <v/>
      </c>
      <c r="CN157" s="1798"/>
      <c r="CO157" s="222">
        <f>IF(CK157="",IF(AND(CE157="",CF157=""),"",IF(CF157="",IF(DE157&gt;1,ROUND(DE157*CE157,3),CE157),IF(DE157&gt;1,ROUND(DE157*CF157,3),CF157))),IF(AND(CE157="",CF157=""),"",IF(CF157="",IF(DE157&gt;1,ROUND(DE157*CE157*(1/(CK157)),3),CE157*(1/(CK157))),IF(DE157&gt;1,ROUND(DE157*CF157*(1/(CK157)),3),CF157*(1/(CK157))))))</f>
        <v/>
      </c>
      <c r="CP157" s="2053">
        <f>$CP$34</f>
        <v/>
      </c>
      <c r="CQ157" s="1474">
        <f>IF(CO157="","",IF(CO157&gt;CP157,"Fail","Pass"))</f>
        <v/>
      </c>
      <c r="CR157" s="1480">
        <f>IF(AND(MAX(CO157:CO164)=CO157,CO157&lt;&gt;0),COUNT($CR$3:CR151)+1,"")</f>
        <v/>
      </c>
      <c r="CS157" s="2054">
        <f>MyTimestamp(CO157)</f>
        <v/>
      </c>
      <c r="CT157" s="1537">
        <f>IF(CE157="",0,15)+IF(CF157="",0,15)</f>
        <v/>
      </c>
      <c r="CU157" s="1538">
        <f>IF(CT157=0,0,2)</f>
        <v/>
      </c>
      <c r="CV157" s="2055" t="inlineStr">
        <is>
          <t>S/02</t>
        </is>
      </c>
      <c r="CW157" s="2055" t="inlineStr">
        <is>
          <t>Dasy6</t>
        </is>
      </c>
      <c r="CX157" s="2038"/>
      <c r="CY157" s="2056"/>
      <c r="CZ157" s="1546">
        <f>10^(CJ157/20)*100-100</f>
        <v/>
      </c>
      <c r="DA157" s="1318">
        <f>IF('Tune-Up'!$H$12="","",'Tune-Up'!$H$12)</f>
        <v/>
      </c>
      <c r="DB157" s="694">
        <f>'2G-3G'!BZ24</f>
        <v/>
      </c>
      <c r="DC157" s="796">
        <f>IF(DA157="","",10^(DA157/10))</f>
        <v/>
      </c>
      <c r="DD157" s="1362">
        <f>IF(ISNUMBER(DB157)=FALSE,"",10^(DB157/10))</f>
        <v/>
      </c>
      <c r="DE157" s="1546">
        <f>IF(AND(ISNUMBER(DC157),ISNUMBER(DD157)),IF(DC157/DD157&gt;1,ROUND((DC157)/DD157,3),1),1)</f>
        <v/>
      </c>
      <c r="DF157" s="1541"/>
      <c r="DG157" s="1541"/>
      <c r="DH157" s="1541"/>
      <c r="DI157" s="1541"/>
      <c r="DJ157" s="1541"/>
      <c r="DK157" s="1541"/>
      <c r="DL157" s="1541"/>
      <c r="DM157" s="1541"/>
      <c r="DN157" s="1541"/>
      <c r="DO157" s="1541"/>
      <c r="DP157" s="1541"/>
      <c r="DQ157" s="1541"/>
      <c r="DR157" s="1541"/>
    </row>
    <row r="158" ht="12.75" x14ac:dyDescent="0.2">
      <c r="A158" s="1541"/>
      <c r="B158" s="1541"/>
      <c r="C158"/>
      <c r="D158" s="130">
        <f>IF(BX$157="Close to Ear","EN 62209-1","EN 62209-2")</f>
        <v/>
      </c>
      <c r="E158" s="130">
        <f>IF(CG158="Close to Ear","2016","2010/A1:2019")</f>
        <v/>
      </c>
      <c r="F158" s="1488" t="inlineStr">
        <is>
          <t>5.1</t>
        </is>
      </c>
      <c r="G158" s="1497"/>
      <c r="H158" s="120">
        <f>BV158</f>
        <v/>
      </c>
      <c r="I158" s="120">
        <f>BW158</f>
        <v/>
      </c>
      <c r="J158" s="687" t="str">
        <f>BT158</f>
        <v>GSM</v>
      </c>
      <c r="K158" s="194">
        <f>BU158</f>
        <v>900</v>
      </c>
      <c r="L158" s="115"/>
      <c r="M158" s="120">
        <f>BZ158</f>
        <v>0</v>
      </c>
      <c r="N158" s="119"/>
      <c r="O158" s="131"/>
      <c r="P158" s="6597"/>
      <c r="Q158" s="131"/>
      <c r="R158" s="131"/>
      <c r="S158" s="120">
        <f>CG158</f>
        <v>0</v>
      </c>
      <c r="T158" s="120">
        <f>CC158</f>
        <v>37</v>
      </c>
      <c r="U158" s="120">
        <f>CD158</f>
        <v>897.4</v>
      </c>
      <c r="V158" s="119"/>
      <c r="W158" s="197">
        <f>CK158*100</f>
        <v/>
      </c>
      <c r="X158" s="119"/>
      <c r="Y158" s="119"/>
      <c r="Z158" s="119"/>
      <c r="AA158" s="115"/>
      <c r="AB158" s="115"/>
      <c r="AC158" s="689">
        <f>IF(OR(BX$157="Close to Ear",BX$157="Close to Head"),"Head",IF(BX$157="Extremity","Extremity","Body"))</f>
        <v/>
      </c>
      <c r="AD158" s="690">
        <f>CA158</f>
        <v/>
      </c>
      <c r="AE158" s="688">
        <f>CB158</f>
        <v/>
      </c>
      <c r="AF158" s="115"/>
      <c r="AG158" s="808">
        <f>IF(AZ158="","N/A",IF(CQ158="Pass","P","F"))</f>
        <v/>
      </c>
      <c r="AH158" s="129"/>
      <c r="AI158" s="129"/>
      <c r="AJ158" s="129"/>
      <c r="AK158" s="119"/>
      <c r="AL158" s="115"/>
      <c r="AM158" s="119"/>
      <c r="AN158" s="119"/>
      <c r="AO158" s="692"/>
      <c r="AP158" s="692"/>
      <c r="AQ158" s="692"/>
      <c r="AR158" s="692"/>
      <c r="AS158" s="692"/>
      <c r="AT158" s="691">
        <f>CE158</f>
        <v/>
      </c>
      <c r="AU158" s="691">
        <f>CF158</f>
        <v/>
      </c>
      <c r="AV158" s="813"/>
      <c r="AW158" s="813"/>
      <c r="AX158" s="197">
        <f>CZ158</f>
        <v/>
      </c>
      <c r="AY158" s="197">
        <f>DE158</f>
        <v/>
      </c>
      <c r="AZ158" s="3379">
        <f>CO158</f>
        <v/>
      </c>
      <c r="BA158" s="3380"/>
      <c r="BB158" s="197">
        <f>CP158</f>
        <v/>
      </c>
      <c r="BC158" s="813"/>
      <c r="BD158" s="197">
        <f>CR158</f>
        <v/>
      </c>
      <c r="BE158" s="121">
        <f>CS158</f>
        <v/>
      </c>
      <c r="BF158" s="122">
        <f>CT158*60</f>
        <v/>
      </c>
      <c r="BG158" s="121">
        <f>BE158</f>
        <v/>
      </c>
      <c r="BH158" s="122">
        <f>CU158*60</f>
        <v/>
      </c>
      <c r="BI158" s="122">
        <f>CV158</f>
        <v/>
      </c>
      <c r="BJ158" s="117"/>
      <c r="BK158" s="812">
        <f>Overview!$E$7</f>
        <v/>
      </c>
      <c r="BL158" s="117"/>
      <c r="BM158" s="836">
        <f>CW158</f>
        <v/>
      </c>
      <c r="BN158" s="812">
        <f>Overview!$P$153</f>
        <v/>
      </c>
      <c r="BO158" s="117"/>
      <c r="BP158" s="117"/>
      <c r="BQ158" s="115"/>
      <c r="BR158" s="1478" t="inlineStr">
        <is>
          <t>N/A</t>
        </is>
      </c>
      <c r="BS158" s="1548"/>
      <c r="BT158" s="1783" t="inlineStr">
        <is>
          <t>GSM</t>
        </is>
      </c>
      <c r="BU158" s="1783">
        <v>900</v>
      </c>
      <c r="BV158" s="400">
        <f>Overview!$H$31</f>
        <v/>
      </c>
      <c r="BW158" s="2010"/>
      <c r="BX158" s="1783"/>
      <c r="BY158" s="2040"/>
      <c r="BZ158" s="2040"/>
      <c r="CA158" s="1997" t="inlineStr">
        <is>
          <t>Back Face</t>
        </is>
      </c>
      <c r="CB158" s="200">
        <v>5</v>
      </c>
      <c r="CC158" s="1063">
        <f>'2G-3G'!BX24</f>
        <v>37</v>
      </c>
      <c r="CD158" s="1063">
        <f>'2G-3G'!BY24</f>
        <v>897.4</v>
      </c>
      <c r="CE158" s="1523"/>
      <c r="CF158" s="1523"/>
      <c r="CG158" s="387" t="str">
        <f>IF(OR($BY$3="",$BY$3=""),"",$BY$3)</f>
        <v/>
      </c>
      <c r="CH158" s="387">
        <f>BZ158</f>
        <v/>
      </c>
      <c r="CI158" s="387">
        <f>CA158</f>
        <v/>
      </c>
      <c r="CJ158" s="1527"/>
      <c r="CK158" s="2042"/>
      <c r="CL158" s="206">
        <f>IF(CF158=""," ",IF(ABS(CE158-CF158)&lt;=0.25,"Valid","Not valid"))</f>
        <v/>
      </c>
      <c r="CM158" s="207">
        <f> IF(CE158="","",IF(AND(CE158&lt;&gt;"",CF158=""),IF(CE158&gt;=2,"Medir+Sig Max","No"),IF(CF158&lt;&gt;"",IF(CF158&gt;=2,"Medir+Sig Max","No"),"")))</f>
        <v/>
      </c>
      <c r="CN158" s="1787"/>
      <c r="CO158" s="220">
        <f>IF(CK158="",IF(AND(CE158="",CF158=""),"",IF(CF158="",IF(DE158&gt;1,ROUND(DE158*CE158,3),CE158),IF(DE158&gt;1,ROUND(DE158*CF158,3),CF158))),IF(AND(CE158="",CF158=""),"",IF(CF158="",IF(DE158&gt;1,ROUND(DE158*CE158*(1/(CK158)),3),CE158*(1/(CK158))),IF(DE158&gt;1,ROUND(DE158*CF158*(1/(CK158)),3),CF158*(1/(CK158))))))</f>
        <v/>
      </c>
      <c r="CP158" s="2043">
        <f>$CP$34</f>
        <v/>
      </c>
      <c r="CQ158" s="1472">
        <f>IF(CO158="","",IF(CO158&gt;CP158,"Fail","Pass"))</f>
        <v/>
      </c>
      <c r="CR158" s="1481">
        <f>IF(AND(MAX(CO157:CO164)=CO158,CO158&lt;&gt;0),COUNT($CR$3:CR157)+1,"")</f>
        <v/>
      </c>
      <c r="CS158" s="1565">
        <f>MyTimestamp(CO158)</f>
        <v/>
      </c>
      <c r="CT158" s="1531">
        <f>IF(CE158="",0,15)+IF(CF158="",0,15)</f>
        <v/>
      </c>
      <c r="CU158" s="1532">
        <f>IF(CT158=0,0,2)</f>
        <v/>
      </c>
      <c r="CV158" s="859" t="inlineStr">
        <is>
          <t>S/02</t>
        </is>
      </c>
      <c r="CW158" s="859" t="inlineStr">
        <is>
          <t>Dasy6</t>
        </is>
      </c>
      <c r="CX158" s="2038"/>
      <c r="CY158" s="2044"/>
      <c r="CZ158" s="1543">
        <f>10^(CJ158/20)*100-100</f>
        <v/>
      </c>
      <c r="DA158" s="1319">
        <f>IF('Tune-Up'!$H$12="","",'Tune-Up'!$H$12)</f>
        <v/>
      </c>
      <c r="DB158" s="695">
        <f>'2G-3G'!BZ24</f>
        <v/>
      </c>
      <c r="DC158" s="797">
        <f>IF(DA158="","",10^(DA158/10))</f>
        <v/>
      </c>
      <c r="DD158" s="1363">
        <f>IF(ISNUMBER(DB158)=FALSE,"",10^(DB158/10))</f>
        <v/>
      </c>
      <c r="DE158" s="1543">
        <f>IF(AND(ISNUMBER(DC158),ISNUMBER(DD158)),IF(DC158/DD158&gt;1,ROUND((DC158)/DD158,3),1),1)</f>
        <v/>
      </c>
      <c r="DF158" s="1541"/>
      <c r="DG158" s="1541"/>
      <c r="DH158" s="1541"/>
      <c r="DI158" s="1541"/>
      <c r="DJ158" s="1541"/>
      <c r="DK158" s="1541"/>
      <c r="DL158" s="1541"/>
      <c r="DM158" s="1541"/>
      <c r="DN158" s="1541"/>
      <c r="DO158" s="1541"/>
      <c r="DP158" s="1541"/>
      <c r="DQ158" s="1541"/>
      <c r="DR158" s="1541"/>
    </row>
    <row r="159" ht="12.75" x14ac:dyDescent="0.2">
      <c r="A159" s="1541"/>
      <c r="B159" s="1541"/>
      <c r="C159"/>
      <c r="D159" s="130">
        <f>IF(BX$157="Close to Ear","EN 62209-1","EN 62209-2")</f>
        <v/>
      </c>
      <c r="E159" s="130">
        <f>IF(CG159="Close to Ear","2016","2010/A1:2019")</f>
        <v/>
      </c>
      <c r="F159" s="1488" t="inlineStr">
        <is>
          <t>5.1</t>
        </is>
      </c>
      <c r="G159" s="1497"/>
      <c r="H159" s="120">
        <f>BV159</f>
        <v/>
      </c>
      <c r="I159" s="120">
        <f>BW159</f>
        <v/>
      </c>
      <c r="J159" s="687" t="str">
        <f>BT159</f>
        <v>GSM</v>
      </c>
      <c r="K159" s="194">
        <f>BU159</f>
        <v>900</v>
      </c>
      <c r="L159" s="115"/>
      <c r="M159" s="120">
        <f>BZ159</f>
        <v>0</v>
      </c>
      <c r="N159" s="119"/>
      <c r="O159" s="131"/>
      <c r="P159" s="6597"/>
      <c r="Q159" s="131"/>
      <c r="R159" s="131"/>
      <c r="S159" s="120">
        <f>CG159</f>
        <v>0</v>
      </c>
      <c r="T159" s="120">
        <f>CC159</f>
        <v>37</v>
      </c>
      <c r="U159" s="120">
        <f>CD159</f>
        <v>897.4</v>
      </c>
      <c r="V159" s="119"/>
      <c r="W159" s="197">
        <f>CK159*100</f>
        <v/>
      </c>
      <c r="X159" s="119"/>
      <c r="Y159" s="119"/>
      <c r="Z159" s="119"/>
      <c r="AA159" s="115"/>
      <c r="AB159" s="115"/>
      <c r="AC159" s="689">
        <f>IF(OR(BX$157="Close to Ear",BX$157="Close to Head"),"Head",IF(BX$157="Extremity","Extremity","Body"))</f>
        <v/>
      </c>
      <c r="AD159" s="690">
        <f>CA159</f>
        <v/>
      </c>
      <c r="AE159" s="688">
        <f>CB159</f>
        <v/>
      </c>
      <c r="AF159" s="115"/>
      <c r="AG159" s="808">
        <f>IF(AZ159="","N/A",IF(CQ159="Pass","P","F"))</f>
        <v/>
      </c>
      <c r="AH159" s="129"/>
      <c r="AI159" s="129"/>
      <c r="AJ159" s="129"/>
      <c r="AK159" s="119"/>
      <c r="AL159" s="115"/>
      <c r="AM159" s="119"/>
      <c r="AN159" s="119"/>
      <c r="AO159" s="692"/>
      <c r="AP159" s="692"/>
      <c r="AQ159" s="692"/>
      <c r="AR159" s="692"/>
      <c r="AS159" s="692"/>
      <c r="AT159" s="691">
        <f>CE159</f>
        <v/>
      </c>
      <c r="AU159" s="691">
        <f>CF159</f>
        <v/>
      </c>
      <c r="AV159" s="813"/>
      <c r="AW159" s="813"/>
      <c r="AX159" s="197">
        <f>CZ159</f>
        <v/>
      </c>
      <c r="AY159" s="197">
        <f>DE159</f>
        <v/>
      </c>
      <c r="AZ159" s="3379">
        <f>CO159</f>
        <v/>
      </c>
      <c r="BA159" s="3380"/>
      <c r="BB159" s="197">
        <f>CP159</f>
        <v/>
      </c>
      <c r="BC159" s="813"/>
      <c r="BD159" s="197">
        <f>CR159</f>
        <v/>
      </c>
      <c r="BE159" s="121">
        <f>CS159</f>
        <v/>
      </c>
      <c r="BF159" s="122">
        <f>CT159*60</f>
        <v/>
      </c>
      <c r="BG159" s="121">
        <f>BE159</f>
        <v/>
      </c>
      <c r="BH159" s="122">
        <f>CU159*60</f>
        <v/>
      </c>
      <c r="BI159" s="122">
        <f>CV159</f>
        <v/>
      </c>
      <c r="BJ159" s="117"/>
      <c r="BK159" s="812">
        <f>Overview!$E$7</f>
        <v/>
      </c>
      <c r="BL159" s="117"/>
      <c r="BM159" s="836">
        <f>CW159</f>
        <v/>
      </c>
      <c r="BN159" s="812">
        <f>Overview!$P$153</f>
        <v/>
      </c>
      <c r="BO159" s="117"/>
      <c r="BP159" s="117"/>
      <c r="BQ159" s="115"/>
      <c r="BR159" s="1478" t="inlineStr">
        <is>
          <t>N/A</t>
        </is>
      </c>
      <c r="BS159" s="1548"/>
      <c r="BT159" s="1783" t="inlineStr">
        <is>
          <t>GSM</t>
        </is>
      </c>
      <c r="BU159" s="1783">
        <v>900</v>
      </c>
      <c r="BV159" s="400">
        <f>Overview!$H$31</f>
        <v/>
      </c>
      <c r="BW159" s="2010"/>
      <c r="BX159" s="1783"/>
      <c r="BY159" s="2040"/>
      <c r="BZ159" s="2040"/>
      <c r="CA159" s="1997" t="inlineStr">
        <is>
          <t>Left Edge</t>
        </is>
      </c>
      <c r="CB159" s="200">
        <v>5</v>
      </c>
      <c r="CC159" s="1063">
        <f>'2G-3G'!BX24</f>
        <v>37</v>
      </c>
      <c r="CD159" s="1063">
        <f>'2G-3G'!BY24</f>
        <v>897.4</v>
      </c>
      <c r="CE159" s="1523"/>
      <c r="CF159" s="1523"/>
      <c r="CG159" s="387" t="str">
        <f>IF(OR($BY$3="",$BY$3=""),"",$BY$3)</f>
        <v/>
      </c>
      <c r="CH159" s="387">
        <f>BZ159</f>
        <v/>
      </c>
      <c r="CI159" s="387">
        <f>CA159</f>
        <v/>
      </c>
      <c r="CJ159" s="1527"/>
      <c r="CK159" s="2042"/>
      <c r="CL159" s="206">
        <f>IF(CF159=""," ",IF(ABS(CE159-CF159)&lt;=0.25,"Valid","Not valid"))</f>
        <v/>
      </c>
      <c r="CM159" s="207">
        <f> IF(CE159="","",IF(AND(CE159&lt;&gt;"",CF159=""),IF(CE159&gt;=2,"Medir+Sig Max","No"),IF(CF159&lt;&gt;"",IF(CF159&gt;=2,"Medir+Sig Max","No"),"")))</f>
        <v/>
      </c>
      <c r="CN159" s="1787"/>
      <c r="CO159" s="220">
        <f>IF(CK159="",IF(AND(CE159="",CF159=""),"",IF(CF159="",IF(DE159&gt;1,ROUND(DE159*CE159,3),CE159),IF(DE159&gt;1,ROUND(DE159*CF159,3),CF159))),IF(AND(CE159="",CF159=""),"",IF(CF159="",IF(DE159&gt;1,ROUND(DE159*CE159*(1/(CK159)),3),CE159*(1/(CK159))),IF(DE159&gt;1,ROUND(DE159*CF159*(1/(CK159)),3),CF159*(1/(CK159))))))</f>
        <v/>
      </c>
      <c r="CP159" s="2043">
        <f>$CP$34</f>
        <v/>
      </c>
      <c r="CQ159" s="1472">
        <f>IF(CO159="","",IF(CO159&gt;CP159,"Fail","Pass"))</f>
        <v/>
      </c>
      <c r="CR159" s="1481">
        <f>IF(AND(MAX(CO157:CO164)=CO159,CO159&lt;&gt;0),COUNT($CR$3:CR158)+1,"")</f>
        <v/>
      </c>
      <c r="CS159" s="1565">
        <f>MyTimestamp(CO159)</f>
        <v/>
      </c>
      <c r="CT159" s="1531">
        <f>IF(CE159="",0,15)+IF(CF159="",0,15)</f>
        <v/>
      </c>
      <c r="CU159" s="1532">
        <f>IF(CT159=0,0,2)</f>
        <v/>
      </c>
      <c r="CV159" s="859" t="inlineStr">
        <is>
          <t>S/02</t>
        </is>
      </c>
      <c r="CW159" s="859" t="inlineStr">
        <is>
          <t>Dasy6</t>
        </is>
      </c>
      <c r="CX159" s="2038"/>
      <c r="CY159" s="2044"/>
      <c r="CZ159" s="1543">
        <f>10^(CJ159/20)*100-100</f>
        <v/>
      </c>
      <c r="DA159" s="1319">
        <f>IF('Tune-Up'!$H$12="","",'Tune-Up'!$H$12)</f>
        <v/>
      </c>
      <c r="DB159" s="695">
        <f>'2G-3G'!BZ24</f>
        <v/>
      </c>
      <c r="DC159" s="797">
        <f>IF(DA159="","",10^(DA159/10))</f>
        <v/>
      </c>
      <c r="DD159" s="1363">
        <f>IF(ISNUMBER(DB159)=FALSE,"",10^(DB159/10))</f>
        <v/>
      </c>
      <c r="DE159" s="1543">
        <f>IF(AND(ISNUMBER(DC159),ISNUMBER(DD159)),IF(DC159/DD159&gt;1,ROUND((DC159)/DD159,3),1),1)</f>
        <v/>
      </c>
      <c r="DF159" s="1541"/>
      <c r="DG159" s="1541"/>
      <c r="DH159" s="1541"/>
      <c r="DI159" s="1541"/>
      <c r="DJ159" s="1541"/>
      <c r="DK159" s="1541"/>
      <c r="DL159" s="1541"/>
      <c r="DM159" s="1541"/>
      <c r="DN159" s="1541"/>
      <c r="DO159" s="1541"/>
      <c r="DP159" s="1541"/>
      <c r="DQ159" s="1541"/>
      <c r="DR159" s="1541"/>
    </row>
    <row r="160" ht="12.75" x14ac:dyDescent="0.2">
      <c r="A160" s="1541"/>
      <c r="B160" s="1541"/>
      <c r="C160"/>
      <c r="D160" s="130">
        <f>IF(BX$157="Close to Ear","EN 62209-1","EN 62209-2")</f>
        <v/>
      </c>
      <c r="E160" s="130">
        <f>IF(CG160="Close to Ear","2016","2010/A1:2019")</f>
        <v/>
      </c>
      <c r="F160" s="1488" t="inlineStr">
        <is>
          <t>5.1</t>
        </is>
      </c>
      <c r="G160" s="1497"/>
      <c r="H160" s="120">
        <f>BV160</f>
        <v/>
      </c>
      <c r="I160" s="120">
        <f>BW160</f>
        <v/>
      </c>
      <c r="J160" s="687" t="str">
        <f>BT160</f>
        <v>GSM</v>
      </c>
      <c r="K160" s="194">
        <f>BU160</f>
        <v>900</v>
      </c>
      <c r="L160" s="115"/>
      <c r="M160" s="120">
        <f>BZ160</f>
        <v>0</v>
      </c>
      <c r="N160" s="119"/>
      <c r="O160" s="131"/>
      <c r="P160" s="6597"/>
      <c r="Q160" s="131"/>
      <c r="R160" s="131"/>
      <c r="S160" s="120">
        <f>CG160</f>
        <v>0</v>
      </c>
      <c r="T160" s="120">
        <f>CC160</f>
        <v>37</v>
      </c>
      <c r="U160" s="120">
        <f>CD160</f>
        <v>897.4</v>
      </c>
      <c r="V160" s="119"/>
      <c r="W160" s="197">
        <f>CK160*100</f>
        <v/>
      </c>
      <c r="X160" s="119"/>
      <c r="Y160" s="119"/>
      <c r="Z160" s="119"/>
      <c r="AA160" s="115"/>
      <c r="AB160" s="115"/>
      <c r="AC160" s="689">
        <f>IF(OR(BX$157="Close to Ear",BX$157="Close to Head"),"Head",IF(BX$157="Extremity","Extremity","Body"))</f>
        <v/>
      </c>
      <c r="AD160" s="690">
        <f>CA160</f>
        <v/>
      </c>
      <c r="AE160" s="688">
        <f>CB160</f>
        <v/>
      </c>
      <c r="AF160" s="115"/>
      <c r="AG160" s="808">
        <f>IF(AZ160="","N/A",IF(CQ160="Pass","P","F"))</f>
        <v/>
      </c>
      <c r="AH160" s="129"/>
      <c r="AI160" s="129"/>
      <c r="AJ160" s="129"/>
      <c r="AK160" s="119"/>
      <c r="AL160" s="115"/>
      <c r="AM160" s="119"/>
      <c r="AN160" s="119"/>
      <c r="AO160" s="692"/>
      <c r="AP160" s="692"/>
      <c r="AQ160" s="692"/>
      <c r="AR160" s="692"/>
      <c r="AS160" s="692"/>
      <c r="AT160" s="691">
        <f>CE160</f>
        <v/>
      </c>
      <c r="AU160" s="691">
        <f>CF160</f>
        <v/>
      </c>
      <c r="AV160" s="813"/>
      <c r="AW160" s="813"/>
      <c r="AX160" s="197">
        <f>CZ160</f>
        <v/>
      </c>
      <c r="AY160" s="197">
        <f>DE160</f>
        <v/>
      </c>
      <c r="AZ160" s="3379">
        <f>CO160</f>
        <v/>
      </c>
      <c r="BA160" s="3380"/>
      <c r="BB160" s="197">
        <f>CP160</f>
        <v/>
      </c>
      <c r="BC160" s="813"/>
      <c r="BD160" s="197">
        <f>CR160</f>
        <v/>
      </c>
      <c r="BE160" s="121">
        <f>CS160</f>
        <v/>
      </c>
      <c r="BF160" s="122">
        <f>CT160*60</f>
        <v/>
      </c>
      <c r="BG160" s="121">
        <f>BE160</f>
        <v/>
      </c>
      <c r="BH160" s="122">
        <f>CU160*60</f>
        <v/>
      </c>
      <c r="BI160" s="122">
        <f>CV160</f>
        <v/>
      </c>
      <c r="BJ160" s="117"/>
      <c r="BK160" s="812">
        <f>Overview!$E$7</f>
        <v/>
      </c>
      <c r="BL160" s="117"/>
      <c r="BM160" s="836">
        <f>CW160</f>
        <v/>
      </c>
      <c r="BN160" s="812">
        <f>Overview!$P$153</f>
        <v/>
      </c>
      <c r="BO160" s="117"/>
      <c r="BP160" s="117"/>
      <c r="BQ160" s="115"/>
      <c r="BR160" s="1478" t="inlineStr">
        <is>
          <t>N/A</t>
        </is>
      </c>
      <c r="BS160" s="1548"/>
      <c r="BT160" s="1791" t="inlineStr">
        <is>
          <t>GSM</t>
        </is>
      </c>
      <c r="BU160" s="1791">
        <v>900</v>
      </c>
      <c r="BV160" s="403">
        <f>Overview!$H$31</f>
        <v/>
      </c>
      <c r="BW160" s="2010"/>
      <c r="BX160" s="1791"/>
      <c r="BY160" s="2040"/>
      <c r="BZ160" s="2040"/>
      <c r="CA160" s="1997" t="inlineStr">
        <is>
          <t>Right Edge</t>
        </is>
      </c>
      <c r="CB160" s="200">
        <v>5</v>
      </c>
      <c r="CC160" s="1063">
        <f>'2G-3G'!BX24</f>
        <v>37</v>
      </c>
      <c r="CD160" s="1063">
        <f>'2G-3G'!BY24</f>
        <v>897.4</v>
      </c>
      <c r="CE160" s="1523"/>
      <c r="CF160" s="1523"/>
      <c r="CG160" s="387" t="str">
        <f>IF(OR($BY$3="",$BY$3=""),"",$BY$3)</f>
        <v/>
      </c>
      <c r="CH160" s="387">
        <f>BZ160</f>
        <v/>
      </c>
      <c r="CI160" s="387">
        <f>CA160</f>
        <v/>
      </c>
      <c r="CJ160" s="1527"/>
      <c r="CK160" s="2042"/>
      <c r="CL160" s="206">
        <f>IF(CF160=""," ",IF(ABS(CE160-CF160)&lt;=0.25,"Valid","Not valid"))</f>
        <v/>
      </c>
      <c r="CM160" s="207">
        <f> IF(CE160="","",IF(AND(CE160&lt;&gt;"",CF160=""),IF(CE160&gt;=2,"Medir+Sig Max","No"),IF(CF160&lt;&gt;"",IF(CF160&gt;=2,"Medir+Sig Max","No"),"")))</f>
        <v/>
      </c>
      <c r="CN160" s="1787"/>
      <c r="CO160" s="220">
        <f>IF(CK160="",IF(AND(CE160="",CF160=""),"",IF(CF160="",IF(DE160&gt;1,ROUND(DE160*CE160,3),CE160),IF(DE160&gt;1,ROUND(DE160*CF160,3),CF160))),IF(AND(CE160="",CF160=""),"",IF(CF160="",IF(DE160&gt;1,ROUND(DE160*CE160*(1/(CK160)),3),CE160*(1/(CK160))),IF(DE160&gt;1,ROUND(DE160*CF160*(1/(CK160)),3),CF160*(1/(CK160))))))</f>
        <v/>
      </c>
      <c r="CP160" s="2043">
        <f>$CP$34</f>
        <v/>
      </c>
      <c r="CQ160" s="1472">
        <f>IF(CO160="","",IF(CO160&gt;CP160,"Fail","Pass"))</f>
        <v/>
      </c>
      <c r="CR160" s="1481">
        <f>IF(AND(MAX(CO157:CO164)=CO160,CO160&lt;&gt;0),COUNT($CR$3:CR159)+1,"")</f>
        <v/>
      </c>
      <c r="CS160" s="1565">
        <f>MyTimestamp(CO160)</f>
        <v/>
      </c>
      <c r="CT160" s="1531">
        <f>IF(CE160="",0,15)+IF(CF160="",0,15)</f>
        <v/>
      </c>
      <c r="CU160" s="1532">
        <f>IF(CT160=0,0,2)</f>
        <v/>
      </c>
      <c r="CV160" s="859" t="inlineStr">
        <is>
          <t>S/02</t>
        </is>
      </c>
      <c r="CW160" s="859" t="inlineStr">
        <is>
          <t>Dasy6</t>
        </is>
      </c>
      <c r="CX160" s="2038"/>
      <c r="CY160" s="2044"/>
      <c r="CZ160" s="1543">
        <f>10^(CJ160/20)*100-100</f>
        <v/>
      </c>
      <c r="DA160" s="1319">
        <f>IF('Tune-Up'!$H$12="","",'Tune-Up'!$H$12)</f>
        <v/>
      </c>
      <c r="DB160" s="695">
        <f>'2G-3G'!BZ24</f>
        <v/>
      </c>
      <c r="DC160" s="797">
        <f>IF(DA160="","",10^(DA160/10))</f>
        <v/>
      </c>
      <c r="DD160" s="1363">
        <f>IF(ISNUMBER(DB160)=FALSE,"",10^(DB160/10))</f>
        <v/>
      </c>
      <c r="DE160" s="1543">
        <f>IF(AND(ISNUMBER(DC160),ISNUMBER(DD160)),IF(DC160/DD160&gt;1,ROUND((DC160)/DD160,3),1),1)</f>
        <v/>
      </c>
      <c r="DF160" s="1541"/>
      <c r="DG160" s="1541"/>
      <c r="DH160" s="1541"/>
      <c r="DI160" s="1541"/>
      <c r="DJ160" s="1541"/>
      <c r="DK160" s="1541"/>
      <c r="DL160" s="1541"/>
      <c r="DM160" s="1541"/>
      <c r="DN160" s="1541"/>
      <c r="DO160" s="1541"/>
      <c r="DP160" s="1541"/>
      <c r="DQ160" s="1541"/>
      <c r="DR160" s="1541"/>
    </row>
    <row r="161" ht="12.75" x14ac:dyDescent="0.2">
      <c r="A161" s="1541"/>
      <c r="B161" s="1541"/>
      <c r="C161"/>
      <c r="D161" s="130">
        <f>IF(BX$157="Close to Ear","EN 62209-1","EN 62209-2")</f>
        <v/>
      </c>
      <c r="E161" s="130">
        <f>IF(CG161="Close to Ear","2016","2010/A1:2019")</f>
        <v/>
      </c>
      <c r="F161" s="1488" t="inlineStr">
        <is>
          <t>5.1</t>
        </is>
      </c>
      <c r="G161" s="1497"/>
      <c r="H161" s="120">
        <f>BV161</f>
        <v/>
      </c>
      <c r="I161" s="120">
        <f>BW161</f>
        <v/>
      </c>
      <c r="J161" s="687" t="str">
        <f>BT161</f>
        <v>GSM</v>
      </c>
      <c r="K161" s="194">
        <f>BU161</f>
        <v>900</v>
      </c>
      <c r="L161" s="115"/>
      <c r="M161" s="120">
        <f>BZ161</f>
        <v>0</v>
      </c>
      <c r="N161" s="119"/>
      <c r="O161" s="131"/>
      <c r="P161" s="6597"/>
      <c r="Q161" s="131"/>
      <c r="R161" s="131"/>
      <c r="S161" s="120">
        <f>CG161</f>
        <v>0</v>
      </c>
      <c r="T161" s="120">
        <f>CC161</f>
        <v>37</v>
      </c>
      <c r="U161" s="120">
        <f>CD161</f>
        <v>897.4</v>
      </c>
      <c r="V161" s="119"/>
      <c r="W161" s="197">
        <f>CK161*100</f>
        <v/>
      </c>
      <c r="X161" s="119"/>
      <c r="Y161" s="119"/>
      <c r="Z161" s="119"/>
      <c r="AA161" s="115"/>
      <c r="AB161" s="115"/>
      <c r="AC161" s="689">
        <f>IF(OR(BX$157="Close to Ear",BX$157="Close to Head"),"Head",IF(BX$157="Extremity","Extremity","Body"))</f>
        <v/>
      </c>
      <c r="AD161" s="690">
        <f>CA161</f>
        <v/>
      </c>
      <c r="AE161" s="688">
        <f>CB161</f>
        <v/>
      </c>
      <c r="AF161" s="115"/>
      <c r="AG161" s="808">
        <f>IF(AZ161="","N/A",IF(CQ161="Pass","P","F"))</f>
        <v/>
      </c>
      <c r="AH161" s="129"/>
      <c r="AI161" s="129"/>
      <c r="AJ161" s="129"/>
      <c r="AK161" s="119"/>
      <c r="AL161" s="115"/>
      <c r="AM161" s="119"/>
      <c r="AN161" s="119"/>
      <c r="AO161" s="692"/>
      <c r="AP161" s="692"/>
      <c r="AQ161" s="692"/>
      <c r="AR161" s="692"/>
      <c r="AS161" s="692"/>
      <c r="AT161" s="691">
        <f>CE161</f>
        <v/>
      </c>
      <c r="AU161" s="691">
        <f>CF161</f>
        <v/>
      </c>
      <c r="AV161" s="813"/>
      <c r="AW161" s="813"/>
      <c r="AX161" s="197">
        <f>CZ161</f>
        <v/>
      </c>
      <c r="AY161" s="197">
        <f>DE161</f>
        <v/>
      </c>
      <c r="AZ161" s="3379">
        <f>CO161</f>
        <v/>
      </c>
      <c r="BA161" s="3380"/>
      <c r="BB161" s="197">
        <f>CP161</f>
        <v/>
      </c>
      <c r="BC161" s="813"/>
      <c r="BD161" s="197">
        <f>CR161</f>
        <v/>
      </c>
      <c r="BE161" s="121">
        <f>CS161</f>
        <v/>
      </c>
      <c r="BF161" s="122">
        <f>CT161*60</f>
        <v/>
      </c>
      <c r="BG161" s="121">
        <f>BE161</f>
        <v/>
      </c>
      <c r="BH161" s="122">
        <f>CU161*60</f>
        <v/>
      </c>
      <c r="BI161" s="122">
        <f>CV161</f>
        <v/>
      </c>
      <c r="BJ161" s="117"/>
      <c r="BK161" s="812">
        <f>Overview!$E$7</f>
        <v/>
      </c>
      <c r="BL161" s="117"/>
      <c r="BM161" s="836">
        <f>CW161</f>
        <v/>
      </c>
      <c r="BN161" s="812">
        <f>Overview!$P$153</f>
        <v/>
      </c>
      <c r="BO161" s="117"/>
      <c r="BP161" s="117"/>
      <c r="BQ161" s="115"/>
      <c r="BR161" s="1478" t="inlineStr">
        <is>
          <t>N/A</t>
        </is>
      </c>
      <c r="BS161" s="1548"/>
      <c r="BT161" s="1783" t="inlineStr">
        <is>
          <t>GSM</t>
        </is>
      </c>
      <c r="BU161" s="1783">
        <v>900</v>
      </c>
      <c r="BV161" s="400">
        <f>Overview!$H$31</f>
        <v/>
      </c>
      <c r="BW161" s="2010"/>
      <c r="BX161" s="1783"/>
      <c r="BY161" s="2040"/>
      <c r="BZ161" s="2040"/>
      <c r="CA161" s="1997" t="inlineStr">
        <is>
          <t>Top Edge</t>
        </is>
      </c>
      <c r="CB161" s="200">
        <v>5</v>
      </c>
      <c r="CC161" s="1063">
        <f>'2G-3G'!BX24</f>
        <v>37</v>
      </c>
      <c r="CD161" s="1063">
        <f>'2G-3G'!BY24</f>
        <v>897.4</v>
      </c>
      <c r="CE161" s="1523"/>
      <c r="CF161" s="1523"/>
      <c r="CG161" s="387" t="str">
        <f>IF(OR($BY$3="",$BY$3=""),"",$BY$3)</f>
        <v/>
      </c>
      <c r="CH161" s="387">
        <f>BZ161</f>
        <v/>
      </c>
      <c r="CI161" s="387">
        <f>CA161</f>
        <v/>
      </c>
      <c r="CJ161" s="1527"/>
      <c r="CK161" s="2042"/>
      <c r="CL161" s="206">
        <f>IF(CF161=""," ",IF(ABS(CE161-CF161)&lt;=0.25,"Valid","Not valid"))</f>
        <v/>
      </c>
      <c r="CM161" s="207">
        <f> IF(CE161="","",IF(AND(CE161&lt;&gt;"",CF161=""),IF(CE161&gt;=2,"Medir+Sig Max","No"),IF(CF161&lt;&gt;"",IF(CF161&gt;=2,"Medir+Sig Max","No"),"")))</f>
        <v/>
      </c>
      <c r="CN161" s="1787"/>
      <c r="CO161" s="220">
        <f>IF(CK161="",IF(AND(CE161="",CF161=""),"",IF(CF161="",IF(DE161&gt;1,ROUND(DE161*CE161,3),CE161),IF(DE161&gt;1,ROUND(DE161*CF161,3),CF161))),IF(AND(CE161="",CF161=""),"",IF(CF161="",IF(DE161&gt;1,ROUND(DE161*CE161*(1/(CK161)),3),CE161*(1/(CK161))),IF(DE161&gt;1,ROUND(DE161*CF161*(1/(CK161)),3),CF161*(1/(CK161))))))</f>
        <v/>
      </c>
      <c r="CP161" s="2043">
        <f>$CP$34</f>
        <v/>
      </c>
      <c r="CQ161" s="1472">
        <f>IF(CO161="","",IF(CO161&gt;CP161,"Fail","Pass"))</f>
        <v/>
      </c>
      <c r="CR161" s="1481">
        <f>IF(AND(MAX(CO157:CO164)=CO161,CO161&lt;&gt;0),COUNT($CR$3:CR160)+1,"")</f>
        <v/>
      </c>
      <c r="CS161" s="1565">
        <f>MyTimestamp(CO161)</f>
        <v/>
      </c>
      <c r="CT161" s="1531">
        <f>IF(CE161="",0,15)+IF(CF161="",0,15)</f>
        <v/>
      </c>
      <c r="CU161" s="1532">
        <f>IF(CT161=0,0,2)</f>
        <v/>
      </c>
      <c r="CV161" s="859" t="inlineStr">
        <is>
          <t>S/02</t>
        </is>
      </c>
      <c r="CW161" s="859" t="inlineStr">
        <is>
          <t>Dasy6</t>
        </is>
      </c>
      <c r="CX161" s="2038"/>
      <c r="CY161" s="2044"/>
      <c r="CZ161" s="1543">
        <f>10^(CJ161/20)*100-100</f>
        <v/>
      </c>
      <c r="DA161" s="1319">
        <f>IF('Tune-Up'!$H$12="","",'Tune-Up'!$H$12)</f>
        <v/>
      </c>
      <c r="DB161" s="695">
        <f>'2G-3G'!BZ24</f>
        <v/>
      </c>
      <c r="DC161" s="797">
        <f>IF(DA161="","",10^(DA161/10))</f>
        <v/>
      </c>
      <c r="DD161" s="1363">
        <f>IF(ISNUMBER(DB161)=FALSE,"",10^(DB161/10))</f>
        <v/>
      </c>
      <c r="DE161" s="1543">
        <f>IF(AND(ISNUMBER(DC161),ISNUMBER(DD161)),IF(DC161/DD161&gt;1,ROUND((DC161)/DD161,3),1),1)</f>
        <v/>
      </c>
      <c r="DF161" s="1541"/>
      <c r="DG161" s="1541"/>
      <c r="DH161" s="1541"/>
      <c r="DI161" s="1541"/>
      <c r="DJ161" s="1541"/>
      <c r="DK161" s="1541"/>
      <c r="DL161" s="1541"/>
      <c r="DM161" s="1541"/>
      <c r="DN161" s="1541"/>
      <c r="DO161" s="1541"/>
      <c r="DP161" s="1541"/>
      <c r="DQ161" s="1541"/>
      <c r="DR161" s="1541"/>
    </row>
    <row r="162" ht="12.75" x14ac:dyDescent="0.2">
      <c r="A162" s="1541"/>
      <c r="B162" s="1541"/>
      <c r="C162"/>
      <c r="D162" s="130">
        <f>IF(BX$157="Close to Ear","EN 62209-1","EN 62209-2")</f>
        <v/>
      </c>
      <c r="E162" s="130">
        <f>IF(CG162="Close to Ear","2016","2010/A1:2019")</f>
        <v/>
      </c>
      <c r="F162" s="1488" t="inlineStr">
        <is>
          <t>5.1</t>
        </is>
      </c>
      <c r="G162" s="1497"/>
      <c r="H162" s="120">
        <f>BV162</f>
        <v/>
      </c>
      <c r="I162" s="120">
        <f>BW162</f>
        <v/>
      </c>
      <c r="J162" s="687" t="str">
        <f>BT162</f>
        <v>GSM</v>
      </c>
      <c r="K162" s="194">
        <f>BU162</f>
        <v>900</v>
      </c>
      <c r="L162" s="115"/>
      <c r="M162" s="120">
        <f>BZ162</f>
        <v>0</v>
      </c>
      <c r="N162" s="119"/>
      <c r="O162" s="131"/>
      <c r="P162" s="6597"/>
      <c r="Q162" s="131"/>
      <c r="R162" s="131"/>
      <c r="S162" s="120">
        <f>CG162</f>
        <v>0</v>
      </c>
      <c r="T162" s="120">
        <f>CC162</f>
        <v>37</v>
      </c>
      <c r="U162" s="120">
        <f>CD162</f>
        <v>897.4</v>
      </c>
      <c r="V162" s="119"/>
      <c r="W162" s="197">
        <f>CK162*100</f>
        <v/>
      </c>
      <c r="X162" s="119"/>
      <c r="Y162" s="119"/>
      <c r="Z162" s="119"/>
      <c r="AA162" s="115"/>
      <c r="AB162" s="115"/>
      <c r="AC162" s="689">
        <f>IF(OR(BX$157="Close to Ear",BX$157="Close to Head"),"Head",IF(BX$157="Extremity","Extremity","Body"))</f>
        <v/>
      </c>
      <c r="AD162" s="690">
        <f>CA162</f>
        <v/>
      </c>
      <c r="AE162" s="688">
        <f>CB162</f>
        <v/>
      </c>
      <c r="AF162" s="115"/>
      <c r="AG162" s="808">
        <f>IF(AZ162="","N/A",IF(CQ162="Pass","P","F"))</f>
        <v/>
      </c>
      <c r="AH162" s="129"/>
      <c r="AI162" s="129"/>
      <c r="AJ162" s="129"/>
      <c r="AK162" s="119"/>
      <c r="AL162" s="115"/>
      <c r="AM162" s="119"/>
      <c r="AN162" s="119"/>
      <c r="AO162" s="692"/>
      <c r="AP162" s="692"/>
      <c r="AQ162" s="692"/>
      <c r="AR162" s="692"/>
      <c r="AS162" s="692"/>
      <c r="AT162" s="691">
        <f>CE162</f>
        <v/>
      </c>
      <c r="AU162" s="691">
        <f>CF162</f>
        <v/>
      </c>
      <c r="AV162" s="813"/>
      <c r="AW162" s="813"/>
      <c r="AX162" s="197">
        <f>CZ162</f>
        <v/>
      </c>
      <c r="AY162" s="197">
        <f>DE162</f>
        <v/>
      </c>
      <c r="AZ162" s="3379">
        <f>CO162</f>
        <v/>
      </c>
      <c r="BA162" s="3380"/>
      <c r="BB162" s="197">
        <f>CP162</f>
        <v/>
      </c>
      <c r="BC162" s="813"/>
      <c r="BD162" s="197">
        <f>CR162</f>
        <v/>
      </c>
      <c r="BE162" s="121">
        <f>CS162</f>
        <v/>
      </c>
      <c r="BF162" s="122">
        <f>CT162*60</f>
        <v/>
      </c>
      <c r="BG162" s="121">
        <f>BE162</f>
        <v/>
      </c>
      <c r="BH162" s="122">
        <f>CU162*60</f>
        <v/>
      </c>
      <c r="BI162" s="122">
        <f>CV162</f>
        <v/>
      </c>
      <c r="BJ162" s="117"/>
      <c r="BK162" s="812">
        <f>Overview!$E$7</f>
        <v/>
      </c>
      <c r="BL162" s="117"/>
      <c r="BM162" s="836">
        <f>CW162</f>
        <v/>
      </c>
      <c r="BN162" s="812">
        <f>Overview!$P$153</f>
        <v/>
      </c>
      <c r="BO162" s="117"/>
      <c r="BP162" s="117"/>
      <c r="BQ162" s="115"/>
      <c r="BR162" s="1478" t="inlineStr">
        <is>
          <t>N/A</t>
        </is>
      </c>
      <c r="BS162" s="1548"/>
      <c r="BT162" s="1783" t="inlineStr">
        <is>
          <t>GSM</t>
        </is>
      </c>
      <c r="BU162" s="1783">
        <v>900</v>
      </c>
      <c r="BV162" s="400">
        <f>Overview!$H$31</f>
        <v/>
      </c>
      <c r="BW162" s="2010"/>
      <c r="BX162" s="1783"/>
      <c r="BY162" s="2040"/>
      <c r="BZ162" s="2040"/>
      <c r="CA162" s="1997" t="inlineStr">
        <is>
          <t>Bottom Edge</t>
        </is>
      </c>
      <c r="CB162" s="200">
        <v>5</v>
      </c>
      <c r="CC162" s="1063">
        <f>'2G-3G'!BX24</f>
        <v>37</v>
      </c>
      <c r="CD162" s="1063">
        <f>'2G-3G'!BY24</f>
        <v>897.4</v>
      </c>
      <c r="CE162" s="1523"/>
      <c r="CF162" s="1523"/>
      <c r="CG162" s="387" t="str">
        <f>IF(OR($BY$3="",$BY$3=""),"",$BY$3)</f>
        <v/>
      </c>
      <c r="CH162" s="387">
        <f>BZ162</f>
        <v/>
      </c>
      <c r="CI162" s="387">
        <f>CA162</f>
        <v/>
      </c>
      <c r="CJ162" s="1527"/>
      <c r="CK162" s="2042"/>
      <c r="CL162" s="206">
        <f>IF(CF162=""," ",IF(ABS(CE162-CF162)&lt;=0.25,"Valid","Not valid"))</f>
        <v/>
      </c>
      <c r="CM162" s="207">
        <f> IF(CE162="","",IF(AND(CE162&lt;&gt;"",CF162=""),IF(CE162&gt;=2,"Medir+Sig Max","No"),IF(CF162&lt;&gt;"",IF(CF162&gt;=2,"Medir+Sig Max","No"),"")))</f>
        <v/>
      </c>
      <c r="CN162" s="1787"/>
      <c r="CO162" s="220">
        <f>IF(CK162="",IF(AND(CE162="",CF162=""),"",IF(CF162="",IF(DE162&gt;1,ROUND(DE162*CE162,3),CE162),IF(DE162&gt;1,ROUND(DE162*CF162,3),CF162))),IF(AND(CE162="",CF162=""),"",IF(CF162="",IF(DE162&gt;1,ROUND(DE162*CE162*(1/(CK162)),3),CE162*(1/(CK162))),IF(DE162&gt;1,ROUND(DE162*CF162*(1/(CK162)),3),CF162*(1/(CK162))))))</f>
        <v/>
      </c>
      <c r="CP162" s="2043">
        <f>$CP$34</f>
        <v/>
      </c>
      <c r="CQ162" s="1472">
        <f>IF(CO162="","",IF(CO162&gt;CP162,"Fail","Pass"))</f>
        <v/>
      </c>
      <c r="CR162" s="1481">
        <f>IF(AND(MAX(CO157:CO164)=CO162,CO162&lt;&gt;0),COUNT($CR$3:CR161)+1,"")</f>
        <v/>
      </c>
      <c r="CS162" s="1565">
        <f>MyTimestamp(CO162)</f>
        <v/>
      </c>
      <c r="CT162" s="1531">
        <f>IF(CE162="",0,15)+IF(CF162="",0,15)</f>
        <v/>
      </c>
      <c r="CU162" s="1532">
        <f>IF(CT162=0,0,2)</f>
        <v/>
      </c>
      <c r="CV162" s="859" t="inlineStr">
        <is>
          <t>S/02</t>
        </is>
      </c>
      <c r="CW162" s="859" t="inlineStr">
        <is>
          <t>Dasy6</t>
        </is>
      </c>
      <c r="CX162" s="2038"/>
      <c r="CY162" s="2044"/>
      <c r="CZ162" s="1543">
        <f>10^(CJ162/20)*100-100</f>
        <v/>
      </c>
      <c r="DA162" s="1319">
        <f>IF('Tune-Up'!$H$12="","",'Tune-Up'!$H$12)</f>
        <v/>
      </c>
      <c r="DB162" s="695">
        <f>'2G-3G'!BZ24</f>
        <v/>
      </c>
      <c r="DC162" s="797">
        <f>IF(DA162="","",10^(DA162/10))</f>
        <v/>
      </c>
      <c r="DD162" s="1363">
        <f>IF(ISNUMBER(DB162)=FALSE,"",10^(DB162/10))</f>
        <v/>
      </c>
      <c r="DE162" s="1543">
        <f>IF(AND(ISNUMBER(DC162),ISNUMBER(DD162)),IF(DC162/DD162&gt;1,ROUND((DC162)/DD162,3),1),1)</f>
        <v/>
      </c>
      <c r="DF162" s="1541"/>
      <c r="DG162" s="1541"/>
      <c r="DH162" s="1541"/>
      <c r="DI162" s="1541"/>
      <c r="DJ162" s="1541"/>
      <c r="DK162" s="1541"/>
      <c r="DL162" s="1541"/>
      <c r="DM162" s="1541"/>
      <c r="DN162" s="1541"/>
      <c r="DO162" s="1541"/>
      <c r="DP162" s="1541"/>
      <c r="DQ162" s="1541"/>
      <c r="DR162" s="1541"/>
    </row>
    <row r="163" ht="12.75" x14ac:dyDescent="0.2">
      <c r="A163" s="1541"/>
      <c r="B163" s="1541"/>
      <c r="C163"/>
      <c r="D163" s="130">
        <f>IF(BX$157="Close to Ear","EN 62209-1","EN 62209-2")</f>
        <v/>
      </c>
      <c r="E163" s="130">
        <f>IF(CG163="Close to Ear","2016","2010/A1:2019")</f>
        <v/>
      </c>
      <c r="F163" s="1488" t="inlineStr">
        <is>
          <t>5.1</t>
        </is>
      </c>
      <c r="G163" s="1497"/>
      <c r="H163" s="120">
        <f>BV163</f>
        <v/>
      </c>
      <c r="I163" s="120">
        <f>BW163</f>
        <v/>
      </c>
      <c r="J163" s="687" t="str">
        <f>BT163</f>
        <v>GSM</v>
      </c>
      <c r="K163" s="194">
        <f>BU163</f>
        <v>900</v>
      </c>
      <c r="L163" s="115"/>
      <c r="M163" s="120">
        <f>BZ163</f>
        <v>0</v>
      </c>
      <c r="N163" s="119"/>
      <c r="O163" s="131"/>
      <c r="P163" s="6597"/>
      <c r="Q163" s="131"/>
      <c r="R163" s="131"/>
      <c r="S163" s="120">
        <f>CG163</f>
        <v>0</v>
      </c>
      <c r="T163" s="120">
        <f>CC163</f>
        <v>975</v>
      </c>
      <c r="U163" s="120">
        <f>CD163</f>
        <v>880.2</v>
      </c>
      <c r="V163" s="119"/>
      <c r="W163" s="197">
        <f>CK163*100</f>
        <v/>
      </c>
      <c r="X163" s="119"/>
      <c r="Y163" s="119"/>
      <c r="Z163" s="119"/>
      <c r="AA163" s="115"/>
      <c r="AB163" s="115"/>
      <c r="AC163" s="689">
        <f>IF(OR(BX$157="Close to Ear",BX$157="Close to Head"),"Head",IF(BX$157="Extremity","Extremity","Body"))</f>
        <v/>
      </c>
      <c r="AD163" s="690">
        <f>CA163</f>
        <v/>
      </c>
      <c r="AE163" s="688">
        <f>CB163</f>
        <v/>
      </c>
      <c r="AF163" s="115"/>
      <c r="AG163" s="808">
        <f>IF(AZ163="","N/A",IF(CQ163="Pass","P","F"))</f>
        <v/>
      </c>
      <c r="AH163" s="129"/>
      <c r="AI163" s="129"/>
      <c r="AJ163" s="129"/>
      <c r="AK163" s="119"/>
      <c r="AL163" s="115"/>
      <c r="AM163" s="119"/>
      <c r="AN163" s="119"/>
      <c r="AO163" s="692"/>
      <c r="AP163" s="692"/>
      <c r="AQ163" s="692"/>
      <c r="AR163" s="692"/>
      <c r="AS163" s="692"/>
      <c r="AT163" s="691">
        <f>CE163</f>
        <v/>
      </c>
      <c r="AU163" s="691">
        <f>CF163</f>
        <v/>
      </c>
      <c r="AV163" s="813"/>
      <c r="AW163" s="813"/>
      <c r="AX163" s="197">
        <f>CZ163</f>
        <v/>
      </c>
      <c r="AY163" s="197">
        <f>DE163</f>
        <v/>
      </c>
      <c r="AZ163" s="3379">
        <f>CO163</f>
        <v/>
      </c>
      <c r="BA163" s="3380"/>
      <c r="BB163" s="197">
        <f>CP163</f>
        <v/>
      </c>
      <c r="BC163" s="813"/>
      <c r="BD163" s="197">
        <f>CR163</f>
        <v/>
      </c>
      <c r="BE163" s="121">
        <f>CS163</f>
        <v/>
      </c>
      <c r="BF163" s="122">
        <f>CT163*60</f>
        <v/>
      </c>
      <c r="BG163" s="121">
        <f>BE163</f>
        <v/>
      </c>
      <c r="BH163" s="122">
        <f>CU163*60</f>
        <v/>
      </c>
      <c r="BI163" s="122">
        <f>CV163</f>
        <v/>
      </c>
      <c r="BJ163" s="117"/>
      <c r="BK163" s="812">
        <f>Overview!$E$7</f>
        <v/>
      </c>
      <c r="BL163" s="117"/>
      <c r="BM163" s="836">
        <f>CW163</f>
        <v/>
      </c>
      <c r="BN163" s="812">
        <f>Overview!$P$153</f>
        <v/>
      </c>
      <c r="BO163" s="117"/>
      <c r="BP163" s="117"/>
      <c r="BQ163" s="115"/>
      <c r="BR163" s="1478" t="inlineStr">
        <is>
          <t>N/A</t>
        </is>
      </c>
      <c r="BS163" s="1548"/>
      <c r="BT163" s="1783" t="inlineStr">
        <is>
          <t>GSM</t>
        </is>
      </c>
      <c r="BU163" s="1783">
        <v>900</v>
      </c>
      <c r="BV163" s="400">
        <f>Overview!$H$31</f>
        <v/>
      </c>
      <c r="BW163" s="2010"/>
      <c r="BX163" s="1783"/>
      <c r="BY163" s="2040"/>
      <c r="BZ163" s="2040"/>
      <c r="CA163" s="401" t="str">
        <f>IF(COUNT(CF157:CF162)=0,IF(COUNT(CE157:CE162)=0,"TBD",VLOOKUP(MAX(CE157:CE162),CE157:CI162,5,FALSE)),VLOOKUP(MAX(CF157:CF162),CF157:CI162,4,FALSE))</f>
        <v>TBD</v>
      </c>
      <c r="CB163" s="200">
        <v>5</v>
      </c>
      <c r="CC163" s="1063">
        <f>'2G-3G'!BX25</f>
        <v>975</v>
      </c>
      <c r="CD163" s="1063">
        <f>'2G-3G'!BY25</f>
        <v>880.2</v>
      </c>
      <c r="CE163" s="1523"/>
      <c r="CF163" s="1523"/>
      <c r="CG163" s="387" t="str">
        <f>IF(OR($BY$3="",$BY$3=""),"",$BY$3)</f>
        <v/>
      </c>
      <c r="CH163" s="387">
        <f>BZ163</f>
        <v/>
      </c>
      <c r="CI163" s="387">
        <f>CA163</f>
        <v/>
      </c>
      <c r="CJ163" s="1527"/>
      <c r="CK163" s="2042"/>
      <c r="CL163" s="206">
        <f>IF(CF163=""," ",IF(ABS(CE163-CF163)&lt;=0.25,"Valid","Not valid"))</f>
        <v/>
      </c>
      <c r="CM163" s="207">
        <f> IF(CE163="","",IF(AND(CE163&lt;&gt;"",CF163=""),IF(CE163&gt;=2,"Medir+Sig Max","No"),IF(CF163&lt;&gt;"",IF(CF163&gt;=2,"Medir+Sig Max","No"),"")))</f>
        <v/>
      </c>
      <c r="CN163" s="1787"/>
      <c r="CO163" s="220">
        <f>IF(CK163="",IF(AND(CE163="",CF163=""),"",IF(CF163="",IF(DE163&gt;1,ROUND(DE163*CE163,3),CE163),IF(DE163&gt;1,ROUND(DE163*CF163,3),CF163))),IF(AND(CE163="",CF163=""),"",IF(CF163="",IF(DE163&gt;1,ROUND(DE163*CE163*(1/(CK163)),3),CE163*(1/(CK163))),IF(DE163&gt;1,ROUND(DE163*CF163*(1/(CK163)),3),CF163*(1/(CK163))))))</f>
        <v/>
      </c>
      <c r="CP163" s="2043">
        <f>$CP$34</f>
        <v/>
      </c>
      <c r="CQ163" s="1472">
        <f>IF(CO163="","",IF(CO163&gt;CP163,"Fail","Pass"))</f>
        <v/>
      </c>
      <c r="CR163" s="1481">
        <f>IF(AND(MAX(CO157:CO164)=CO163,CO163&lt;&gt;0),COUNT($CR$3:CR162)+1,"")</f>
        <v/>
      </c>
      <c r="CS163" s="1565">
        <f>MyTimestamp(CO163)</f>
        <v/>
      </c>
      <c r="CT163" s="1531">
        <f>IF(CE163="",0,15)+IF(CF163="",0,15)</f>
        <v/>
      </c>
      <c r="CU163" s="1532">
        <f>IF(CT163=0,0,2)</f>
        <v/>
      </c>
      <c r="CV163" s="859" t="inlineStr">
        <is>
          <t>S/02</t>
        </is>
      </c>
      <c r="CW163" s="859" t="inlineStr">
        <is>
          <t>Dasy6</t>
        </is>
      </c>
      <c r="CX163" s="2038"/>
      <c r="CY163" s="2044"/>
      <c r="CZ163" s="1543">
        <f>10^(CJ163/20)*100-100</f>
        <v/>
      </c>
      <c r="DA163" s="1319">
        <f>IF('Tune-Up'!$H$12="","",'Tune-Up'!$H$12)</f>
        <v/>
      </c>
      <c r="DB163" s="695">
        <f>'2G-3G'!BZ25</f>
        <v/>
      </c>
      <c r="DC163" s="797">
        <f>IF(DA163="","",10^(DA163/10))</f>
        <v/>
      </c>
      <c r="DD163" s="1363">
        <f>IF(ISNUMBER(DB163)=FALSE,"",10^(DB163/10))</f>
        <v/>
      </c>
      <c r="DE163" s="1543">
        <f>IF(AND(ISNUMBER(DC163),ISNUMBER(DD163)),IF(DC163/DD163&gt;1,ROUND((DC163)/DD163,3),1),1)</f>
        <v/>
      </c>
      <c r="DF163" s="1541"/>
      <c r="DG163" s="1541"/>
      <c r="DH163" s="1541"/>
      <c r="DI163" s="1541"/>
      <c r="DJ163" s="1541"/>
      <c r="DK163" s="1541"/>
      <c r="DL163" s="1541"/>
      <c r="DM163" s="1541"/>
      <c r="DN163" s="1541"/>
      <c r="DO163" s="1541"/>
      <c r="DP163" s="1541"/>
      <c r="DQ163" s="1541"/>
      <c r="DR163" s="1541"/>
    </row>
    <row r="164" ht="12.75" x14ac:dyDescent="0.2">
      <c r="A164" s="1541"/>
      <c r="B164" s="1541"/>
      <c r="C164"/>
      <c r="D164" s="130">
        <f>IF(BX$157="Close to Ear","EN 62209-1","EN 62209-2")</f>
        <v/>
      </c>
      <c r="E164" s="130">
        <f>IF(CG164="Close to Ear","2016","2010/A1:2019")</f>
        <v/>
      </c>
      <c r="F164" s="1488" t="inlineStr">
        <is>
          <t>5.1</t>
        </is>
      </c>
      <c r="G164" s="1497"/>
      <c r="H164" s="120">
        <f>BV164</f>
        <v/>
      </c>
      <c r="I164" s="120">
        <f>BW164</f>
        <v/>
      </c>
      <c r="J164" s="687" t="str">
        <f>BT164</f>
        <v>GSM</v>
      </c>
      <c r="K164" s="194">
        <f>BU164</f>
        <v>900</v>
      </c>
      <c r="L164" s="115"/>
      <c r="M164" s="120">
        <f>BZ164</f>
        <v>0</v>
      </c>
      <c r="N164" s="119"/>
      <c r="O164" s="131"/>
      <c r="P164" s="6597"/>
      <c r="Q164" s="131"/>
      <c r="R164" s="131"/>
      <c r="S164" s="120">
        <f>CG164</f>
        <v>0</v>
      </c>
      <c r="T164" s="120">
        <f>CC164</f>
        <v>124</v>
      </c>
      <c r="U164" s="120">
        <f>CD164</f>
        <v>914.8</v>
      </c>
      <c r="V164" s="119"/>
      <c r="W164" s="197">
        <f>CK164*100</f>
        <v/>
      </c>
      <c r="X164" s="119"/>
      <c r="Y164" s="119"/>
      <c r="Z164" s="119"/>
      <c r="AA164" s="115"/>
      <c r="AB164" s="115"/>
      <c r="AC164" s="689">
        <f>IF(OR(BX$157="Close to Ear",BX$157="Close to Head"),"Head",IF(BX$157="Extremity","Extremity","Body"))</f>
        <v/>
      </c>
      <c r="AD164" s="690">
        <f>CA164</f>
        <v/>
      </c>
      <c r="AE164" s="688">
        <f>CB164</f>
        <v/>
      </c>
      <c r="AF164" s="115"/>
      <c r="AG164" s="808">
        <f>IF(AZ164="","N/A",IF(CQ164="Pass","P","F"))</f>
        <v/>
      </c>
      <c r="AH164" s="129"/>
      <c r="AI164" s="129"/>
      <c r="AJ164" s="129"/>
      <c r="AK164" s="119"/>
      <c r="AL164" s="115"/>
      <c r="AM164" s="119"/>
      <c r="AN164" s="119"/>
      <c r="AO164" s="692"/>
      <c r="AP164" s="692"/>
      <c r="AQ164" s="692"/>
      <c r="AR164" s="692"/>
      <c r="AS164" s="692"/>
      <c r="AT164" s="691">
        <f>CE164</f>
        <v/>
      </c>
      <c r="AU164" s="691">
        <f>CF164</f>
        <v/>
      </c>
      <c r="AV164" s="813"/>
      <c r="AW164" s="813"/>
      <c r="AX164" s="197">
        <f>CZ164</f>
        <v/>
      </c>
      <c r="AY164" s="197">
        <f>DE164</f>
        <v/>
      </c>
      <c r="AZ164" s="3379">
        <f>CO164</f>
        <v/>
      </c>
      <c r="BA164" s="3380"/>
      <c r="BB164" s="197">
        <f>CP164</f>
        <v/>
      </c>
      <c r="BC164" s="813"/>
      <c r="BD164" s="197">
        <f>CR164</f>
        <v/>
      </c>
      <c r="BE164" s="121">
        <f>CS164</f>
        <v/>
      </c>
      <c r="BF164" s="122">
        <f>CT164*60</f>
        <v/>
      </c>
      <c r="BG164" s="121">
        <f>BE164</f>
        <v/>
      </c>
      <c r="BH164" s="122">
        <f>CU164*60</f>
        <v/>
      </c>
      <c r="BI164" s="122">
        <f>CV164</f>
        <v/>
      </c>
      <c r="BJ164" s="117"/>
      <c r="BK164" s="812">
        <f>Overview!$E$7</f>
        <v/>
      </c>
      <c r="BL164" s="117"/>
      <c r="BM164" s="836">
        <f>CW164</f>
        <v/>
      </c>
      <c r="BN164" s="812">
        <f>Overview!$P$153</f>
        <v/>
      </c>
      <c r="BO164" s="117"/>
      <c r="BP164" s="117"/>
      <c r="BQ164" s="115"/>
      <c r="BR164" s="1478" t="inlineStr">
        <is>
          <t>N/A</t>
        </is>
      </c>
      <c r="BS164" s="1548"/>
      <c r="BT164" s="1800" t="inlineStr">
        <is>
          <t>GSM</t>
        </is>
      </c>
      <c r="BU164" s="1800">
        <v>900</v>
      </c>
      <c r="BV164" s="406">
        <f>Overview!$H$31</f>
        <v/>
      </c>
      <c r="BW164" s="2016"/>
      <c r="BX164" s="1800"/>
      <c r="BY164" s="2057"/>
      <c r="BZ164" s="2040"/>
      <c r="CA164" s="404" t="str">
        <f>IF(COUNT(CF157:CF162)=0,IF(COUNT(CE157:CE162)=0,"TBD",VLOOKUP(MAX(CE157:CE162),CE157:CI162,5,FALSE)),VLOOKUP(MAX(CF157:CF162),CF157:CI162,4,FALSE))</f>
        <v>TBD</v>
      </c>
      <c r="CB164" s="201">
        <v>5</v>
      </c>
      <c r="CC164" s="1081">
        <f>'2G-3G'!BX26</f>
        <v>124</v>
      </c>
      <c r="CD164" s="1081">
        <f>'2G-3G'!BY26</f>
        <v>914.8</v>
      </c>
      <c r="CE164" s="1874"/>
      <c r="CF164" s="1874"/>
      <c r="CG164" s="388" t="str">
        <f>IF(OR($BY$3="",$BY$3=""),"",$BY$3)</f>
        <v/>
      </c>
      <c r="CH164" s="388">
        <f>BZ164</f>
        <v/>
      </c>
      <c r="CI164" s="388">
        <f>CA164</f>
        <v/>
      </c>
      <c r="CJ164" s="2046"/>
      <c r="CK164" s="2047"/>
      <c r="CL164" s="212">
        <f>IF(CF164=""," ",IF(ABS(CE164-CF164)&lt;=0.25,"Valid","Not valid"))</f>
        <v/>
      </c>
      <c r="CM164" s="213">
        <f> IF(CE164="","",IF(AND(CE164&lt;&gt;"",CF164=""),IF(CE164&gt;=2,"Medir+Sig Max","No"),IF(CF164&lt;&gt;"",IF(CF164&gt;=2,"Medir+Sig Max","No"),"")))</f>
        <v/>
      </c>
      <c r="CN164" s="1794"/>
      <c r="CO164" s="221">
        <f>IF(CK164="",IF(AND(CE164="",CF164=""),"",IF(CF164="",IF(DE164&gt;1,ROUND(DE164*CE164,3),CE164),IF(DE164&gt;1,ROUND(DE164*CF164,3),CF164))),IF(AND(CE164="",CF164=""),"",IF(CF164="",IF(DE164&gt;1,ROUND(DE164*CE164*(1/(CK164)),3),CE164*(1/(CK164))),IF(DE164&gt;1,ROUND(DE164*CF164*(1/(CK164)),3),CF164*(1/(CK164))))))</f>
        <v/>
      </c>
      <c r="CP164" s="2048">
        <f>$CP$34</f>
        <v/>
      </c>
      <c r="CQ164" s="1473">
        <f>IF(CO164="","",IF(CO164&gt;CP164,"Fail","Pass"))</f>
        <v/>
      </c>
      <c r="CR164" s="1482">
        <f>IF(AND(MAX(CO157:CO164)=CO164,CO164&lt;&gt;0),COUNT($CR$3:CR163)+1,"")</f>
        <v/>
      </c>
      <c r="CS164" s="1566">
        <f>MyTimestamp(CO164)</f>
        <v/>
      </c>
      <c r="CT164" s="1535">
        <f>IF(CE164="",0,15)+IF(CF164="",0,15)</f>
        <v/>
      </c>
      <c r="CU164" s="1536">
        <f>IF(CT164=0,0,2)</f>
        <v/>
      </c>
      <c r="CV164" s="861" t="inlineStr">
        <is>
          <t>S/02</t>
        </is>
      </c>
      <c r="CW164" s="861" t="inlineStr">
        <is>
          <t>Dasy6</t>
        </is>
      </c>
      <c r="CX164" s="2038"/>
      <c r="CY164" s="2050"/>
      <c r="CZ164" s="1545">
        <f>10^(CJ164/20)*100-100</f>
        <v/>
      </c>
      <c r="DA164" s="1320">
        <f>IF('Tune-Up'!$H$12="","",'Tune-Up'!$H$12)</f>
        <v/>
      </c>
      <c r="DB164" s="696">
        <f>'2G-3G'!BZ26</f>
        <v/>
      </c>
      <c r="DC164" s="798">
        <f>IF(DA164="","",10^(DA164/10))</f>
        <v/>
      </c>
      <c r="DD164" s="1364">
        <f>IF(ISNUMBER(DB164)=FALSE,"",10^(DB164/10))</f>
        <v/>
      </c>
      <c r="DE164" s="1545">
        <f>IF(AND(ISNUMBER(DC164),ISNUMBER(DD164)),IF(DC164/DD164&gt;1,ROUND((DC164)/DD164,3),1),1)</f>
        <v/>
      </c>
      <c r="DF164" s="1541"/>
      <c r="DG164" s="1541"/>
      <c r="DH164" s="1541"/>
      <c r="DI164" s="1541"/>
      <c r="DJ164" s="1541"/>
      <c r="DK164" s="1541"/>
      <c r="DL164" s="1541"/>
      <c r="DM164" s="1541"/>
      <c r="DN164" s="1541"/>
      <c r="DO164" s="1541"/>
      <c r="DP164" s="1541"/>
      <c r="DQ164" s="1541"/>
      <c r="DR164" s="1541"/>
    </row>
    <row r="165" ht="12.75" x14ac:dyDescent="0.2">
      <c r="A165" s="1541"/>
      <c r="B165" s="1541"/>
      <c r="C165"/>
      <c r="D165" s="130">
        <f>IF(BX$157="Close to Ear","EN 62209-1","EN 62209-2")</f>
        <v/>
      </c>
      <c r="E165" s="130">
        <f>IF(CG165="Close to Ear","2016","2010/A1:2019")</f>
        <v/>
      </c>
      <c r="F165" s="1488" t="inlineStr">
        <is>
          <t>5.1</t>
        </is>
      </c>
      <c r="G165" s="1497"/>
      <c r="H165" s="120">
        <f>BV165</f>
        <v/>
      </c>
      <c r="I165" s="120">
        <f>BW165</f>
        <v/>
      </c>
      <c r="J165" s="687">
        <f>BT165</f>
        <v/>
      </c>
      <c r="K165" s="194">
        <f>BU165</f>
        <v/>
      </c>
      <c r="L165" s="115"/>
      <c r="M165" s="120">
        <f>BZ165</f>
        <v/>
      </c>
      <c r="N165" s="119"/>
      <c r="O165" s="131"/>
      <c r="P165" s="6597"/>
      <c r="Q165" s="131"/>
      <c r="R165" s="131"/>
      <c r="S165" s="120">
        <f>CG165</f>
        <v/>
      </c>
      <c r="T165" s="120">
        <f>CC165</f>
        <v/>
      </c>
      <c r="U165" s="120">
        <f>CD165</f>
        <v/>
      </c>
      <c r="V165" s="119"/>
      <c r="W165" s="197">
        <f>CK165*100</f>
        <v/>
      </c>
      <c r="X165" s="119"/>
      <c r="Y165" s="119"/>
      <c r="Z165" s="119"/>
      <c r="AA165" s="115"/>
      <c r="AB165" s="115"/>
      <c r="AC165" s="689">
        <f>IF(OR(BX$157="Close to Ear",BX$157="Close to Head"),"Head",IF(BX$157="Extremity","Extremity","Body"))</f>
        <v/>
      </c>
      <c r="AD165" s="690">
        <f>CA165</f>
        <v/>
      </c>
      <c r="AE165" s="688">
        <f>CB165</f>
        <v/>
      </c>
      <c r="AF165" s="115"/>
      <c r="AG165" s="808">
        <f>IF(AZ165="","N/A",IF(CQ165="Pass","P","F"))</f>
        <v/>
      </c>
      <c r="AH165" s="129"/>
      <c r="AI165" s="129"/>
      <c r="AJ165" s="129"/>
      <c r="AK165" s="119"/>
      <c r="AL165" s="115"/>
      <c r="AM165" s="119"/>
      <c r="AN165" s="119"/>
      <c r="AO165" s="692"/>
      <c r="AP165" s="692"/>
      <c r="AQ165" s="692"/>
      <c r="AR165" s="692"/>
      <c r="AS165" s="692"/>
      <c r="AT165" s="691">
        <f>CE165</f>
        <v/>
      </c>
      <c r="AU165" s="691">
        <f>CF165</f>
        <v/>
      </c>
      <c r="AV165" s="813"/>
      <c r="AW165" s="813"/>
      <c r="AX165" s="197">
        <f>CZ165</f>
        <v/>
      </c>
      <c r="AY165" s="197">
        <f>DE165</f>
        <v/>
      </c>
      <c r="AZ165" s="3379">
        <f>CO165</f>
        <v/>
      </c>
      <c r="BA165" s="3380"/>
      <c r="BB165" s="197">
        <f>CP165</f>
        <v/>
      </c>
      <c r="BC165" s="813"/>
      <c r="BD165" s="197">
        <f>CR165</f>
        <v/>
      </c>
      <c r="BE165" s="121">
        <f>CS165</f>
        <v/>
      </c>
      <c r="BF165" s="122">
        <f>CT165*60</f>
        <v/>
      </c>
      <c r="BG165" s="121">
        <f>BE165</f>
        <v/>
      </c>
      <c r="BH165" s="122">
        <f>CU165*60</f>
        <v/>
      </c>
      <c r="BI165" s="122">
        <f>CV165</f>
        <v/>
      </c>
      <c r="BJ165" s="117"/>
      <c r="BK165" s="812">
        <f>Overview!$E$7</f>
        <v/>
      </c>
      <c r="BL165" s="117"/>
      <c r="BM165" s="836">
        <f>CW165</f>
        <v/>
      </c>
      <c r="BN165" s="812">
        <f>Overview!$P$153</f>
        <v/>
      </c>
      <c r="BO165" s="117"/>
      <c r="BP165" s="117"/>
      <c r="BQ165" s="115"/>
      <c r="BR165" s="1478" t="inlineStr">
        <is>
          <t>N/A</t>
        </is>
      </c>
      <c r="BS165" s="1548"/>
      <c r="BT165" s="1800" t="inlineStr">
        <is>
          <t>GSM</t>
        </is>
      </c>
      <c r="BU165" s="1800">
        <v>900</v>
      </c>
      <c r="BV165" s="406">
        <f>Overview!$H$31</f>
        <v/>
      </c>
      <c r="BW165" s="2016"/>
      <c r="BX165" s="1800"/>
      <c r="BY165" s="2057"/>
      <c r="BZ165" s="2040"/>
      <c r="CA165" s="404" t="str">
        <f>CONCATENATE(CA163," - Battery check 1")</f>
        <v>TBD - Battery check 1</v>
      </c>
      <c r="CB165" s="201">
        <v>5</v>
      </c>
      <c r="CC165" s="1081">
        <f>IF(COUNT($CO$157:$CO$164)=0,"N/A",INDEX($CC$157:$CC$164,MATCH(MAX($CO$157:$CO$164),$CO$157:$CO$164,0)))</f>
        <v/>
      </c>
      <c r="CD165" s="1081">
        <f>IF(COUNT($CO$157:$CO$164)=0,"N/A",INDEX($CD$157:$CD$164,MATCH(MAX($CO$157:$CO$164),$CO$157:$CO$164,0)))</f>
        <v/>
      </c>
      <c r="CE165" s="1874"/>
      <c r="CF165" s="1874"/>
      <c r="CG165" s="388" t="inlineStr">
        <is>
          <t>N/A</t>
        </is>
      </c>
      <c r="CH165" s="388">
        <f>BZ165</f>
        <v/>
      </c>
      <c r="CI165" s="388">
        <f>CA165</f>
        <v/>
      </c>
      <c r="CJ165" s="2046"/>
      <c r="CK165" s="2047"/>
      <c r="CL165" s="212">
        <f>IF(CF165=""," ",IF(ABS(CE165-CF165)&lt;=0.25,"Valid","Not valid"))</f>
        <v/>
      </c>
      <c r="CM165" s="213">
        <f> IF(CE165="","",IF(AND(CE165&lt;&gt;"",CF165=""),IF(CE165&gt;=2,"Medir+Sig Max","No"),IF(CF165&lt;&gt;"",IF(CF165&gt;=2,"Medir+Sig Max","No"),"")))</f>
        <v/>
      </c>
      <c r="CN165" s="1794"/>
      <c r="CO165" s="221">
        <f>IF(CK165="",IF(AND(CE165="",CF165=""),"",IF(CF165="",IF(DE165&gt;1,ROUND(DE165*CE165,3),CE165),IF(DE165&gt;1,ROUND(DE165*CF165,3),CF165))),IF(AND(CE165="",CF165=""),"",IF(CF165="",IF(DE165&gt;1,ROUND(DE165*CE165*(1/(CK165)),3),CE165*(1/(CK165))),IF(DE165&gt;1,ROUND(DE165*CF165*(1/(CK165)),3),CF165*(1/(CK165))))))</f>
        <v/>
      </c>
      <c r="CP165" s="2048">
        <f>$CP$34</f>
        <v/>
      </c>
      <c r="CQ165" s="1473">
        <f>IF(CO165="","",IF(CO165&gt;CP165,"Fail","Pass"))</f>
        <v/>
      </c>
      <c r="CR165" s="1482">
        <f>IF(CO165&lt;&gt;"",MAX($CR$3:CR164)+1,"")</f>
        <v/>
      </c>
      <c r="CS165" s="1566">
        <f>MyTimestamp(CQ165)</f>
        <v/>
      </c>
      <c r="CT165" s="1535">
        <f>IF(COUNT(CE165:CF165)=1,15,IF(COUNT(CE165:CF165)=0,0,30))</f>
        <v/>
      </c>
      <c r="CU165" s="1536">
        <f>IF(CT165=0,0,2)</f>
        <v/>
      </c>
      <c r="CV165" s="861" t="inlineStr">
        <is>
          <t>S/02</t>
        </is>
      </c>
      <c r="CW165" s="861" t="inlineStr">
        <is>
          <t>Dasy6</t>
        </is>
      </c>
      <c r="CX165" s="2038"/>
      <c r="CY165" s="2050"/>
      <c r="CZ165" s="1545">
        <f>10^(CJ165/20)*100-100</f>
        <v/>
      </c>
      <c r="DA165" s="1320">
        <f>IF('Tune-Up'!$H$12="","",'Tune-Up'!$H$12)</f>
        <v/>
      </c>
      <c r="DB165" s="696">
        <f>IF(COUNT($CO$157:$CO$164)=0,"N/A",IFERROR(INDEX($DB$157:$DB$164,MATCH(MAX($CO$157:$CO$164),$CO$157:$CO$164,0)),"N/A"))</f>
        <v/>
      </c>
      <c r="DC165" s="798">
        <f>IF(DA165="","",10^(DA165/10))</f>
        <v/>
      </c>
      <c r="DD165" s="1364">
        <f>IF(ISNUMBER(DB165)=FALSE,"N/A",10^(DB165/10))</f>
        <v/>
      </c>
      <c r="DE165" s="1545">
        <f>IF(AND(ISNUMBER(DC165),ISNUMBER(DD165)),IF(DC165/DD165&gt;1,ROUND((DC165)/DD165,3),1),1)</f>
        <v/>
      </c>
      <c r="DF165" s="1541"/>
      <c r="DG165" s="1541"/>
      <c r="DH165" s="1541"/>
      <c r="DI165" s="1541"/>
      <c r="DJ165" s="1541"/>
      <c r="DK165" s="1541"/>
      <c r="DL165" s="1541"/>
      <c r="DM165" s="1541"/>
      <c r="DN165" s="1541"/>
      <c r="DO165" s="1541"/>
      <c r="DP165" s="1541"/>
      <c r="DQ165" s="1541"/>
      <c r="DR165" s="1541"/>
    </row>
    <row r="166" ht="12.75" x14ac:dyDescent="0.2">
      <c r="A166" s="1541"/>
      <c r="B166" s="1541"/>
      <c r="C166"/>
      <c r="D166" s="130">
        <f>IF(BX$157="Close to Ear","EN 62209-1","EN 62209-2")</f>
        <v/>
      </c>
      <c r="E166" s="130">
        <f>IF(CG166="Close to Ear","2016","2010/A1:2019")</f>
        <v/>
      </c>
      <c r="F166" s="1488" t="inlineStr">
        <is>
          <t>5.1</t>
        </is>
      </c>
      <c r="G166" s="1497"/>
      <c r="H166" s="120">
        <f>BV166</f>
        <v/>
      </c>
      <c r="I166" s="120">
        <f>BW166</f>
        <v/>
      </c>
      <c r="J166" s="687">
        <f>BT166</f>
        <v/>
      </c>
      <c r="K166" s="194">
        <f>BU166</f>
        <v/>
      </c>
      <c r="L166" s="115"/>
      <c r="M166" s="120">
        <f>BZ166</f>
        <v/>
      </c>
      <c r="N166" s="119"/>
      <c r="O166" s="131"/>
      <c r="P166" s="6597"/>
      <c r="Q166" s="131"/>
      <c r="R166" s="131"/>
      <c r="S166" s="120">
        <f>CG166</f>
        <v/>
      </c>
      <c r="T166" s="120">
        <f>CC166</f>
        <v/>
      </c>
      <c r="U166" s="120">
        <f>CD166</f>
        <v/>
      </c>
      <c r="V166" s="119"/>
      <c r="W166" s="197">
        <f>CK166*100</f>
        <v/>
      </c>
      <c r="X166" s="119"/>
      <c r="Y166" s="119"/>
      <c r="Z166" s="119"/>
      <c r="AA166" s="115"/>
      <c r="AB166" s="115"/>
      <c r="AC166" s="689">
        <f>IF(OR(BX$157="Close to Ear",BX$157="Close to Head"),"Head",IF(BX$157="Extremity","Extremity","Body"))</f>
        <v/>
      </c>
      <c r="AD166" s="690">
        <f>CA166</f>
        <v/>
      </c>
      <c r="AE166" s="688">
        <f>CB166</f>
        <v/>
      </c>
      <c r="AF166" s="115"/>
      <c r="AG166" s="808">
        <f>IF(AZ166="","N/A",IF(CQ166="Pass","P","F"))</f>
        <v/>
      </c>
      <c r="AH166" s="129"/>
      <c r="AI166" s="129"/>
      <c r="AJ166" s="129"/>
      <c r="AK166" s="119"/>
      <c r="AL166" s="115"/>
      <c r="AM166" s="119"/>
      <c r="AN166" s="119"/>
      <c r="AO166" s="692"/>
      <c r="AP166" s="692"/>
      <c r="AQ166" s="692"/>
      <c r="AR166" s="692"/>
      <c r="AS166" s="692"/>
      <c r="AT166" s="691">
        <f>CE166</f>
        <v/>
      </c>
      <c r="AU166" s="691">
        <f>CF166</f>
        <v/>
      </c>
      <c r="AV166" s="813"/>
      <c r="AW166" s="813"/>
      <c r="AX166" s="197">
        <f>CZ166</f>
        <v/>
      </c>
      <c r="AY166" s="197">
        <f>DE166</f>
        <v/>
      </c>
      <c r="AZ166" s="3379">
        <f>CO166</f>
        <v/>
      </c>
      <c r="BA166" s="3380"/>
      <c r="BB166" s="197">
        <f>CP166</f>
        <v/>
      </c>
      <c r="BC166" s="813"/>
      <c r="BD166" s="197">
        <f>CR166</f>
        <v/>
      </c>
      <c r="BE166" s="121">
        <f>CS166</f>
        <v/>
      </c>
      <c r="BF166" s="122">
        <f>CT166*60</f>
        <v/>
      </c>
      <c r="BG166" s="121">
        <f>BE166</f>
        <v/>
      </c>
      <c r="BH166" s="122">
        <f>CU166*60</f>
        <v/>
      </c>
      <c r="BI166" s="122">
        <f>CV166</f>
        <v/>
      </c>
      <c r="BJ166" s="117"/>
      <c r="BK166" s="812">
        <f>Overview!$E$7</f>
        <v/>
      </c>
      <c r="BL166" s="117"/>
      <c r="BM166" s="836">
        <f>CW166</f>
        <v/>
      </c>
      <c r="BN166" s="812">
        <f>Overview!$P$153</f>
        <v/>
      </c>
      <c r="BO166" s="117"/>
      <c r="BP166" s="117"/>
      <c r="BQ166" s="115"/>
      <c r="BR166" s="1478" t="inlineStr">
        <is>
          <t>N/A</t>
        </is>
      </c>
      <c r="BS166" s="1548"/>
      <c r="BT166" s="1800" t="inlineStr">
        <is>
          <t>GSM</t>
        </is>
      </c>
      <c r="BU166" s="1800">
        <v>900</v>
      </c>
      <c r="BV166" s="406">
        <f>Overview!$H$31</f>
        <v/>
      </c>
      <c r="BW166" s="2016"/>
      <c r="BX166" s="1800"/>
      <c r="BY166" s="2057"/>
      <c r="BZ166" s="2040"/>
      <c r="CA166" s="404" t="str">
        <f>CONCATENATE(CA164," - Battery check 2")</f>
        <v>TBD - Battery check 2</v>
      </c>
      <c r="CB166" s="201">
        <v>5</v>
      </c>
      <c r="CC166" s="1081">
        <f>IF(COUNT($CO$157:$CO$164)=0,"N/A",INDEX($CC$157:$CC$164,MATCH(MAX($CO$157:$CO$164),$CO$157:$CO$164,0)))</f>
        <v/>
      </c>
      <c r="CD166" s="1081">
        <f>IF(COUNT($CO$157:$CO$164)=0,"N/A",INDEX($CD$157:$CD$164,MATCH(MAX($CO$157:$CO$164),$CO$157:$CO$164,0)))</f>
        <v/>
      </c>
      <c r="CE166" s="1874"/>
      <c r="CF166" s="1874"/>
      <c r="CG166" s="388" t="inlineStr">
        <is>
          <t>N/A</t>
        </is>
      </c>
      <c r="CH166" s="388">
        <f>BZ166</f>
        <v/>
      </c>
      <c r="CI166" s="388">
        <f>CA166</f>
        <v/>
      </c>
      <c r="CJ166" s="2046"/>
      <c r="CK166" s="2047"/>
      <c r="CL166" s="212">
        <f>IF(CF166=""," ",IF(ABS(CE166-CF166)&lt;=0.25,"Valid","Not valid"))</f>
        <v/>
      </c>
      <c r="CM166" s="213">
        <f> IF(CE166="","",IF(AND(CE166&lt;&gt;"",CF166=""),IF(CE166&gt;=2,"Medir+Sig Max","No"),IF(CF166&lt;&gt;"",IF(CF166&gt;=2,"Medir+Sig Max","No"),"")))</f>
        <v/>
      </c>
      <c r="CN166" s="1794"/>
      <c r="CO166" s="221">
        <f>IF(CK166="",IF(AND(CE166="",CF166=""),"",IF(CF166="",IF(DE166&gt;1,ROUND(DE166*CE166,3),CE166),IF(DE166&gt;1,ROUND(DE166*CF166,3),CF166))),IF(AND(CE166="",CF166=""),"",IF(CF166="",IF(DE166&gt;1,ROUND(DE166*CE166*(1/(CK166)),3),CE166*(1/(CK166))),IF(DE166&gt;1,ROUND(DE166*CF166*(1/(CK166)),3),CF166*(1/(CK166))))))</f>
        <v/>
      </c>
      <c r="CP166" s="2048">
        <f>$CP$34</f>
        <v/>
      </c>
      <c r="CQ166" s="1473">
        <f>IF(CO166="","",IF(CO166&gt;CP166,"Fail","Pass"))</f>
        <v/>
      </c>
      <c r="CR166" s="1482">
        <f>IF(CO166&lt;&gt;"",MAX($CR$3:CR165)+1,"")</f>
        <v/>
      </c>
      <c r="CS166" s="1566">
        <f>MyTimestamp(CQ166)</f>
        <v/>
      </c>
      <c r="CT166" s="1535">
        <f>IF(COUNT(CE166:CF166)=1,15,IF(COUNT(CE166:CF166)=0,0,30))</f>
        <v/>
      </c>
      <c r="CU166" s="1536">
        <f>IF(CT166=0,0,2)</f>
        <v/>
      </c>
      <c r="CV166" s="861" t="inlineStr">
        <is>
          <t>S/02</t>
        </is>
      </c>
      <c r="CW166" s="861" t="inlineStr">
        <is>
          <t>Dasy6</t>
        </is>
      </c>
      <c r="CX166" s="2038"/>
      <c r="CY166" s="2050"/>
      <c r="CZ166" s="1545">
        <f>10^(CJ166/20)*100-100</f>
        <v/>
      </c>
      <c r="DA166" s="1320">
        <f>IF('Tune-Up'!$H$12="","",'Tune-Up'!$H$12)</f>
        <v/>
      </c>
      <c r="DB166" s="696">
        <f>IF(COUNT($CO$157:$CO$164)=0,"N/A",IFERROR(INDEX($DB$157:$DB$164,MATCH(MAX($CO$157:$CO$164),$CO$157:$CO$164,0)),"N/A"))</f>
        <v/>
      </c>
      <c r="DC166" s="798">
        <f>IF(DA166="","",10^(DA166/10))</f>
        <v/>
      </c>
      <c r="DD166" s="1364">
        <f>IF(ISNUMBER(DB166)=FALSE,"N/A",10^(DB166/10))</f>
        <v/>
      </c>
      <c r="DE166" s="1545">
        <f>IF(AND(ISNUMBER(DC166),ISNUMBER(DD166)),IF(DC166/DD166&gt;1,ROUND((DC166)/DD166,3),1),1)</f>
        <v/>
      </c>
      <c r="DF166" s="1541"/>
      <c r="DG166" s="1541"/>
      <c r="DH166" s="1541"/>
      <c r="DI166" s="1541"/>
      <c r="DJ166" s="1541"/>
      <c r="DK166" s="1541"/>
      <c r="DL166" s="1541"/>
      <c r="DM166" s="1541"/>
      <c r="DN166" s="1541"/>
      <c r="DO166" s="1541"/>
      <c r="DP166" s="1541"/>
      <c r="DQ166" s="1541"/>
      <c r="DR166" s="1541"/>
    </row>
    <row r="167" ht="12.75" x14ac:dyDescent="0.2">
      <c r="A167" s="1541"/>
      <c r="B167" s="1541"/>
      <c r="C167"/>
      <c r="D167" s="130">
        <f>IF(BX$167="Close to Ear","EN 62209-1","EN 62209-2")</f>
        <v/>
      </c>
      <c r="E167" s="130">
        <f>IF(CG167="Close to Ear","2016","2010/A1:2019")</f>
        <v/>
      </c>
      <c r="F167" s="1488" t="inlineStr">
        <is>
          <t>5.1</t>
        </is>
      </c>
      <c r="G167" s="1497"/>
      <c r="H167" s="120">
        <f>BV167</f>
        <v/>
      </c>
      <c r="I167" s="120">
        <f>BW167</f>
        <v/>
      </c>
      <c r="J167" s="687" t="str">
        <f>BT167</f>
        <v>GSM</v>
      </c>
      <c r="K167" s="194">
        <f>BU167</f>
        <v>1800</v>
      </c>
      <c r="L167" s="115"/>
      <c r="M167" s="120">
        <f>BZ167</f>
        <v>0</v>
      </c>
      <c r="N167" s="119"/>
      <c r="O167" s="131"/>
      <c r="P167" s="6597"/>
      <c r="Q167" s="131"/>
      <c r="R167" s="131"/>
      <c r="S167" s="120">
        <f>CG167</f>
        <v>0</v>
      </c>
      <c r="T167" s="120">
        <f>CC167</f>
        <v>698</v>
      </c>
      <c r="U167" s="120">
        <f>CD167</f>
        <v>1747.4</v>
      </c>
      <c r="V167" s="119"/>
      <c r="W167" s="197">
        <f>CK167*100</f>
        <v/>
      </c>
      <c r="X167" s="119"/>
      <c r="Y167" s="119"/>
      <c r="Z167" s="119"/>
      <c r="AA167" s="115"/>
      <c r="AB167" s="115"/>
      <c r="AC167" s="689">
        <f>IF(OR(BX$167="Close to Ear",BX$167="Close to Head"),"Head",IF(BX$167="Extremity","Extremity","Body"))</f>
        <v/>
      </c>
      <c r="AD167" s="690">
        <f>CA167</f>
        <v/>
      </c>
      <c r="AE167" s="688">
        <f>CB167</f>
        <v/>
      </c>
      <c r="AF167" s="115"/>
      <c r="AG167" s="808">
        <f>IF(AZ167="","N/A",IF(CQ167="Pass","P","F"))</f>
        <v/>
      </c>
      <c r="AH167" s="129"/>
      <c r="AI167" s="129"/>
      <c r="AJ167" s="129"/>
      <c r="AK167" s="119"/>
      <c r="AL167" s="115"/>
      <c r="AM167" s="119"/>
      <c r="AN167" s="119"/>
      <c r="AO167" s="692"/>
      <c r="AP167" s="692"/>
      <c r="AQ167" s="692"/>
      <c r="AR167" s="692"/>
      <c r="AS167" s="692"/>
      <c r="AT167" s="691">
        <f>CE167</f>
        <v/>
      </c>
      <c r="AU167" s="691">
        <f>CF167</f>
        <v/>
      </c>
      <c r="AV167" s="813"/>
      <c r="AW167" s="813"/>
      <c r="AX167" s="197">
        <f>CZ167</f>
        <v/>
      </c>
      <c r="AY167" s="197">
        <f>DE167</f>
        <v/>
      </c>
      <c r="AZ167" s="3379">
        <f>CO167</f>
        <v/>
      </c>
      <c r="BA167" s="3380"/>
      <c r="BB167" s="197">
        <f>CP167</f>
        <v/>
      </c>
      <c r="BC167" s="813"/>
      <c r="BD167" s="197">
        <f>CR167</f>
        <v/>
      </c>
      <c r="BE167" s="121">
        <f>CS167</f>
        <v/>
      </c>
      <c r="BF167" s="122">
        <f>CT167*60</f>
        <v/>
      </c>
      <c r="BG167" s="121">
        <f>BE167</f>
        <v/>
      </c>
      <c r="BH167" s="122">
        <f>CU167*60</f>
        <v/>
      </c>
      <c r="BI167" s="122">
        <f>CV167</f>
        <v/>
      </c>
      <c r="BJ167" s="117"/>
      <c r="BK167" s="812">
        <f>Overview!$E$7</f>
        <v/>
      </c>
      <c r="BL167" s="117"/>
      <c r="BM167" s="836">
        <f>CW167</f>
        <v/>
      </c>
      <c r="BN167" s="812">
        <f>Overview!$P$153</f>
        <v/>
      </c>
      <c r="BO167" s="117"/>
      <c r="BP167" s="117"/>
      <c r="BQ167" s="115"/>
      <c r="BR167" s="1478" t="inlineStr">
        <is>
          <t>N/A</t>
        </is>
      </c>
      <c r="BS167" s="1548"/>
      <c r="BT167" s="2067" t="inlineStr">
        <is>
          <t>GSM</t>
        </is>
      </c>
      <c r="BU167" s="2067">
        <v>1800</v>
      </c>
      <c r="BV167" s="1306">
        <f>Overview!$H$28</f>
        <v/>
      </c>
      <c r="BW167" s="2007"/>
      <c r="BX167" s="7674" t="inlineStr">
        <is>
          <t>Close to Ear</t>
        </is>
      </c>
      <c r="BY167" s="7671"/>
      <c r="BZ167" s="2068"/>
      <c r="CA167" s="2069" t="inlineStr">
        <is>
          <t>Left Cheek</t>
        </is>
      </c>
      <c r="CB167" s="2069">
        <v>0</v>
      </c>
      <c r="CC167" s="856">
        <f>'2G-3G'!BX27</f>
        <v>698</v>
      </c>
      <c r="CD167" s="856">
        <f>'2G-3G'!BY27</f>
        <v>1747.4</v>
      </c>
      <c r="CE167" s="1522"/>
      <c r="CF167" s="1522"/>
      <c r="CG167" s="386" t="str">
        <f>IF(OR($BY$167="",$BY$167=""),"",$BY$167)</f>
        <v/>
      </c>
      <c r="CH167" s="386">
        <f>BZ167</f>
        <v/>
      </c>
      <c r="CI167" s="386">
        <f>CA167</f>
        <v/>
      </c>
      <c r="CJ167" s="1526"/>
      <c r="CK167" s="2070"/>
      <c r="CL167" s="203">
        <f>IF(CF167=""," ",IF(ABS(CE167-CF167)&lt;=0.125,"Valid","Not valid"))</f>
        <v/>
      </c>
      <c r="CM167" s="204">
        <f> IF(CE167="","",IF(AND(CE167&lt;&gt;"",CF167=""),IF(CE167&gt;=1,"Medir+Sig Max","No"),IF(CF167&lt;&gt;"",IF(CF167&gt;=1,"Medir+Sig Max","No"),"")))</f>
        <v/>
      </c>
      <c r="CN167" s="1798"/>
      <c r="CO167" s="219">
        <f>IF(CK167="",IF(AND(CE167="",CF167=""),"",IF(CF167="",IF(DE167&gt;1,ROUND(DE167*CE167,3),CE167),IF(DE167&gt;1,ROUND(DE167*CF167,3),CF167))),IF(AND(CE167="",CF167=""),"",IF(CF167="",IF(DE167&gt;1,ROUND(DE167*CE167*(1/(CK167)),3),CE167*(1/(CK167))),IF(DE167&gt;1,ROUND(DE167*CF167*(1/(CK167)),3),CF167*(1/(CK167))))))</f>
        <v/>
      </c>
      <c r="CP167" s="2037">
        <f>$CP$3</f>
        <v/>
      </c>
      <c r="CQ167" s="1471">
        <f>IF(CO167="","",IF(CO167&gt;CP167,"Fail","Pass"))</f>
        <v/>
      </c>
      <c r="CR167" s="1480">
        <f>IF(AND(MAX(CO167:CO172)=CO167,CO167&lt;&gt;0),COUNT($CR$3:CR164)+1,"")</f>
        <v/>
      </c>
      <c r="CS167" s="1564">
        <f>MyTimestamp(CO167)</f>
        <v/>
      </c>
      <c r="CT167" s="1529">
        <f>IF(CE167="",0,15)+IF(CF167="",0,15)</f>
        <v/>
      </c>
      <c r="CU167" s="1530">
        <f>IF(CT167=0,0,2)</f>
        <v/>
      </c>
      <c r="CV167" s="862" t="inlineStr">
        <is>
          <t>S/02</t>
        </is>
      </c>
      <c r="CW167" s="862" t="inlineStr">
        <is>
          <t>Dasy6</t>
        </is>
      </c>
      <c r="CX167" s="2038"/>
      <c r="CY167" s="2039"/>
      <c r="CZ167" s="1542">
        <f>10^(CJ167/20)*100-100</f>
        <v/>
      </c>
      <c r="DA167" s="1324">
        <f>IF('Tune-Up'!$H$21="","",'Tune-Up'!$H$21)</f>
        <v/>
      </c>
      <c r="DB167" s="700">
        <f>'2G-3G'!BZ27</f>
        <v/>
      </c>
      <c r="DC167" s="768">
        <f>IF(DA167="","",10^(DA167/10))</f>
        <v/>
      </c>
      <c r="DD167" s="1368">
        <f>IF(ISNUMBER(DB167)=FALSE,"",10^(DB167/10))</f>
        <v/>
      </c>
      <c r="DE167" s="1542">
        <f>IF(AND(ISNUMBER(DC167),ISNUMBER(DD167)),IF(DC167/DD167&gt;1,ROUND((DC167)/DD167,3),1),1)</f>
        <v/>
      </c>
      <c r="DF167" s="1541"/>
      <c r="DG167" s="1541"/>
      <c r="DH167" s="1541"/>
      <c r="DI167" s="1541"/>
      <c r="DJ167" s="1541"/>
      <c r="DK167" s="1541"/>
      <c r="DL167" s="1541"/>
      <c r="DM167" s="1541"/>
      <c r="DN167" s="1541"/>
      <c r="DO167" s="1541"/>
      <c r="DP167" s="1541"/>
      <c r="DQ167" s="1541"/>
      <c r="DR167" s="1541"/>
    </row>
    <row r="168" ht="12.75" x14ac:dyDescent="0.2">
      <c r="A168" s="1541"/>
      <c r="B168" s="1541"/>
      <c r="C168"/>
      <c r="D168" s="130">
        <f>IF(BX$167="Close to Ear","EN 62209-1","EN 62209-2")</f>
        <v/>
      </c>
      <c r="E168" s="130">
        <f>IF(CG168="Close to Ear","2016","2010/A1:2019")</f>
        <v/>
      </c>
      <c r="F168" s="1488" t="inlineStr">
        <is>
          <t>5.1</t>
        </is>
      </c>
      <c r="G168" s="1497"/>
      <c r="H168" s="120">
        <f>BV168</f>
        <v/>
      </c>
      <c r="I168" s="120">
        <f>BW168</f>
        <v/>
      </c>
      <c r="J168" s="687" t="str">
        <f>BT168</f>
        <v>GSM</v>
      </c>
      <c r="K168" s="194">
        <f>BU168</f>
        <v>1800</v>
      </c>
      <c r="L168" s="115"/>
      <c r="M168" s="120">
        <f>BZ168</f>
        <v>0</v>
      </c>
      <c r="N168" s="119"/>
      <c r="O168" s="131"/>
      <c r="P168" s="6597"/>
      <c r="Q168" s="131"/>
      <c r="R168" s="131"/>
      <c r="S168" s="120">
        <f>CG168</f>
        <v>0</v>
      </c>
      <c r="T168" s="120">
        <f>CC168</f>
        <v>698</v>
      </c>
      <c r="U168" s="120">
        <f>CD168</f>
        <v>1747.4</v>
      </c>
      <c r="V168" s="119"/>
      <c r="W168" s="197">
        <f>CK168*100</f>
        <v/>
      </c>
      <c r="X168" s="119"/>
      <c r="Y168" s="119"/>
      <c r="Z168" s="119"/>
      <c r="AA168" s="115"/>
      <c r="AB168" s="115"/>
      <c r="AC168" s="689">
        <f>IF(OR(BX$167="Close to Ear",BX$167="Close to Head"),"Head",IF(BX$167="Extremity","Extremity","Body"))</f>
        <v/>
      </c>
      <c r="AD168" s="690">
        <f>CA168</f>
        <v/>
      </c>
      <c r="AE168" s="688">
        <f>CB168</f>
        <v/>
      </c>
      <c r="AF168" s="115"/>
      <c r="AG168" s="808">
        <f>IF(AZ168="","N/A",IF(CQ168="Pass","P","F"))</f>
        <v/>
      </c>
      <c r="AH168" s="129"/>
      <c r="AI168" s="129"/>
      <c r="AJ168" s="129"/>
      <c r="AK168" s="119"/>
      <c r="AL168" s="115"/>
      <c r="AM168" s="119"/>
      <c r="AN168" s="119"/>
      <c r="AO168" s="692"/>
      <c r="AP168" s="692"/>
      <c r="AQ168" s="692"/>
      <c r="AR168" s="692"/>
      <c r="AS168" s="692"/>
      <c r="AT168" s="691">
        <f>CE168</f>
        <v/>
      </c>
      <c r="AU168" s="691">
        <f>CF168</f>
        <v/>
      </c>
      <c r="AV168" s="813"/>
      <c r="AW168" s="813"/>
      <c r="AX168" s="197">
        <f>CZ168</f>
        <v/>
      </c>
      <c r="AY168" s="197">
        <f>DE168</f>
        <v/>
      </c>
      <c r="AZ168" s="3379">
        <f>CO168</f>
        <v/>
      </c>
      <c r="BA168" s="3380"/>
      <c r="BB168" s="197">
        <f>CP168</f>
        <v/>
      </c>
      <c r="BC168" s="813"/>
      <c r="BD168" s="197">
        <f>CR168</f>
        <v/>
      </c>
      <c r="BE168" s="121">
        <f>CS168</f>
        <v/>
      </c>
      <c r="BF168" s="122">
        <f>CT168*60</f>
        <v/>
      </c>
      <c r="BG168" s="121">
        <f>BE168</f>
        <v/>
      </c>
      <c r="BH168" s="122">
        <f>CU168*60</f>
        <v/>
      </c>
      <c r="BI168" s="122">
        <f>CV168</f>
        <v/>
      </c>
      <c r="BJ168" s="117"/>
      <c r="BK168" s="812">
        <f>Overview!$E$7</f>
        <v/>
      </c>
      <c r="BL168" s="117"/>
      <c r="BM168" s="836">
        <f>CW168</f>
        <v/>
      </c>
      <c r="BN168" s="812">
        <f>Overview!$P$153</f>
        <v/>
      </c>
      <c r="BO168" s="117"/>
      <c r="BP168" s="117"/>
      <c r="BQ168" s="115"/>
      <c r="BR168" s="1478" t="inlineStr">
        <is>
          <t>N/A</t>
        </is>
      </c>
      <c r="BS168" s="1548"/>
      <c r="BT168" s="2071" t="inlineStr">
        <is>
          <t>GSM</t>
        </is>
      </c>
      <c r="BU168" s="2071">
        <v>1800</v>
      </c>
      <c r="BV168" s="415">
        <f>Overview!$H$28</f>
        <v/>
      </c>
      <c r="BW168" s="2010"/>
      <c r="BX168" s="2071"/>
      <c r="BY168" s="2072"/>
      <c r="BZ168" s="2072"/>
      <c r="CA168" s="2073" t="inlineStr">
        <is>
          <t>Left Tilt</t>
        </is>
      </c>
      <c r="CB168" s="2073">
        <v>0</v>
      </c>
      <c r="CC168" s="902">
        <f>'2G-3G'!BX27</f>
        <v>698</v>
      </c>
      <c r="CD168" s="902">
        <f>'2G-3G'!BY27</f>
        <v>1747.4</v>
      </c>
      <c r="CE168" s="1523"/>
      <c r="CF168" s="1523"/>
      <c r="CG168" s="387" t="str">
        <f>IF(OR($BY$167="",$BY$167=""),"",$BY$167)</f>
        <v/>
      </c>
      <c r="CH168" s="387">
        <f>BZ168</f>
        <v/>
      </c>
      <c r="CI168" s="387">
        <f>CA168</f>
        <v/>
      </c>
      <c r="CJ168" s="1527"/>
      <c r="CK168" s="2042"/>
      <c r="CL168" s="206">
        <f>IF(CF168=""," ",IF(ABS(CE168-CF168)&lt;=0.125,"Valid","Not valid"))</f>
        <v/>
      </c>
      <c r="CM168" s="207">
        <f> IF(CE168="","",IF(AND(CE168&lt;&gt;"",CF168=""),IF(CE168&gt;=1,"Medir+Sig Max","No"),IF(CF168&lt;&gt;"",IF(CF168&gt;=1,"Medir+Sig Max","No"),"")))</f>
        <v/>
      </c>
      <c r="CN168" s="1787"/>
      <c r="CO168" s="220">
        <f>IF(CK168="",IF(AND(CE168="",CF168=""),"",IF(CF168="",IF(DE168&gt;1,ROUND(DE168*CE168,3),CE168),IF(DE168&gt;1,ROUND(DE168*CF168,3),CF168))),IF(AND(CE168="",CF168=""),"",IF(CF168="",IF(DE168&gt;1,ROUND(DE168*CE168*(1/(CK168)),3),CE168*(1/(CK168))),IF(DE168&gt;1,ROUND(DE168*CF168*(1/(CK168)),3),CF168*(1/(CK168))))))</f>
        <v/>
      </c>
      <c r="CP168" s="2043">
        <f>$CP$3</f>
        <v/>
      </c>
      <c r="CQ168" s="1472">
        <f>IF(CO168="","",IF(CO168&gt;CP168,"Fail","Pass"))</f>
        <v/>
      </c>
      <c r="CR168" s="1481">
        <f>IF(AND(MAX(CO167:CO172)=CO168,CO168&lt;&gt;0),COUNT($CR$3:CR167)+1,"")</f>
        <v/>
      </c>
      <c r="CS168" s="1565">
        <f>MyTimestamp(CO168)</f>
        <v/>
      </c>
      <c r="CT168" s="1531">
        <f>IF(CE168="",0,15)+IF(CF168="",0,15)</f>
        <v/>
      </c>
      <c r="CU168" s="1532">
        <f>IF(CT168=0,0,2)</f>
        <v/>
      </c>
      <c r="CV168" s="859" t="inlineStr">
        <is>
          <t>S/02</t>
        </is>
      </c>
      <c r="CW168" s="859" t="inlineStr">
        <is>
          <t>Dasy6</t>
        </is>
      </c>
      <c r="CX168" s="2038"/>
      <c r="CY168" s="2044"/>
      <c r="CZ168" s="1543">
        <f>10^(CJ168/20)*100-100</f>
        <v/>
      </c>
      <c r="DA168" s="1325">
        <f>IF('Tune-Up'!$H$21="","",'Tune-Up'!$H$21)</f>
        <v/>
      </c>
      <c r="DB168" s="701">
        <f>'2G-3G'!BZ27</f>
        <v/>
      </c>
      <c r="DC168" s="769">
        <f>IF(DA168="","",10^(DA168/10))</f>
        <v/>
      </c>
      <c r="DD168" s="1369">
        <f>IF(ISNUMBER(DB168)=FALSE,"",10^(DB168/10))</f>
        <v/>
      </c>
      <c r="DE168" s="1543">
        <f>IF(AND(ISNUMBER(DC168),ISNUMBER(DD168)),IF(DC168/DD168&gt;1,ROUND((DC168)/DD168,3),1),1)</f>
        <v/>
      </c>
      <c r="DF168" s="1541"/>
      <c r="DG168" s="1541"/>
      <c r="DH168" s="1541"/>
      <c r="DI168" s="1541"/>
      <c r="DJ168" s="1541"/>
      <c r="DK168" s="1541"/>
      <c r="DL168" s="1541"/>
      <c r="DM168" s="1541"/>
      <c r="DN168" s="1541"/>
      <c r="DO168" s="1541"/>
      <c r="DP168" s="1541"/>
      <c r="DQ168" s="1541"/>
      <c r="DR168" s="1541"/>
    </row>
    <row r="169" customFormat="1" ht="12.75" s="12" x14ac:dyDescent="0.2">
      <c r="A169" s="1557"/>
      <c r="B169" s="1557"/>
      <c r="C169"/>
      <c r="D169" s="130">
        <f>IF(BX$167="Close to Ear","EN 62209-1","EN 62209-2")</f>
        <v/>
      </c>
      <c r="E169" s="130">
        <f>IF(CG169="Close to Ear","2016","2010/A1:2019")</f>
        <v/>
      </c>
      <c r="F169" s="1488" t="inlineStr">
        <is>
          <t>5.1</t>
        </is>
      </c>
      <c r="G169" s="1497"/>
      <c r="H169" s="120">
        <f>BV169</f>
        <v/>
      </c>
      <c r="I169" s="120">
        <f>BW169</f>
        <v/>
      </c>
      <c r="J169" s="687" t="str">
        <f>BT169</f>
        <v>GSM</v>
      </c>
      <c r="K169" s="194">
        <f>BU169</f>
        <v>1800</v>
      </c>
      <c r="L169" s="115"/>
      <c r="M169" s="120">
        <f>BZ169</f>
        <v>0</v>
      </c>
      <c r="N169" s="119"/>
      <c r="O169" s="131"/>
      <c r="P169" s="6597"/>
      <c r="Q169" s="131"/>
      <c r="R169" s="131"/>
      <c r="S169" s="120">
        <f>CG169</f>
        <v>0</v>
      </c>
      <c r="T169" s="120">
        <f>CC169</f>
        <v>698</v>
      </c>
      <c r="U169" s="120">
        <f>CD169</f>
        <v>1747.4</v>
      </c>
      <c r="V169" s="119"/>
      <c r="W169" s="197">
        <f>CK169*100</f>
        <v/>
      </c>
      <c r="X169" s="119"/>
      <c r="Y169" s="119"/>
      <c r="Z169" s="119"/>
      <c r="AA169" s="115"/>
      <c r="AB169" s="115"/>
      <c r="AC169" s="689">
        <f>IF(OR(BX$167="Close to Ear",BX$167="Close to Head"),"Head",IF(BX$167="Extremity","Extremity","Body"))</f>
        <v/>
      </c>
      <c r="AD169" s="690">
        <f>CA169</f>
        <v/>
      </c>
      <c r="AE169" s="688">
        <f>CB169</f>
        <v/>
      </c>
      <c r="AF169" s="115"/>
      <c r="AG169" s="808">
        <f>IF(AZ169="","N/A",IF(CQ169="Pass","P","F"))</f>
        <v/>
      </c>
      <c r="AH169" s="129"/>
      <c r="AI169" s="129"/>
      <c r="AJ169" s="129"/>
      <c r="AK169" s="119"/>
      <c r="AL169" s="115"/>
      <c r="AM169" s="119"/>
      <c r="AN169" s="119"/>
      <c r="AO169" s="692"/>
      <c r="AP169" s="692"/>
      <c r="AQ169" s="692"/>
      <c r="AR169" s="692"/>
      <c r="AS169" s="692"/>
      <c r="AT169" s="691">
        <f>CE169</f>
        <v/>
      </c>
      <c r="AU169" s="691">
        <f>CF169</f>
        <v/>
      </c>
      <c r="AV169" s="813"/>
      <c r="AW169" s="813"/>
      <c r="AX169" s="197">
        <f>CZ169</f>
        <v/>
      </c>
      <c r="AY169" s="197">
        <f>DE169</f>
        <v/>
      </c>
      <c r="AZ169" s="3379">
        <f>CO169</f>
        <v/>
      </c>
      <c r="BA169" s="3380"/>
      <c r="BB169" s="197">
        <f>CP169</f>
        <v/>
      </c>
      <c r="BC169" s="813"/>
      <c r="BD169" s="197">
        <f>CR169</f>
        <v/>
      </c>
      <c r="BE169" s="121">
        <f>CS169</f>
        <v/>
      </c>
      <c r="BF169" s="122">
        <f>CT169*60</f>
        <v/>
      </c>
      <c r="BG169" s="121">
        <f>BE169</f>
        <v/>
      </c>
      <c r="BH169" s="122">
        <f>CU169*60</f>
        <v/>
      </c>
      <c r="BI169" s="122">
        <f>CV169</f>
        <v/>
      </c>
      <c r="BJ169" s="117"/>
      <c r="BK169" s="812">
        <f>Overview!$E$7</f>
        <v/>
      </c>
      <c r="BL169" s="117"/>
      <c r="BM169" s="836">
        <f>CW169</f>
        <v/>
      </c>
      <c r="BN169" s="812">
        <f>Overview!$P$153</f>
        <v/>
      </c>
      <c r="BO169" s="117"/>
      <c r="BP169" s="117"/>
      <c r="BQ169" s="115"/>
      <c r="BR169" s="1478" t="inlineStr">
        <is>
          <t>N/A</t>
        </is>
      </c>
      <c r="BS169" s="1548"/>
      <c r="BT169" s="1891" t="inlineStr">
        <is>
          <t>GSM</t>
        </is>
      </c>
      <c r="BU169" s="1891">
        <v>1800</v>
      </c>
      <c r="BV169" s="417">
        <f>Overview!$H$28</f>
        <v/>
      </c>
      <c r="BW169" s="2010"/>
      <c r="BX169" s="1891"/>
      <c r="BY169" s="2072"/>
      <c r="BZ169" s="2072"/>
      <c r="CA169" s="2073" t="inlineStr">
        <is>
          <t>Right Cheek</t>
        </is>
      </c>
      <c r="CB169" s="2073">
        <v>0</v>
      </c>
      <c r="CC169" s="902">
        <f>'2G-3G'!BX27</f>
        <v>698</v>
      </c>
      <c r="CD169" s="902">
        <f>'2G-3G'!BY27</f>
        <v>1747.4</v>
      </c>
      <c r="CE169" s="1523"/>
      <c r="CF169" s="1523"/>
      <c r="CG169" s="387" t="str">
        <f>IF(OR($BY$167="",$BY$167=""),"",$BY$167)</f>
        <v/>
      </c>
      <c r="CH169" s="387">
        <f>BZ169</f>
        <v/>
      </c>
      <c r="CI169" s="387">
        <f>CA169</f>
        <v/>
      </c>
      <c r="CJ169" s="1527"/>
      <c r="CK169" s="2042"/>
      <c r="CL169" s="206">
        <f>IF(CF169=""," ",IF(ABS(CE169-CF169)&lt;=0.125,"Valid","Not valid"))</f>
        <v/>
      </c>
      <c r="CM169" s="207">
        <f> IF(CE169="","",IF(AND(CE169&lt;&gt;"",CF169=""),IF(CE169&gt;=1,"Medir+Sig Max","No"),IF(CF169&lt;&gt;"",IF(CF169&gt;=1,"Medir+Sig Max","No"),"")))</f>
        <v/>
      </c>
      <c r="CN169" s="1787"/>
      <c r="CO169" s="220">
        <f>IF(CK169="",IF(AND(CE169="",CF169=""),"",IF(CF169="",IF(DE169&gt;1,ROUND(DE169*CE169,3),CE169),IF(DE169&gt;1,ROUND(DE169*CF169,3),CF169))),IF(AND(CE169="",CF169=""),"",IF(CF169="",IF(DE169&gt;1,ROUND(DE169*CE169*(1/(CK169)),3),CE169*(1/(CK169))),IF(DE169&gt;1,ROUND(DE169*CF169*(1/(CK169)),3),CF169*(1/(CK169))))))</f>
        <v/>
      </c>
      <c r="CP169" s="2043">
        <f>$CP$3</f>
        <v/>
      </c>
      <c r="CQ169" s="1472">
        <f>IF(CO169="","",IF(CO169&gt;CP169,"Fail","Pass"))</f>
        <v/>
      </c>
      <c r="CR169" s="1481">
        <f>IF(AND(MAX(CO167:CO172)=CO169,CO169&lt;&gt;0),COUNT($CR$3:CR168)+1,"")</f>
        <v/>
      </c>
      <c r="CS169" s="1565">
        <f>MyTimestamp(CO169)</f>
        <v/>
      </c>
      <c r="CT169" s="1531">
        <f>IF(CE169="",0,15)+IF(CF169="",0,15)</f>
        <v/>
      </c>
      <c r="CU169" s="1532">
        <f>IF(CT169=0,0,2)</f>
        <v/>
      </c>
      <c r="CV169" s="859" t="inlineStr">
        <is>
          <t>S/02</t>
        </is>
      </c>
      <c r="CW169" s="859" t="inlineStr">
        <is>
          <t>Dasy6</t>
        </is>
      </c>
      <c r="CX169" s="2038"/>
      <c r="CY169" s="2044"/>
      <c r="CZ169" s="1543">
        <f>10^(CJ169/20)*100-100</f>
        <v/>
      </c>
      <c r="DA169" s="1325">
        <f>IF('Tune-Up'!$H$21="","",'Tune-Up'!$H$21)</f>
        <v/>
      </c>
      <c r="DB169" s="701">
        <f>'2G-3G'!BZ27</f>
        <v/>
      </c>
      <c r="DC169" s="769">
        <f>IF(DA169="","",10^(DA169/10))</f>
        <v/>
      </c>
      <c r="DD169" s="1369">
        <f>IF(ISNUMBER(DB169)=FALSE,"",10^(DB169/10))</f>
        <v/>
      </c>
      <c r="DE169" s="1543">
        <f>IF(AND(ISNUMBER(DC169),ISNUMBER(DD169)),IF(DC169/DD169&gt;1,ROUND((DC169)/DD169,3),1),1)</f>
        <v/>
      </c>
      <c r="DF169" s="1557"/>
      <c r="DG169" s="1557"/>
      <c r="DH169" s="1557"/>
      <c r="DI169" s="1557"/>
      <c r="DJ169" s="1557"/>
      <c r="DK169" s="1557"/>
      <c r="DL169" s="1557"/>
      <c r="DM169" s="1557"/>
      <c r="DN169" s="1541"/>
      <c r="DO169" s="1541"/>
      <c r="DP169" s="1541"/>
      <c r="DQ169" s="1541"/>
      <c r="DR169" s="1541"/>
      <c r="DS169" s="36"/>
    </row>
    <row r="170" ht="12.75" x14ac:dyDescent="0.2">
      <c r="A170" s="1541"/>
      <c r="B170" s="1541"/>
      <c r="C170"/>
      <c r="D170" s="130">
        <f>IF(BX$167="Close to Ear","EN 62209-1","EN 62209-2")</f>
        <v/>
      </c>
      <c r="E170" s="130">
        <f>IF(CG170="Close to Ear","2016","2010/A1:2019")</f>
        <v/>
      </c>
      <c r="F170" s="1488" t="inlineStr">
        <is>
          <t>5.1</t>
        </is>
      </c>
      <c r="G170" s="1497"/>
      <c r="H170" s="120">
        <f>BV170</f>
        <v/>
      </c>
      <c r="I170" s="120">
        <f>BW170</f>
        <v/>
      </c>
      <c r="J170" s="687" t="str">
        <f>BT170</f>
        <v>GSM</v>
      </c>
      <c r="K170" s="194">
        <f>BU170</f>
        <v>1800</v>
      </c>
      <c r="L170" s="115"/>
      <c r="M170" s="120">
        <f>BZ170</f>
        <v>0</v>
      </c>
      <c r="N170" s="119"/>
      <c r="O170" s="131"/>
      <c r="P170" s="6597"/>
      <c r="Q170" s="131"/>
      <c r="R170" s="131"/>
      <c r="S170" s="120">
        <f>CG170</f>
        <v>0</v>
      </c>
      <c r="T170" s="120">
        <f>CC170</f>
        <v>698</v>
      </c>
      <c r="U170" s="120">
        <f>CD170</f>
        <v>1747.4</v>
      </c>
      <c r="V170" s="119"/>
      <c r="W170" s="197">
        <f>CK170*100</f>
        <v/>
      </c>
      <c r="X170" s="119"/>
      <c r="Y170" s="119"/>
      <c r="Z170" s="119"/>
      <c r="AA170" s="115"/>
      <c r="AB170" s="115"/>
      <c r="AC170" s="689">
        <f>IF(OR(BX$167="Close to Ear",BX$167="Close to Head"),"Head",IF(BX$167="Extremity","Extremity","Body"))</f>
        <v/>
      </c>
      <c r="AD170" s="690">
        <f>CA170</f>
        <v/>
      </c>
      <c r="AE170" s="688">
        <f>CB170</f>
        <v/>
      </c>
      <c r="AF170" s="115"/>
      <c r="AG170" s="808">
        <f>IF(AZ170="","N/A",IF(CQ170="Pass","P","F"))</f>
        <v/>
      </c>
      <c r="AH170" s="129"/>
      <c r="AI170" s="129"/>
      <c r="AJ170" s="129"/>
      <c r="AK170" s="119"/>
      <c r="AL170" s="115"/>
      <c r="AM170" s="119"/>
      <c r="AN170" s="119"/>
      <c r="AO170" s="692"/>
      <c r="AP170" s="692"/>
      <c r="AQ170" s="692"/>
      <c r="AR170" s="692"/>
      <c r="AS170" s="692"/>
      <c r="AT170" s="691">
        <f>CE170</f>
        <v/>
      </c>
      <c r="AU170" s="691">
        <f>CF170</f>
        <v/>
      </c>
      <c r="AV170" s="813"/>
      <c r="AW170" s="813"/>
      <c r="AX170" s="197">
        <f>CZ170</f>
        <v/>
      </c>
      <c r="AY170" s="197">
        <f>DE170</f>
        <v/>
      </c>
      <c r="AZ170" s="3379">
        <f>CO170</f>
        <v/>
      </c>
      <c r="BA170" s="3380"/>
      <c r="BB170" s="197">
        <f>CP170</f>
        <v/>
      </c>
      <c r="BC170" s="813"/>
      <c r="BD170" s="197">
        <f>CR170</f>
        <v/>
      </c>
      <c r="BE170" s="121">
        <f>CS170</f>
        <v/>
      </c>
      <c r="BF170" s="122">
        <f>CT170*60</f>
        <v/>
      </c>
      <c r="BG170" s="121">
        <f>BE170</f>
        <v/>
      </c>
      <c r="BH170" s="122">
        <f>CU170*60</f>
        <v/>
      </c>
      <c r="BI170" s="122">
        <f>CV170</f>
        <v/>
      </c>
      <c r="BJ170" s="117"/>
      <c r="BK170" s="812">
        <f>Overview!$E$7</f>
        <v/>
      </c>
      <c r="BL170" s="117"/>
      <c r="BM170" s="836">
        <f>CW170</f>
        <v/>
      </c>
      <c r="BN170" s="812">
        <f>Overview!$P$153</f>
        <v/>
      </c>
      <c r="BO170" s="117"/>
      <c r="BP170" s="117"/>
      <c r="BQ170" s="115"/>
      <c r="BR170" s="1478" t="inlineStr">
        <is>
          <t>N/A</t>
        </is>
      </c>
      <c r="BS170" s="1548"/>
      <c r="BT170" s="2071" t="inlineStr">
        <is>
          <t>GSM</t>
        </is>
      </c>
      <c r="BU170" s="2071">
        <v>1800</v>
      </c>
      <c r="BV170" s="415">
        <f>Overview!$H$28</f>
        <v/>
      </c>
      <c r="BW170" s="2010"/>
      <c r="BX170" s="2071"/>
      <c r="BY170" s="2072"/>
      <c r="BZ170" s="2072"/>
      <c r="CA170" s="2073" t="inlineStr">
        <is>
          <t>Right Tilt</t>
        </is>
      </c>
      <c r="CB170" s="2073">
        <v>0</v>
      </c>
      <c r="CC170" s="902">
        <f>'2G-3G'!BX27</f>
        <v>698</v>
      </c>
      <c r="CD170" s="902">
        <f>'2G-3G'!BY27</f>
        <v>1747.4</v>
      </c>
      <c r="CE170" s="1523"/>
      <c r="CF170" s="1523"/>
      <c r="CG170" s="387" t="str">
        <f>IF(OR($BY$167="",$BY$167=""),"",$BY$167)</f>
        <v/>
      </c>
      <c r="CH170" s="387">
        <f>BZ170</f>
        <v/>
      </c>
      <c r="CI170" s="387">
        <f>CA170</f>
        <v/>
      </c>
      <c r="CJ170" s="1527"/>
      <c r="CK170" s="2042"/>
      <c r="CL170" s="206">
        <f>IF(CF170=""," ",IF(ABS(CE170-CF170)&lt;=0.125,"Valid","Not valid"))</f>
        <v/>
      </c>
      <c r="CM170" s="207">
        <f> IF(CE170="","",IF(AND(CE170&lt;&gt;"",CF170=""),IF(CE170&gt;=1,"Medir+Sig Max","No"),IF(CF170&lt;&gt;"",IF(CF170&gt;=1,"Medir+Sig Max","No"),"")))</f>
        <v/>
      </c>
      <c r="CN170" s="1787"/>
      <c r="CO170" s="220">
        <f>IF(CK170="",IF(AND(CE170="",CF170=""),"",IF(CF170="",IF(DE170&gt;1,ROUND(DE170*CE170,3),CE170),IF(DE170&gt;1,ROUND(DE170*CF170,3),CF170))),IF(AND(CE170="",CF170=""),"",IF(CF170="",IF(DE170&gt;1,ROUND(DE170*CE170*(1/(CK170)),3),CE170*(1/(CK170))),IF(DE170&gt;1,ROUND(DE170*CF170*(1/(CK170)),3),CF170*(1/(CK170))))))</f>
        <v/>
      </c>
      <c r="CP170" s="2043">
        <f>$CP$3</f>
        <v/>
      </c>
      <c r="CQ170" s="1472">
        <f>IF(CO170="","",IF(CO170&gt;CP170,"Fail","Pass"))</f>
        <v/>
      </c>
      <c r="CR170" s="1481">
        <f>IF(AND(MAX(CO167:CO172)=CO170,CO170&lt;&gt;0),COUNT($CR$3:CR169)+1,"")</f>
        <v/>
      </c>
      <c r="CS170" s="1565">
        <f>MyTimestamp(CO170)</f>
        <v/>
      </c>
      <c r="CT170" s="1531">
        <f>IF(CE170="",0,15)+IF(CF170="",0,15)</f>
        <v/>
      </c>
      <c r="CU170" s="1532">
        <f>IF(CT170=0,0,2)</f>
        <v/>
      </c>
      <c r="CV170" s="859" t="inlineStr">
        <is>
          <t>S/02</t>
        </is>
      </c>
      <c r="CW170" s="859" t="inlineStr">
        <is>
          <t>Dasy6</t>
        </is>
      </c>
      <c r="CX170" s="2038"/>
      <c r="CY170" s="2044"/>
      <c r="CZ170" s="1543">
        <f>10^(CJ170/20)*100-100</f>
        <v/>
      </c>
      <c r="DA170" s="1325">
        <f>IF('Tune-Up'!$H$21="","",'Tune-Up'!$H$21)</f>
        <v/>
      </c>
      <c r="DB170" s="701">
        <f>'2G-3G'!BZ27</f>
        <v/>
      </c>
      <c r="DC170" s="769">
        <f>IF(DA170="","",10^(DA170/10))</f>
        <v/>
      </c>
      <c r="DD170" s="1369">
        <f>IF(ISNUMBER(DB170)=FALSE,"",10^(DB170/10))</f>
        <v/>
      </c>
      <c r="DE170" s="1543">
        <f>IF(AND(ISNUMBER(DC170),ISNUMBER(DD170)),IF(DC170/DD170&gt;1,ROUND((DC170)/DD170,3),1),1)</f>
        <v/>
      </c>
      <c r="DF170" s="1541"/>
      <c r="DG170" s="1541"/>
      <c r="DH170" s="1541"/>
      <c r="DI170" s="1541"/>
      <c r="DJ170" s="1541"/>
      <c r="DK170" s="1541"/>
      <c r="DL170" s="1541"/>
      <c r="DM170" s="1541"/>
      <c r="DN170" s="1541"/>
      <c r="DO170" s="1541"/>
      <c r="DP170" s="1541"/>
      <c r="DQ170" s="1541"/>
      <c r="DR170" s="1541"/>
    </row>
    <row r="171" ht="12.75" x14ac:dyDescent="0.2">
      <c r="A171" s="1541"/>
      <c r="B171" s="1541"/>
      <c r="C171"/>
      <c r="D171" s="130">
        <f>IF(BX$167="Close to Ear","EN 62209-1","EN 62209-2")</f>
        <v/>
      </c>
      <c r="E171" s="130">
        <f>IF(CG171="Close to Ear","2016","2010/A1:2019")</f>
        <v/>
      </c>
      <c r="F171" s="1488" t="inlineStr">
        <is>
          <t>5.1</t>
        </is>
      </c>
      <c r="G171" s="1497"/>
      <c r="H171" s="120">
        <f>BV171</f>
        <v/>
      </c>
      <c r="I171" s="120">
        <f>BW171</f>
        <v/>
      </c>
      <c r="J171" s="687" t="str">
        <f>BT171</f>
        <v>GSM</v>
      </c>
      <c r="K171" s="194">
        <f>BU171</f>
        <v>1800</v>
      </c>
      <c r="L171" s="115"/>
      <c r="M171" s="120">
        <f>BZ171</f>
        <v>0</v>
      </c>
      <c r="N171" s="119"/>
      <c r="O171" s="131"/>
      <c r="P171" s="6597"/>
      <c r="Q171" s="131"/>
      <c r="R171" s="131"/>
      <c r="S171" s="120">
        <f>CG171</f>
        <v>0</v>
      </c>
      <c r="T171" s="120">
        <f>CC171</f>
        <v>512</v>
      </c>
      <c r="U171" s="120">
        <f>CD171</f>
        <v>1710.2</v>
      </c>
      <c r="V171" s="119"/>
      <c r="W171" s="197">
        <f>CK171*100</f>
        <v/>
      </c>
      <c r="X171" s="119"/>
      <c r="Y171" s="119"/>
      <c r="Z171" s="119"/>
      <c r="AA171" s="115"/>
      <c r="AB171" s="115"/>
      <c r="AC171" s="689">
        <f>IF(OR(BX$167="Close to Ear",BX$167="Close to Head"),"Head",IF(BX$167="Extremity","Extremity","Body"))</f>
        <v/>
      </c>
      <c r="AD171" s="690">
        <f>CA171</f>
        <v/>
      </c>
      <c r="AE171" s="688">
        <f>CB171</f>
        <v/>
      </c>
      <c r="AF171" s="115"/>
      <c r="AG171" s="808">
        <f>IF(AZ171="","N/A",IF(CQ171="Pass","P","F"))</f>
        <v/>
      </c>
      <c r="AH171" s="129"/>
      <c r="AI171" s="129"/>
      <c r="AJ171" s="129"/>
      <c r="AK171" s="119"/>
      <c r="AL171" s="115"/>
      <c r="AM171" s="119"/>
      <c r="AN171" s="119"/>
      <c r="AO171" s="692"/>
      <c r="AP171" s="692"/>
      <c r="AQ171" s="692"/>
      <c r="AR171" s="692"/>
      <c r="AS171" s="692"/>
      <c r="AT171" s="691">
        <f>CE171</f>
        <v/>
      </c>
      <c r="AU171" s="691">
        <f>CF171</f>
        <v/>
      </c>
      <c r="AV171" s="813"/>
      <c r="AW171" s="813"/>
      <c r="AX171" s="197">
        <f>CZ171</f>
        <v/>
      </c>
      <c r="AY171" s="197">
        <f>DE171</f>
        <v/>
      </c>
      <c r="AZ171" s="3379">
        <f>CO171</f>
        <v/>
      </c>
      <c r="BA171" s="3380"/>
      <c r="BB171" s="197">
        <f>CP171</f>
        <v/>
      </c>
      <c r="BC171" s="813"/>
      <c r="BD171" s="197">
        <f>CR171</f>
        <v/>
      </c>
      <c r="BE171" s="121">
        <f>CS171</f>
        <v/>
      </c>
      <c r="BF171" s="122">
        <f>CT171*60</f>
        <v/>
      </c>
      <c r="BG171" s="121">
        <f>BE171</f>
        <v/>
      </c>
      <c r="BH171" s="122">
        <f>CU171*60</f>
        <v/>
      </c>
      <c r="BI171" s="122">
        <f>CV171</f>
        <v/>
      </c>
      <c r="BJ171" s="117"/>
      <c r="BK171" s="812">
        <f>Overview!$E$7</f>
        <v/>
      </c>
      <c r="BL171" s="117"/>
      <c r="BM171" s="836">
        <f>CW171</f>
        <v/>
      </c>
      <c r="BN171" s="812">
        <f>Overview!$P$153</f>
        <v/>
      </c>
      <c r="BO171" s="117"/>
      <c r="BP171" s="117"/>
      <c r="BQ171" s="115"/>
      <c r="BR171" s="1478" t="inlineStr">
        <is>
          <t>N/A</t>
        </is>
      </c>
      <c r="BS171" s="1548"/>
      <c r="BT171" s="2071" t="inlineStr">
        <is>
          <t>GSM</t>
        </is>
      </c>
      <c r="BU171" s="2071">
        <v>1800</v>
      </c>
      <c r="BV171" s="415">
        <f>Overview!$H$28</f>
        <v/>
      </c>
      <c r="BW171" s="2010"/>
      <c r="BX171" s="2071"/>
      <c r="BY171" s="2072"/>
      <c r="BZ171" s="2072"/>
      <c r="CA171" s="416" t="str">
        <f>IF(COUNT(CF167:CF170)=0,IF(COUNT(CE167:CE170)=0,"TBD",VLOOKUP(MAX(CE167:CE170),CE167:CI170,5,FALSE)),VLOOKUP(MAX(CF167:CF170),CF167:CI170,4,FALSE))</f>
        <v>TBD</v>
      </c>
      <c r="CB171" s="2073">
        <v>0</v>
      </c>
      <c r="CC171" s="902">
        <f>'2G-3G'!BX28</f>
        <v>512</v>
      </c>
      <c r="CD171" s="902">
        <f>'2G-3G'!BY28</f>
        <v>1710.2</v>
      </c>
      <c r="CE171" s="1523"/>
      <c r="CF171" s="1523"/>
      <c r="CG171" s="387" t="str">
        <f>IF(OR($BY$167="",$BY$167=""),"",$BY$167)</f>
        <v/>
      </c>
      <c r="CH171" s="387">
        <f>BZ171</f>
        <v/>
      </c>
      <c r="CI171" s="387">
        <f>CA171</f>
        <v/>
      </c>
      <c r="CJ171" s="1527"/>
      <c r="CK171" s="2042"/>
      <c r="CL171" s="206">
        <f>IF(CF171=""," ",IF(ABS(CE171-CF171)&lt;=0.125,"Valid","Not valid"))</f>
        <v/>
      </c>
      <c r="CM171" s="207">
        <f> IF(CE171="","",IF(AND(CE171&lt;&gt;"",CF171=""),IF(CE171&gt;=1,"Medir+Sig Max","No"),IF(CF171&lt;&gt;"",IF(CF171&gt;=1,"Medir+Sig Max","No"),"")))</f>
        <v/>
      </c>
      <c r="CN171" s="1787"/>
      <c r="CO171" s="220">
        <f>IF(CK171="",IF(AND(CE171="",CF171=""),"",IF(CF171="",IF(DE171&gt;1,ROUND(DE171*CE171,3),CE171),IF(DE171&gt;1,ROUND(DE171*CF171,3),CF171))),IF(AND(CE171="",CF171=""),"",IF(CF171="",IF(DE171&gt;1,ROUND(DE171*CE171*(1/(CK171)),3),CE171*(1/(CK171))),IF(DE171&gt;1,ROUND(DE171*CF171*(1/(CK171)),3),CF171*(1/(CK171))))))</f>
        <v/>
      </c>
      <c r="CP171" s="2043">
        <f>$CP$3</f>
        <v/>
      </c>
      <c r="CQ171" s="1472">
        <f>IF(CO171="","",IF(CO171&gt;CP171,"Fail","Pass"))</f>
        <v/>
      </c>
      <c r="CR171" s="1481">
        <f>IF(AND(MAX(CO167:CO172)=CO171,CO171&lt;&gt;0),COUNT($CR$3:CR170)+1,"")</f>
        <v/>
      </c>
      <c r="CS171" s="1565">
        <f>MyTimestamp(CO171)</f>
        <v/>
      </c>
      <c r="CT171" s="1531">
        <f>IF(CE171="",0,15)+IF(CF171="",0,15)</f>
        <v/>
      </c>
      <c r="CU171" s="1532">
        <f>IF(CT171=0,0,2)</f>
        <v/>
      </c>
      <c r="CV171" s="859" t="inlineStr">
        <is>
          <t>S/02</t>
        </is>
      </c>
      <c r="CW171" s="859" t="inlineStr">
        <is>
          <t>Dasy6</t>
        </is>
      </c>
      <c r="CX171" s="2038"/>
      <c r="CY171" s="2044"/>
      <c r="CZ171" s="1543">
        <f>10^(CJ171/20)*100-100</f>
        <v/>
      </c>
      <c r="DA171" s="1325">
        <f>IF('Tune-Up'!$H$21="","",'Tune-Up'!$H$21)</f>
        <v/>
      </c>
      <c r="DB171" s="701">
        <f>'2G-3G'!BZ28</f>
        <v/>
      </c>
      <c r="DC171" s="769">
        <f>IF(DA171="","",10^(DA171/10))</f>
        <v/>
      </c>
      <c r="DD171" s="1369">
        <f>IF(ISNUMBER(DB171)=FALSE,"",10^(DB171/10))</f>
        <v/>
      </c>
      <c r="DE171" s="1543">
        <f>IF(AND(ISNUMBER(DC171),ISNUMBER(DD171)),IF(DC171/DD171&gt;1,ROUND((DC171)/DD171,3),1),1)</f>
        <v/>
      </c>
      <c r="DF171" s="1541"/>
      <c r="DG171" s="1541"/>
      <c r="DH171" s="1541"/>
      <c r="DI171" s="1541"/>
      <c r="DJ171" s="1541"/>
      <c r="DK171" s="1541"/>
      <c r="DL171" s="1541"/>
      <c r="DM171" s="1541"/>
      <c r="DN171" s="1541"/>
      <c r="DO171" s="1541"/>
      <c r="DP171" s="1541"/>
      <c r="DQ171" s="1541"/>
      <c r="DR171" s="1541"/>
    </row>
    <row r="172" ht="12.75" x14ac:dyDescent="0.2">
      <c r="A172" s="1541"/>
      <c r="B172" s="1541"/>
      <c r="C172"/>
      <c r="D172" s="130">
        <f>IF(BX$167="Close to Ear","EN 62209-1","EN 62209-2")</f>
        <v/>
      </c>
      <c r="E172" s="130">
        <f>IF(CG172="Close to Ear","2016","2010/A1:2019")</f>
        <v/>
      </c>
      <c r="F172" s="1488" t="inlineStr">
        <is>
          <t>5.1</t>
        </is>
      </c>
      <c r="G172" s="1497"/>
      <c r="H172" s="120">
        <f>BV172</f>
        <v/>
      </c>
      <c r="I172" s="120">
        <f>BW172</f>
        <v/>
      </c>
      <c r="J172" s="687" t="str">
        <f>BT172</f>
        <v>GSM</v>
      </c>
      <c r="K172" s="194">
        <f>BU172</f>
        <v>1800</v>
      </c>
      <c r="L172" s="115"/>
      <c r="M172" s="120">
        <f>BZ172</f>
        <v>0</v>
      </c>
      <c r="N172" s="119"/>
      <c r="O172" s="131"/>
      <c r="P172" s="6597"/>
      <c r="Q172" s="131"/>
      <c r="R172" s="131"/>
      <c r="S172" s="120">
        <f>CG172</f>
        <v>0</v>
      </c>
      <c r="T172" s="120">
        <f>CC172</f>
        <v>885</v>
      </c>
      <c r="U172" s="120">
        <f>CD172</f>
        <v>1784.8</v>
      </c>
      <c r="V172" s="119"/>
      <c r="W172" s="197">
        <f>CK172*100</f>
        <v/>
      </c>
      <c r="X172" s="119"/>
      <c r="Y172" s="119"/>
      <c r="Z172" s="119"/>
      <c r="AA172" s="115"/>
      <c r="AB172" s="115"/>
      <c r="AC172" s="689">
        <f>IF(OR(BX$167="Close to Ear",BX$167="Close to Head"),"Head",IF(BX$167="Extremity","Extremity","Body"))</f>
        <v/>
      </c>
      <c r="AD172" s="690">
        <f>CA172</f>
        <v/>
      </c>
      <c r="AE172" s="688">
        <f>CB172</f>
        <v/>
      </c>
      <c r="AF172" s="115"/>
      <c r="AG172" s="808">
        <f>IF(AZ172="","N/A",IF(CQ172="Pass","P","F"))</f>
        <v/>
      </c>
      <c r="AH172" s="129"/>
      <c r="AI172" s="129"/>
      <c r="AJ172" s="129"/>
      <c r="AK172" s="119"/>
      <c r="AL172" s="115"/>
      <c r="AM172" s="119"/>
      <c r="AN172" s="119"/>
      <c r="AO172" s="692"/>
      <c r="AP172" s="692"/>
      <c r="AQ172" s="692"/>
      <c r="AR172" s="692"/>
      <c r="AS172" s="692"/>
      <c r="AT172" s="691">
        <f>CE172</f>
        <v/>
      </c>
      <c r="AU172" s="691">
        <f>CF172</f>
        <v/>
      </c>
      <c r="AV172" s="813"/>
      <c r="AW172" s="813"/>
      <c r="AX172" s="197">
        <f>CZ172</f>
        <v/>
      </c>
      <c r="AY172" s="197">
        <f>DE172</f>
        <v/>
      </c>
      <c r="AZ172" s="3379">
        <f>CO172</f>
        <v/>
      </c>
      <c r="BA172" s="3380"/>
      <c r="BB172" s="197">
        <f>CP172</f>
        <v/>
      </c>
      <c r="BC172" s="813"/>
      <c r="BD172" s="197">
        <f>CR172</f>
        <v/>
      </c>
      <c r="BE172" s="121">
        <f>CS172</f>
        <v/>
      </c>
      <c r="BF172" s="122">
        <f>CT172*60</f>
        <v/>
      </c>
      <c r="BG172" s="121">
        <f>BE172</f>
        <v/>
      </c>
      <c r="BH172" s="122">
        <f>CU172*60</f>
        <v/>
      </c>
      <c r="BI172" s="122">
        <f>CV172</f>
        <v/>
      </c>
      <c r="BJ172" s="117"/>
      <c r="BK172" s="812">
        <f>Overview!$E$7</f>
        <v/>
      </c>
      <c r="BL172" s="117"/>
      <c r="BM172" s="836">
        <f>CW172</f>
        <v/>
      </c>
      <c r="BN172" s="812">
        <f>Overview!$P$153</f>
        <v/>
      </c>
      <c r="BO172" s="117"/>
      <c r="BP172" s="117"/>
      <c r="BQ172" s="115"/>
      <c r="BR172" s="1478" t="inlineStr">
        <is>
          <t>N/A</t>
        </is>
      </c>
      <c r="BS172" s="1548"/>
      <c r="BT172" s="2071" t="inlineStr">
        <is>
          <t>GSM</t>
        </is>
      </c>
      <c r="BU172" s="2071">
        <v>1800</v>
      </c>
      <c r="BV172" s="415">
        <f>Overview!$H$28</f>
        <v/>
      </c>
      <c r="BW172" s="2010"/>
      <c r="BX172" s="2071"/>
      <c r="BY172" s="2072"/>
      <c r="BZ172" s="2072"/>
      <c r="CA172" s="418" t="str">
        <f>IF(COUNT(CF167:CF170)=0,IF(COUNT(CE167:CE170)=0,"TBD",VLOOKUP(MAX(CE167:CE170),CE167:CI170,5,FALSE)),VLOOKUP(MAX(CF167:CF170),CF167:CI170,4,FALSE))</f>
        <v>TBD</v>
      </c>
      <c r="CB172" s="2074">
        <v>0</v>
      </c>
      <c r="CC172" s="1089">
        <f>'2G-3G'!BX29</f>
        <v>885</v>
      </c>
      <c r="CD172" s="1089">
        <f>'2G-3G'!BY29</f>
        <v>1784.8</v>
      </c>
      <c r="CE172" s="1874"/>
      <c r="CF172" s="1874"/>
      <c r="CG172" s="388" t="str">
        <f>IF(OR($BY$167="",$BY$167=""),"",$BY$167)</f>
        <v/>
      </c>
      <c r="CH172" s="388">
        <f>BZ172</f>
        <v/>
      </c>
      <c r="CI172" s="388">
        <f>CA172</f>
        <v/>
      </c>
      <c r="CJ172" s="2046"/>
      <c r="CK172" s="2047"/>
      <c r="CL172" s="209">
        <f>IF(CF172=""," ",IF(ABS(CE172-CF172)&lt;=0.125,"Valid","Not valid"))</f>
        <v/>
      </c>
      <c r="CM172" s="210">
        <f> IF(CE172="","",IF(AND(CE172&lt;&gt;"",CF172=""),IF(CE172&gt;=1,"Medir+Sig Max","No"),IF(CF172&lt;&gt;"",IF(CF172&gt;=1,"Medir+Sig Max","No"),"")))</f>
        <v/>
      </c>
      <c r="CN172" s="1792"/>
      <c r="CO172" s="221">
        <f>IF(CK172="",IF(AND(CE172="",CF172=""),"",IF(CF172="",IF(DE172&gt;1,ROUND(DE172*CE172,3),CE172),IF(DE172&gt;1,ROUND(DE172*CF172,3),CF172))),IF(AND(CE172="",CF172=""),"",IF(CF172="",IF(DE172&gt;1,ROUND(DE172*CE172*(1/(CK172)),3),CE172*(1/(CK172))),IF(DE172&gt;1,ROUND(DE172*CF172*(1/(CK172)),3),CF172*(1/(CK172))))))</f>
        <v/>
      </c>
      <c r="CP172" s="2048">
        <f>$CP$3</f>
        <v/>
      </c>
      <c r="CQ172" s="1473">
        <f>IF(CO172="","",IF(CO172&gt;CP172,"Fail","Pass"))</f>
        <v/>
      </c>
      <c r="CR172" s="1482">
        <f>IF(AND(MAX(CO167:CO172)=CO172,CO172&lt;&gt;0),COUNT($CR$3:CR171)+1,"")</f>
        <v/>
      </c>
      <c r="CS172" s="2002">
        <f>MyTimestamp(CO172)</f>
        <v/>
      </c>
      <c r="CT172" s="1533">
        <f>IF(CE172="",0,15)+IF(CF172="",0,15)</f>
        <v/>
      </c>
      <c r="CU172" s="1534">
        <f>IF(CT172=0,0,2)</f>
        <v/>
      </c>
      <c r="CV172" s="860" t="inlineStr">
        <is>
          <t>S/02</t>
        </is>
      </c>
      <c r="CW172" s="860" t="inlineStr">
        <is>
          <t>Dasy6</t>
        </is>
      </c>
      <c r="CX172" s="2038"/>
      <c r="CY172" s="2049"/>
      <c r="CZ172" s="1544">
        <f>10^(CJ172/20)*100-100</f>
        <v/>
      </c>
      <c r="DA172" s="1326">
        <f>IF('Tune-Up'!$H$21="","",'Tune-Up'!$H$21)</f>
        <v/>
      </c>
      <c r="DB172" s="702">
        <f>'2G-3G'!BZ29</f>
        <v/>
      </c>
      <c r="DC172" s="770">
        <f>IF(DA172="","",10^(DA172/10))</f>
        <v/>
      </c>
      <c r="DD172" s="1370">
        <f>IF(ISNUMBER(DB172)=FALSE,"",10^(DB172/10))</f>
        <v/>
      </c>
      <c r="DE172" s="1544">
        <f>IF(AND(ISNUMBER(DC172),ISNUMBER(DD172)),IF(DC172/DD172&gt;1,ROUND((DC172)/DD172,3),1),1)</f>
        <v/>
      </c>
      <c r="DF172" s="1541"/>
      <c r="DG172" s="1541"/>
      <c r="DH172" s="1541"/>
      <c r="DI172" s="1541"/>
      <c r="DJ172" s="1541"/>
      <c r="DK172" s="1541"/>
      <c r="DL172" s="1541"/>
      <c r="DM172" s="1541"/>
      <c r="DN172" s="1541"/>
      <c r="DO172" s="1541"/>
      <c r="DP172" s="1541"/>
      <c r="DQ172" s="1541"/>
      <c r="DR172" s="1541"/>
    </row>
    <row r="173" ht="12.75" x14ac:dyDescent="0.2">
      <c r="A173" s="1541"/>
      <c r="B173" s="1541"/>
      <c r="C173"/>
      <c r="D173" s="130">
        <f>IF(BX$167="Close to Ear","EN 62209-1","EN 62209-2")</f>
        <v/>
      </c>
      <c r="E173" s="130">
        <f>IF(CG173="Close to Ear","2016","2010/A1:2019")</f>
        <v/>
      </c>
      <c r="F173" s="1488" t="inlineStr">
        <is>
          <t>5.1</t>
        </is>
      </c>
      <c r="G173" s="1497"/>
      <c r="H173" s="120">
        <f>BV173</f>
        <v/>
      </c>
      <c r="I173" s="120">
        <f>BW173</f>
        <v/>
      </c>
      <c r="J173" s="687">
        <f>BT173</f>
        <v/>
      </c>
      <c r="K173" s="194">
        <f>BU173</f>
        <v/>
      </c>
      <c r="L173" s="115"/>
      <c r="M173" s="120">
        <f>BZ173</f>
        <v/>
      </c>
      <c r="N173" s="119"/>
      <c r="O173" s="131"/>
      <c r="P173" s="6597"/>
      <c r="Q173" s="131"/>
      <c r="R173" s="131"/>
      <c r="S173" s="120">
        <f>CG173</f>
        <v/>
      </c>
      <c r="T173" s="120">
        <f>CC173</f>
        <v/>
      </c>
      <c r="U173" s="120">
        <f>CD173</f>
        <v/>
      </c>
      <c r="V173" s="119"/>
      <c r="W173" s="197">
        <f>CK173*100</f>
        <v/>
      </c>
      <c r="X173" s="119"/>
      <c r="Y173" s="119"/>
      <c r="Z173" s="119"/>
      <c r="AA173" s="115"/>
      <c r="AB173" s="115"/>
      <c r="AC173" s="689">
        <f>IF(OR(BX$167="Close to Ear",BX$167="Close to Head"),"Head",IF(BX$167="Extremity","Extremity","Body"))</f>
        <v/>
      </c>
      <c r="AD173" s="690">
        <f>CA173</f>
        <v/>
      </c>
      <c r="AE173" s="688">
        <f>CB173</f>
        <v/>
      </c>
      <c r="AF173" s="115"/>
      <c r="AG173" s="808">
        <f>IF(AZ173="","N/A",IF(CQ173="Pass","P","F"))</f>
        <v/>
      </c>
      <c r="AH173" s="129"/>
      <c r="AI173" s="129"/>
      <c r="AJ173" s="129"/>
      <c r="AK173" s="119"/>
      <c r="AL173" s="115"/>
      <c r="AM173" s="119"/>
      <c r="AN173" s="119"/>
      <c r="AO173" s="692"/>
      <c r="AP173" s="692"/>
      <c r="AQ173" s="692"/>
      <c r="AR173" s="692"/>
      <c r="AS173" s="692"/>
      <c r="AT173" s="691">
        <f>CE173</f>
        <v/>
      </c>
      <c r="AU173" s="691">
        <f>CF173</f>
        <v/>
      </c>
      <c r="AV173" s="813"/>
      <c r="AW173" s="813"/>
      <c r="AX173" s="197">
        <f>CZ173</f>
        <v/>
      </c>
      <c r="AY173" s="197">
        <f>DE173</f>
        <v/>
      </c>
      <c r="AZ173" s="3379">
        <f>CO173</f>
        <v/>
      </c>
      <c r="BA173" s="3380"/>
      <c r="BB173" s="197">
        <f>CP173</f>
        <v/>
      </c>
      <c r="BC173" s="813"/>
      <c r="BD173" s="197">
        <f>CR173</f>
        <v/>
      </c>
      <c r="BE173" s="121">
        <f>CS173</f>
        <v/>
      </c>
      <c r="BF173" s="122">
        <f>CT173*60</f>
        <v/>
      </c>
      <c r="BG173" s="121">
        <f>BE173</f>
        <v/>
      </c>
      <c r="BH173" s="122">
        <f>CU173*60</f>
        <v/>
      </c>
      <c r="BI173" s="122">
        <f>CV173</f>
        <v/>
      </c>
      <c r="BJ173" s="117"/>
      <c r="BK173" s="812">
        <f>Overview!$E$7</f>
        <v/>
      </c>
      <c r="BL173" s="117"/>
      <c r="BM173" s="836">
        <f>CW173</f>
        <v/>
      </c>
      <c r="BN173" s="812">
        <f>Overview!$P$153</f>
        <v/>
      </c>
      <c r="BO173" s="117"/>
      <c r="BP173" s="117"/>
      <c r="BQ173" s="115"/>
      <c r="BR173" s="1478" t="inlineStr">
        <is>
          <t>N/A</t>
        </is>
      </c>
      <c r="BS173" s="1548"/>
      <c r="BT173" s="2071" t="inlineStr">
        <is>
          <t>GSM</t>
        </is>
      </c>
      <c r="BU173" s="2071">
        <v>1800</v>
      </c>
      <c r="BV173" s="415">
        <f>Overview!$H$28</f>
        <v/>
      </c>
      <c r="BW173" s="2010"/>
      <c r="BX173" s="2071"/>
      <c r="BY173" s="2072"/>
      <c r="BZ173" s="2072"/>
      <c r="CA173" s="418" t="str">
        <f>CONCATENATE(CA171," - Battery check 1")</f>
        <v>TBD - Battery check 1</v>
      </c>
      <c r="CB173" s="2074">
        <v>0</v>
      </c>
      <c r="CC173" s="1089">
        <f>IF(COUNT($CO$167:$CO$172)=0,"N/A",INDEX($CC$167:$CC$172,MATCH(MAX($CO$167:$CO$172),$CO$167:$CO$172,0)))</f>
        <v/>
      </c>
      <c r="CD173" s="1089">
        <f>IF(COUNT($CO$167:$CO$172)=0,"N/A",INDEX($CD$167:$CD$172,MATCH(MAX($CO$167:$CO$172),$CO$167:$CO$172,0)))</f>
        <v/>
      </c>
      <c r="CE173" s="1874"/>
      <c r="CF173" s="1874"/>
      <c r="CG173" s="388" t="inlineStr">
        <is>
          <t>N/A</t>
        </is>
      </c>
      <c r="CH173" s="388">
        <f>BZ173</f>
        <v/>
      </c>
      <c r="CI173" s="388">
        <f>CA173</f>
        <v/>
      </c>
      <c r="CJ173" s="2046"/>
      <c r="CK173" s="2047"/>
      <c r="CL173" s="209">
        <f>IF(CF173=""," ",IF(ABS(CE173-CF173)&lt;=0.125,"Valid","Not valid"))</f>
        <v/>
      </c>
      <c r="CM173" s="210">
        <f> IF(CE173="","",IF(AND(CE173&lt;&gt;"",CF173=""),IF(CE173&gt;=1,"Medir+Sig Max","No"),IF(CF173&lt;&gt;"",IF(CF173&gt;=1,"Medir+Sig Max","No"),"")))</f>
        <v/>
      </c>
      <c r="CN173" s="1792"/>
      <c r="CO173" s="221">
        <f>IF(CK173="",IF(AND(CE173="",CF173=""),"",IF(CF173="",IF(DE173&gt;1,ROUND(DE173*CE173,3),CE173),IF(DE173&gt;1,ROUND(DE173*CF173,3),CF173))),IF(AND(CE173="",CF173=""),"",IF(CF173="",IF(DE173&gt;1,ROUND(DE173*CE173*(1/(CK173)),3),CE173*(1/(CK173))),IF(DE173&gt;1,ROUND(DE173*CF173*(1/(CK173)),3),CF173*(1/(CK173))))))</f>
        <v/>
      </c>
      <c r="CP173" s="2048">
        <f>$CP$3</f>
        <v/>
      </c>
      <c r="CQ173" s="1473">
        <f>IF(CO173="","",IF(CO173&gt;CP173,"Fail","Pass"))</f>
        <v/>
      </c>
      <c r="CR173" s="1482">
        <f>IF(CO173&lt;&gt;"",MAX($CR$3:CR172)+1,"")</f>
        <v/>
      </c>
      <c r="CS173" s="2002">
        <f>MyTimestamp(CQ173)</f>
        <v/>
      </c>
      <c r="CT173" s="1533">
        <f>IF(COUNT(CE173:CF173)=1,15,IF(COUNT(CE173:CF173)=0,0,30))</f>
        <v/>
      </c>
      <c r="CU173" s="1534">
        <f>IF(CT173=0,0,2)</f>
        <v/>
      </c>
      <c r="CV173" s="860" t="inlineStr">
        <is>
          <t>S/02</t>
        </is>
      </c>
      <c r="CW173" s="860" t="inlineStr">
        <is>
          <t>Dasy6</t>
        </is>
      </c>
      <c r="CX173" s="2038"/>
      <c r="CY173" s="2049"/>
      <c r="CZ173" s="1544">
        <f>10^(CJ173/20)*100-100</f>
        <v/>
      </c>
      <c r="DA173" s="1326">
        <f>IF('Tune-Up'!$H$21="","",'Tune-Up'!$H$21)</f>
        <v/>
      </c>
      <c r="DB173" s="702">
        <f>IF(COUNT($CO$167:$CO$172)=0,"N/A",IFERROR(INDEX($DB$167:$DB$172,MATCH(MAX($CO$167:$CO$172),$CO$167:$CO$172,0)),"N/A"))</f>
        <v/>
      </c>
      <c r="DC173" s="770">
        <f>IF(DA173="","",10^(DA173/10))</f>
        <v/>
      </c>
      <c r="DD173" s="1370">
        <f>IF(ISNUMBER(DB173)=FALSE,"N/A",10^(DB173/10))</f>
        <v/>
      </c>
      <c r="DE173" s="1544">
        <f>IF(AND(ISNUMBER(DC173),ISNUMBER(DD173)),IF(DC173/DD173&gt;1,ROUND((DC173)/DD173,3),1),1)</f>
        <v/>
      </c>
      <c r="DF173" s="1541"/>
      <c r="DG173" s="1541"/>
      <c r="DH173" s="1541"/>
      <c r="DI173" s="1541"/>
      <c r="DJ173" s="1541"/>
      <c r="DK173" s="1541"/>
      <c r="DL173" s="1541"/>
      <c r="DM173" s="1541"/>
      <c r="DN173" s="1541"/>
      <c r="DO173" s="1541"/>
      <c r="DP173" s="1541"/>
      <c r="DQ173" s="1541"/>
      <c r="DR173" s="1541"/>
    </row>
    <row r="174" ht="12.75" x14ac:dyDescent="0.2">
      <c r="A174" s="1541"/>
      <c r="B174" s="1541"/>
      <c r="C174"/>
      <c r="D174" s="130">
        <f>IF(BX$167="Close to Ear","EN 62209-1","EN 62209-2")</f>
        <v/>
      </c>
      <c r="E174" s="130">
        <f>IF(CG174="Close to Ear","2016","2010/A1:2019")</f>
        <v/>
      </c>
      <c r="F174" s="1488" t="inlineStr">
        <is>
          <t>5.1</t>
        </is>
      </c>
      <c r="G174" s="1497"/>
      <c r="H174" s="120">
        <f>BV174</f>
        <v/>
      </c>
      <c r="I174" s="120">
        <f>BW174</f>
        <v/>
      </c>
      <c r="J174" s="687">
        <f>BT174</f>
        <v/>
      </c>
      <c r="K174" s="194">
        <f>BU174</f>
        <v/>
      </c>
      <c r="L174" s="115"/>
      <c r="M174" s="120">
        <f>BZ174</f>
        <v/>
      </c>
      <c r="N174" s="119"/>
      <c r="O174" s="131"/>
      <c r="P174" s="6597"/>
      <c r="Q174" s="131"/>
      <c r="R174" s="131"/>
      <c r="S174" s="120">
        <f>CG174</f>
        <v/>
      </c>
      <c r="T174" s="120">
        <f>CC174</f>
        <v/>
      </c>
      <c r="U174" s="120">
        <f>CD174</f>
        <v/>
      </c>
      <c r="V174" s="119"/>
      <c r="W174" s="197">
        <f>CK174*100</f>
        <v/>
      </c>
      <c r="X174" s="119"/>
      <c r="Y174" s="119"/>
      <c r="Z174" s="119"/>
      <c r="AA174" s="115"/>
      <c r="AB174" s="115"/>
      <c r="AC174" s="689">
        <f>IF(OR(BX$167="Close to Ear",BX$167="Close to Head"),"Head",IF(BX$167="Extremity","Extremity","Body"))</f>
        <v/>
      </c>
      <c r="AD174" s="690">
        <f>CA174</f>
        <v/>
      </c>
      <c r="AE174" s="688">
        <f>CB174</f>
        <v/>
      </c>
      <c r="AF174" s="115"/>
      <c r="AG174" s="808">
        <f>IF(AZ174="","N/A",IF(CQ174="Pass","P","F"))</f>
        <v/>
      </c>
      <c r="AH174" s="129"/>
      <c r="AI174" s="129"/>
      <c r="AJ174" s="129"/>
      <c r="AK174" s="119"/>
      <c r="AL174" s="115"/>
      <c r="AM174" s="119"/>
      <c r="AN174" s="119"/>
      <c r="AO174" s="692"/>
      <c r="AP174" s="692"/>
      <c r="AQ174" s="692"/>
      <c r="AR174" s="692"/>
      <c r="AS174" s="692"/>
      <c r="AT174" s="691">
        <f>CE174</f>
        <v/>
      </c>
      <c r="AU174" s="691">
        <f>CF174</f>
        <v/>
      </c>
      <c r="AV174" s="813"/>
      <c r="AW174" s="813"/>
      <c r="AX174" s="197">
        <f>CZ174</f>
        <v/>
      </c>
      <c r="AY174" s="197">
        <f>DE174</f>
        <v/>
      </c>
      <c r="AZ174" s="3379">
        <f>CO174</f>
        <v/>
      </c>
      <c r="BA174" s="3380"/>
      <c r="BB174" s="197">
        <f>CP174</f>
        <v/>
      </c>
      <c r="BC174" s="813"/>
      <c r="BD174" s="197">
        <f>CR174</f>
        <v/>
      </c>
      <c r="BE174" s="121">
        <f>CS174</f>
        <v/>
      </c>
      <c r="BF174" s="122">
        <f>CT174*60</f>
        <v/>
      </c>
      <c r="BG174" s="121">
        <f>BE174</f>
        <v/>
      </c>
      <c r="BH174" s="122">
        <f>CU174*60</f>
        <v/>
      </c>
      <c r="BI174" s="122">
        <f>CV174</f>
        <v/>
      </c>
      <c r="BJ174" s="117"/>
      <c r="BK174" s="812">
        <f>Overview!$E$7</f>
        <v/>
      </c>
      <c r="BL174" s="117"/>
      <c r="BM174" s="836">
        <f>CW174</f>
        <v/>
      </c>
      <c r="BN174" s="812">
        <f>Overview!$P$153</f>
        <v/>
      </c>
      <c r="BO174" s="117"/>
      <c r="BP174" s="117"/>
      <c r="BQ174" s="115"/>
      <c r="BR174" s="1478" t="inlineStr">
        <is>
          <t>N/A</t>
        </is>
      </c>
      <c r="BS174" s="1548"/>
      <c r="BT174" s="2071" t="inlineStr">
        <is>
          <t>GSM</t>
        </is>
      </c>
      <c r="BU174" s="2071">
        <v>1800</v>
      </c>
      <c r="BV174" s="415">
        <f>Overview!$H$28</f>
        <v/>
      </c>
      <c r="BW174" s="2010"/>
      <c r="BX174" s="2071"/>
      <c r="BY174" s="2072"/>
      <c r="BZ174" s="2072"/>
      <c r="CA174" s="418" t="str">
        <f>CONCATENATE(CA172," - Battery check 2")</f>
        <v>TBD - Battery check 2</v>
      </c>
      <c r="CB174" s="2074">
        <v>0</v>
      </c>
      <c r="CC174" s="1089">
        <f>IF(COUNT($CO$167:$CO$172)=0,"N/A",INDEX($CC$167:$CC$172,MATCH(MAX($CO$167:$CO$172),$CO$167:$CO$172,0)))</f>
        <v/>
      </c>
      <c r="CD174" s="1089">
        <f>IF(COUNT($CO$167:$CO$172)=0,"N/A",INDEX($CD$167:$CD$172,MATCH(MAX($CO$167:$CO$172),$CO$167:$CO$172,0)))</f>
        <v/>
      </c>
      <c r="CE174" s="1874"/>
      <c r="CF174" s="1874"/>
      <c r="CG174" s="388" t="inlineStr">
        <is>
          <t>N/A</t>
        </is>
      </c>
      <c r="CH174" s="388">
        <f>BZ174</f>
        <v/>
      </c>
      <c r="CI174" s="388">
        <f>CA174</f>
        <v/>
      </c>
      <c r="CJ174" s="2046"/>
      <c r="CK174" s="2047"/>
      <c r="CL174" s="209">
        <f>IF(CF174=""," ",IF(ABS(CE174-CF174)&lt;=0.125,"Valid","Not valid"))</f>
        <v/>
      </c>
      <c r="CM174" s="210">
        <f> IF(CE174="","",IF(AND(CE174&lt;&gt;"",CF174=""),IF(CE174&gt;=1,"Medir+Sig Max","No"),IF(CF174&lt;&gt;"",IF(CF174&gt;=1,"Medir+Sig Max","No"),"")))</f>
        <v/>
      </c>
      <c r="CN174" s="1792"/>
      <c r="CO174" s="221">
        <f>IF(CK174="",IF(AND(CE174="",CF174=""),"",IF(CF174="",IF(DE174&gt;1,ROUND(DE174*CE174,3),CE174),IF(DE174&gt;1,ROUND(DE174*CF174,3),CF174))),IF(AND(CE174="",CF174=""),"",IF(CF174="",IF(DE174&gt;1,ROUND(DE174*CE174*(1/(CK174)),3),CE174*(1/(CK174))),IF(DE174&gt;1,ROUND(DE174*CF174*(1/(CK174)),3),CF174*(1/(CK174))))))</f>
        <v/>
      </c>
      <c r="CP174" s="2048">
        <f>$CP$3</f>
        <v/>
      </c>
      <c r="CQ174" s="1473">
        <f>IF(CO174="","",IF(CO174&gt;CP174,"Fail","Pass"))</f>
        <v/>
      </c>
      <c r="CR174" s="1482">
        <f>IF(CO174&lt;&gt;"",MAX($CR$3:CR173)+1,"")</f>
        <v/>
      </c>
      <c r="CS174" s="2002">
        <f>MyTimestamp(CQ174)</f>
        <v/>
      </c>
      <c r="CT174" s="1533">
        <f>IF(COUNT(CE174:CF174)=1,15,IF(COUNT(CE174:CF174)=0,0,30))</f>
        <v/>
      </c>
      <c r="CU174" s="1534">
        <f>IF(CT174=0,0,2)</f>
        <v/>
      </c>
      <c r="CV174" s="860" t="inlineStr">
        <is>
          <t>S/02</t>
        </is>
      </c>
      <c r="CW174" s="860" t="inlineStr">
        <is>
          <t>Dasy6</t>
        </is>
      </c>
      <c r="CX174" s="2038"/>
      <c r="CY174" s="2049"/>
      <c r="CZ174" s="1544">
        <f>10^(CJ174/20)*100-100</f>
        <v/>
      </c>
      <c r="DA174" s="1326">
        <f>IF('Tune-Up'!$H$21="","",'Tune-Up'!$H$21)</f>
        <v/>
      </c>
      <c r="DB174" s="702">
        <f>IF(COUNT($CO$167:$CO$172)=0,"N/A",IFERROR(INDEX($DB$167:$DB$172,MATCH(MAX($CO$167:$CO$172),$CO$167:$CO$172,0)),"N/A"))</f>
        <v/>
      </c>
      <c r="DC174" s="770">
        <f>IF(DA174="","",10^(DA174/10))</f>
        <v/>
      </c>
      <c r="DD174" s="1370">
        <f>IF(ISNUMBER(DB174)=FALSE,"N/A",10^(DB174/10))</f>
        <v/>
      </c>
      <c r="DE174" s="1544">
        <f>IF(AND(ISNUMBER(DC174),ISNUMBER(DD174)),IF(DC174/DD174&gt;1,ROUND((DC174)/DD174,3),1),1)</f>
        <v/>
      </c>
      <c r="DF174" s="1541"/>
      <c r="DG174" s="1541"/>
      <c r="DH174" s="1541"/>
      <c r="DI174" s="1541"/>
      <c r="DJ174" s="1541"/>
      <c r="DK174" s="1541"/>
      <c r="DL174" s="1541"/>
      <c r="DM174" s="1541"/>
      <c r="DN174" s="1541"/>
      <c r="DO174" s="1541"/>
      <c r="DP174" s="1541"/>
      <c r="DQ174" s="1541"/>
      <c r="DR174" s="1541"/>
    </row>
    <row r="175" ht="12.75" x14ac:dyDescent="0.2">
      <c r="A175" s="1541"/>
      <c r="B175" s="1541"/>
      <c r="C175"/>
      <c r="D175" s="130">
        <f>IF(BX$175="Close to Ear","EN 62209-1","EN 62209-2")</f>
        <v/>
      </c>
      <c r="E175" s="130">
        <f>IF(CG175="Close to Ear","2016","2010/A1:2019")</f>
        <v/>
      </c>
      <c r="F175" s="1488" t="inlineStr">
        <is>
          <t>5.1</t>
        </is>
      </c>
      <c r="G175" s="1497"/>
      <c r="H175" s="120">
        <f>BV175</f>
        <v/>
      </c>
      <c r="I175" s="120">
        <f>BW175</f>
        <v/>
      </c>
      <c r="J175" s="687" t="str">
        <f>BT175</f>
        <v>GSM</v>
      </c>
      <c r="K175" s="194">
        <f>BU175</f>
        <v>1800</v>
      </c>
      <c r="L175" s="115"/>
      <c r="M175" s="120">
        <f>BZ175</f>
        <v>0</v>
      </c>
      <c r="N175" s="119"/>
      <c r="O175" s="131"/>
      <c r="P175" s="6597"/>
      <c r="Q175" s="131"/>
      <c r="R175" s="131"/>
      <c r="S175" s="120">
        <f>CG175</f>
        <v>0</v>
      </c>
      <c r="T175" s="120">
        <f>CC175</f>
        <v>698</v>
      </c>
      <c r="U175" s="120">
        <f>CD175</f>
        <v>1747.4</v>
      </c>
      <c r="V175" s="119"/>
      <c r="W175" s="197">
        <f>CK175*100</f>
        <v/>
      </c>
      <c r="X175" s="119"/>
      <c r="Y175" s="119"/>
      <c r="Z175" s="119"/>
      <c r="AA175" s="115"/>
      <c r="AB175" s="115"/>
      <c r="AC175" s="689">
        <f>IF(OR(BX$175="Close to Ear",BX$175="Close to Head"),"Head",IF(BX$175="Extremity","Extremity","Body"))</f>
        <v/>
      </c>
      <c r="AD175" s="690">
        <f>CA175</f>
        <v/>
      </c>
      <c r="AE175" s="688">
        <f>CB175</f>
        <v/>
      </c>
      <c r="AF175" s="115"/>
      <c r="AG175" s="808">
        <f>IF(AZ175="","N/A",IF(CQ175="Pass","P","F"))</f>
        <v/>
      </c>
      <c r="AH175" s="129"/>
      <c r="AI175" s="129"/>
      <c r="AJ175" s="129"/>
      <c r="AK175" s="119"/>
      <c r="AL175" s="115"/>
      <c r="AM175" s="119"/>
      <c r="AN175" s="119"/>
      <c r="AO175" s="692"/>
      <c r="AP175" s="692"/>
      <c r="AQ175" s="692"/>
      <c r="AR175" s="692"/>
      <c r="AS175" s="692"/>
      <c r="AT175" s="691">
        <f>CE175</f>
        <v/>
      </c>
      <c r="AU175" s="691">
        <f>CF175</f>
        <v/>
      </c>
      <c r="AV175" s="813"/>
      <c r="AW175" s="813"/>
      <c r="AX175" s="197">
        <f>CZ175</f>
        <v/>
      </c>
      <c r="AY175" s="197">
        <f>DE175</f>
        <v/>
      </c>
      <c r="AZ175" s="3379">
        <f>CO175</f>
        <v/>
      </c>
      <c r="BA175" s="3380"/>
      <c r="BB175" s="197">
        <f>CP175</f>
        <v/>
      </c>
      <c r="BC175" s="813"/>
      <c r="BD175" s="197">
        <f>CR175</f>
        <v/>
      </c>
      <c r="BE175" s="121">
        <f>CS175</f>
        <v/>
      </c>
      <c r="BF175" s="122">
        <f>CT175*60</f>
        <v/>
      </c>
      <c r="BG175" s="121">
        <f>BE175</f>
        <v/>
      </c>
      <c r="BH175" s="122">
        <f>CU175*60</f>
        <v/>
      </c>
      <c r="BI175" s="122">
        <f>CV175</f>
        <v/>
      </c>
      <c r="BJ175" s="117"/>
      <c r="BK175" s="812">
        <f>Overview!$E$7</f>
        <v/>
      </c>
      <c r="BL175" s="117"/>
      <c r="BM175" s="836">
        <f>CW175</f>
        <v/>
      </c>
      <c r="BN175" s="812">
        <f>Overview!$P$153</f>
        <v/>
      </c>
      <c r="BO175" s="117"/>
      <c r="BP175" s="117"/>
      <c r="BQ175" s="115"/>
      <c r="BR175" s="1478" t="inlineStr">
        <is>
          <t>N/A</t>
        </is>
      </c>
      <c r="BS175" s="1548"/>
      <c r="BT175" s="2071" t="inlineStr">
        <is>
          <t>GSM</t>
        </is>
      </c>
      <c r="BU175" s="2071">
        <v>1800</v>
      </c>
      <c r="BV175" s="415">
        <f>Overview!$H$28</f>
        <v/>
      </c>
      <c r="BW175" s="2010"/>
      <c r="BX175" s="7674" t="inlineStr">
        <is>
          <t>Close to Head</t>
        </is>
      </c>
      <c r="BY175" s="2072"/>
      <c r="BZ175" s="2072"/>
      <c r="CA175" s="1996" t="inlineStr">
        <is>
          <t>Front Face</t>
        </is>
      </c>
      <c r="CB175" s="1959">
        <v>5</v>
      </c>
      <c r="CC175" s="856">
        <f>'2G-3G'!BX27</f>
        <v>698</v>
      </c>
      <c r="CD175" s="856">
        <f>'2G-3G'!BY27</f>
        <v>1747.4</v>
      </c>
      <c r="CE175" s="1522"/>
      <c r="CF175" s="1522"/>
      <c r="CG175" s="386" t="str">
        <f>IF(OR($BY$167="",$BY$167=""),"",$BY$167)</f>
        <v/>
      </c>
      <c r="CH175" s="386">
        <f>BZ175</f>
        <v/>
      </c>
      <c r="CI175" s="386">
        <f>CA175</f>
        <v/>
      </c>
      <c r="CJ175" s="1526"/>
      <c r="CK175" s="2070"/>
      <c r="CL175" s="203">
        <f>IF(CF175=""," ",IF(ABS(CE175-CF175)&lt;=0.125,"Valid","Not valid"))</f>
        <v/>
      </c>
      <c r="CM175" s="204">
        <f> IF(CE175="","",IF(AND(CE175&lt;&gt;"",CF175=""),IF(CE175&gt;=1,"Medir+Sig Max","No"),IF(CF175&lt;&gt;"",IF(CF175&gt;=1,"Medir+Sig Max","No"),"")))</f>
        <v/>
      </c>
      <c r="CN175" s="1798"/>
      <c r="CO175" s="219">
        <f>IF(CK175="",IF(AND(CE175="",CF175=""),"",IF(CF175="",IF(DE175&gt;1,ROUND(DE175*CE175,3),CE175),IF(DE175&gt;1,ROUND(DE175*CF175,3),CF175))),IF(AND(CE175="",CF175=""),"",IF(CF175="",IF(DE175&gt;1,ROUND(DE175*CE175*(1/(CK175)),3),CE175*(1/(CK175))),IF(DE175&gt;1,ROUND(DE175*CF175*(1/(CK175)),3),CF175*(1/(CK175))))))</f>
        <v/>
      </c>
      <c r="CP175" s="2037">
        <f>$CP$3</f>
        <v/>
      </c>
      <c r="CQ175" s="1471">
        <f>IF(CO175="","",IF(CO175&gt;CP175,"Fail","Pass"))</f>
        <v/>
      </c>
      <c r="CR175" s="1480">
        <f>IF(AND(MAX(CO175:CO182)=CO175,CO175&lt;&gt;0),COUNT($CR$3:CR172)+1,"")</f>
        <v/>
      </c>
      <c r="CS175" s="1564">
        <f>MyTimestamp(CO175)</f>
        <v/>
      </c>
      <c r="CT175" s="1529">
        <f>IF(CE175="",0,15)+IF(CF175="",0,15)</f>
        <v/>
      </c>
      <c r="CU175" s="1530">
        <f>IF(CT175=0,0,2)</f>
        <v/>
      </c>
      <c r="CV175" s="862" t="inlineStr">
        <is>
          <t>S/02</t>
        </is>
      </c>
      <c r="CW175" s="862" t="inlineStr">
        <is>
          <t>Dasy6</t>
        </is>
      </c>
      <c r="CX175" s="2038"/>
      <c r="CY175" s="2039"/>
      <c r="CZ175" s="1542">
        <f>10^(CJ175/20)*100-100</f>
        <v/>
      </c>
      <c r="DA175" s="1324">
        <f>IF('Tune-Up'!$H$21="","",'Tune-Up'!$H$21)</f>
        <v/>
      </c>
      <c r="DB175" s="700">
        <f>'2G-3G'!BZ27</f>
        <v/>
      </c>
      <c r="DC175" s="768">
        <f>IF(DA175="","",10^(DA175/10))</f>
        <v/>
      </c>
      <c r="DD175" s="1368">
        <f>IF(ISNUMBER(DB175)=FALSE,"",10^(DB175/10))</f>
        <v/>
      </c>
      <c r="DE175" s="1542">
        <f>IF(AND(ISNUMBER(DC175),ISNUMBER(DD175)),IF(DC175/DD175&gt;1,ROUND((DC175)/DD175,3),1),1)</f>
        <v/>
      </c>
      <c r="DF175" s="1541"/>
      <c r="DG175" s="1541"/>
      <c r="DH175" s="1541"/>
      <c r="DI175" s="1541"/>
      <c r="DJ175" s="1541"/>
      <c r="DK175" s="1541"/>
      <c r="DL175" s="1541"/>
      <c r="DM175" s="1541"/>
      <c r="DN175" s="1541"/>
      <c r="DO175" s="1541"/>
      <c r="DP175" s="1541"/>
      <c r="DQ175" s="1541"/>
      <c r="DR175" s="1541"/>
    </row>
    <row r="176" ht="12.75" x14ac:dyDescent="0.2">
      <c r="A176" s="1541"/>
      <c r="B176" s="1541"/>
      <c r="C176"/>
      <c r="D176" s="130">
        <f>IF(BX$175="Close to Ear","EN 62209-1","EN 62209-2")</f>
        <v/>
      </c>
      <c r="E176" s="130">
        <f>IF(CG176="Close to Ear","2016","2010/A1:2019")</f>
        <v/>
      </c>
      <c r="F176" s="1488" t="inlineStr">
        <is>
          <t>5.1</t>
        </is>
      </c>
      <c r="G176" s="1497"/>
      <c r="H176" s="120">
        <f>BV176</f>
        <v/>
      </c>
      <c r="I176" s="120">
        <f>BW176</f>
        <v/>
      </c>
      <c r="J176" s="687" t="str">
        <f>BT176</f>
        <v>GSM</v>
      </c>
      <c r="K176" s="194">
        <f>BU176</f>
        <v>1800</v>
      </c>
      <c r="L176" s="115"/>
      <c r="M176" s="120">
        <f>BZ176</f>
        <v>0</v>
      </c>
      <c r="N176" s="119"/>
      <c r="O176" s="131"/>
      <c r="P176" s="6597"/>
      <c r="Q176" s="131"/>
      <c r="R176" s="131"/>
      <c r="S176" s="120">
        <f>CG176</f>
        <v>0</v>
      </c>
      <c r="T176" s="120">
        <f>CC176</f>
        <v>698</v>
      </c>
      <c r="U176" s="120">
        <f>CD176</f>
        <v>1747.4</v>
      </c>
      <c r="V176" s="119"/>
      <c r="W176" s="197">
        <f>CK176*100</f>
        <v/>
      </c>
      <c r="X176" s="119"/>
      <c r="Y176" s="119"/>
      <c r="Z176" s="119"/>
      <c r="AA176" s="115"/>
      <c r="AB176" s="115"/>
      <c r="AC176" s="689">
        <f>IF(OR(BX$175="Close to Ear",BX$175="Close to Head"),"Head",IF(BX$175="Extremity","Extremity","Body"))</f>
        <v/>
      </c>
      <c r="AD176" s="690">
        <f>CA176</f>
        <v/>
      </c>
      <c r="AE176" s="688">
        <f>CB176</f>
        <v/>
      </c>
      <c r="AF176" s="115"/>
      <c r="AG176" s="808">
        <f>IF(AZ176="","N/A",IF(CQ176="Pass","P","F"))</f>
        <v/>
      </c>
      <c r="AH176" s="129"/>
      <c r="AI176" s="129"/>
      <c r="AJ176" s="129"/>
      <c r="AK176" s="119"/>
      <c r="AL176" s="115"/>
      <c r="AM176" s="119"/>
      <c r="AN176" s="119"/>
      <c r="AO176" s="692"/>
      <c r="AP176" s="692"/>
      <c r="AQ176" s="692"/>
      <c r="AR176" s="692"/>
      <c r="AS176" s="692"/>
      <c r="AT176" s="691">
        <f>CE176</f>
        <v/>
      </c>
      <c r="AU176" s="691">
        <f>CF176</f>
        <v/>
      </c>
      <c r="AV176" s="813"/>
      <c r="AW176" s="813"/>
      <c r="AX176" s="197">
        <f>CZ176</f>
        <v/>
      </c>
      <c r="AY176" s="197">
        <f>DE176</f>
        <v/>
      </c>
      <c r="AZ176" s="3379">
        <f>CO176</f>
        <v/>
      </c>
      <c r="BA176" s="3380"/>
      <c r="BB176" s="197">
        <f>CP176</f>
        <v/>
      </c>
      <c r="BC176" s="813"/>
      <c r="BD176" s="197">
        <f>CR176</f>
        <v/>
      </c>
      <c r="BE176" s="121">
        <f>CS176</f>
        <v/>
      </c>
      <c r="BF176" s="122">
        <f>CT176*60</f>
        <v/>
      </c>
      <c r="BG176" s="121">
        <f>BE176</f>
        <v/>
      </c>
      <c r="BH176" s="122">
        <f>CU176*60</f>
        <v/>
      </c>
      <c r="BI176" s="122">
        <f>CV176</f>
        <v/>
      </c>
      <c r="BJ176" s="117"/>
      <c r="BK176" s="812">
        <f>Overview!$E$7</f>
        <v/>
      </c>
      <c r="BL176" s="117"/>
      <c r="BM176" s="836">
        <f>CW176</f>
        <v/>
      </c>
      <c r="BN176" s="812">
        <f>Overview!$P$153</f>
        <v/>
      </c>
      <c r="BO176" s="117"/>
      <c r="BP176" s="117"/>
      <c r="BQ176" s="115"/>
      <c r="BR176" s="1478" t="inlineStr">
        <is>
          <t>N/A</t>
        </is>
      </c>
      <c r="BS176" s="1548"/>
      <c r="BT176" s="2071" t="inlineStr">
        <is>
          <t>GSM</t>
        </is>
      </c>
      <c r="BU176" s="2071">
        <v>1800</v>
      </c>
      <c r="BV176" s="415">
        <f>Overview!$H$28</f>
        <v/>
      </c>
      <c r="BW176" s="2010"/>
      <c r="BX176" s="2071"/>
      <c r="BY176" s="2072"/>
      <c r="BZ176" s="2072"/>
      <c r="CA176" s="1997" t="inlineStr">
        <is>
          <t>Back Face</t>
        </is>
      </c>
      <c r="CB176" s="200">
        <v>5</v>
      </c>
      <c r="CC176" s="902">
        <f>'2G-3G'!BX27</f>
        <v>698</v>
      </c>
      <c r="CD176" s="902">
        <f>'2G-3G'!BY27</f>
        <v>1747.4</v>
      </c>
      <c r="CE176" s="1523"/>
      <c r="CF176" s="1523"/>
      <c r="CG176" s="387" t="str">
        <f>IF(OR($BY$167="",$BY$167=""),"",$BY$167)</f>
        <v/>
      </c>
      <c r="CH176" s="387">
        <f>BZ176</f>
        <v/>
      </c>
      <c r="CI176" s="387">
        <f>CA176</f>
        <v/>
      </c>
      <c r="CJ176" s="1527"/>
      <c r="CK176" s="2042"/>
      <c r="CL176" s="206">
        <f>IF(CF176=""," ",IF(ABS(CE176-CF176)&lt;=0.125,"Valid","Not valid"))</f>
        <v/>
      </c>
      <c r="CM176" s="207">
        <f> IF(CE176="","",IF(AND(CE176&lt;&gt;"",CF176=""),IF(CE176&gt;=1,"Medir+Sig Max","No"),IF(CF176&lt;&gt;"",IF(CF176&gt;=1,"Medir+Sig Max","No"),"")))</f>
        <v/>
      </c>
      <c r="CN176" s="1787"/>
      <c r="CO176" s="220">
        <f>IF(CK176="",IF(AND(CE176="",CF176=""),"",IF(CF176="",IF(DE176&gt;1,ROUND(DE176*CE176,3),CE176),IF(DE176&gt;1,ROUND(DE176*CF176,3),CF176))),IF(AND(CE176="",CF176=""),"",IF(CF176="",IF(DE176&gt;1,ROUND(DE176*CE176*(1/(CK176)),3),CE176*(1/(CK176))),IF(DE176&gt;1,ROUND(DE176*CF176*(1/(CK176)),3),CF176*(1/(CK176))))))</f>
        <v/>
      </c>
      <c r="CP176" s="2043">
        <f>$CP$3</f>
        <v/>
      </c>
      <c r="CQ176" s="1472">
        <f>IF(CO176="","",IF(CO176&gt;CP176,"Fail","Pass"))</f>
        <v/>
      </c>
      <c r="CR176" s="1481">
        <f>IF(AND(MAX(CO175:CO182)=CO176,CO176&lt;&gt;0),COUNT($CR$3:CR175)+1,"")</f>
        <v/>
      </c>
      <c r="CS176" s="1565">
        <f>MyTimestamp(CO176)</f>
        <v/>
      </c>
      <c r="CT176" s="1531">
        <f>IF(CE176="",0,15)+IF(CF176="",0,15)</f>
        <v/>
      </c>
      <c r="CU176" s="1532">
        <f>IF(CT176=0,0,2)</f>
        <v/>
      </c>
      <c r="CV176" s="859" t="inlineStr">
        <is>
          <t>S/02</t>
        </is>
      </c>
      <c r="CW176" s="859" t="inlineStr">
        <is>
          <t>Dasy6</t>
        </is>
      </c>
      <c r="CX176" s="2038"/>
      <c r="CY176" s="2044"/>
      <c r="CZ176" s="1543">
        <f>10^(CJ176/20)*100-100</f>
        <v/>
      </c>
      <c r="DA176" s="1325">
        <f>IF('Tune-Up'!$H$21="","",'Tune-Up'!$H$21)</f>
        <v/>
      </c>
      <c r="DB176" s="701">
        <f>'2G-3G'!BZ27</f>
        <v/>
      </c>
      <c r="DC176" s="769">
        <f>IF(DA176="","",10^(DA176/10))</f>
        <v/>
      </c>
      <c r="DD176" s="1369">
        <f>IF(ISNUMBER(DB176)=FALSE,"",10^(DB176/10))</f>
        <v/>
      </c>
      <c r="DE176" s="1543">
        <f>IF(AND(ISNUMBER(DC176),ISNUMBER(DD176)),IF(DC176/DD176&gt;1,ROUND((DC176)/DD176,3),1),1)</f>
        <v/>
      </c>
      <c r="DF176" s="1541"/>
      <c r="DG176" s="1541"/>
      <c r="DH176" s="1541"/>
      <c r="DI176" s="1541"/>
      <c r="DJ176" s="1541"/>
      <c r="DK176" s="1541"/>
      <c r="DL176" s="1541"/>
      <c r="DM176" s="1541"/>
      <c r="DN176" s="1541"/>
      <c r="DO176" s="1541"/>
      <c r="DP176" s="1541"/>
      <c r="DQ176" s="1541"/>
      <c r="DR176" s="1541"/>
    </row>
    <row r="177" ht="12.75" x14ac:dyDescent="0.2">
      <c r="A177" s="1541"/>
      <c r="B177" s="1541"/>
      <c r="C177"/>
      <c r="D177" s="130">
        <f>IF(BX$175="Close to Ear","EN 62209-1","EN 62209-2")</f>
        <v/>
      </c>
      <c r="E177" s="130">
        <f>IF(CG177="Close to Ear","2016","2010/A1:2019")</f>
        <v/>
      </c>
      <c r="F177" s="1488" t="inlineStr">
        <is>
          <t>5.1</t>
        </is>
      </c>
      <c r="G177" s="1497"/>
      <c r="H177" s="120">
        <f>BV177</f>
        <v/>
      </c>
      <c r="I177" s="120">
        <f>BW177</f>
        <v/>
      </c>
      <c r="J177" s="687" t="str">
        <f>BT177</f>
        <v>GSM</v>
      </c>
      <c r="K177" s="194">
        <f>BU177</f>
        <v>1800</v>
      </c>
      <c r="L177" s="115"/>
      <c r="M177" s="120">
        <f>BZ177</f>
        <v>0</v>
      </c>
      <c r="N177" s="119"/>
      <c r="O177" s="131"/>
      <c r="P177" s="6597"/>
      <c r="Q177" s="131"/>
      <c r="R177" s="131"/>
      <c r="S177" s="120">
        <f>CG177</f>
        <v>0</v>
      </c>
      <c r="T177" s="120">
        <f>CC177</f>
        <v>698</v>
      </c>
      <c r="U177" s="120">
        <f>CD177</f>
        <v>1747.4</v>
      </c>
      <c r="V177" s="119"/>
      <c r="W177" s="197">
        <f>CK177*100</f>
        <v/>
      </c>
      <c r="X177" s="119"/>
      <c r="Y177" s="119"/>
      <c r="Z177" s="119"/>
      <c r="AA177" s="115"/>
      <c r="AB177" s="115"/>
      <c r="AC177" s="689">
        <f>IF(OR(BX$175="Close to Ear",BX$175="Close to Head"),"Head",IF(BX$175="Extremity","Extremity","Body"))</f>
        <v/>
      </c>
      <c r="AD177" s="690">
        <f>CA177</f>
        <v/>
      </c>
      <c r="AE177" s="688">
        <f>CB177</f>
        <v/>
      </c>
      <c r="AF177" s="115"/>
      <c r="AG177" s="808">
        <f>IF(AZ177="","N/A",IF(CQ177="Pass","P","F"))</f>
        <v/>
      </c>
      <c r="AH177" s="129"/>
      <c r="AI177" s="129"/>
      <c r="AJ177" s="129"/>
      <c r="AK177" s="119"/>
      <c r="AL177" s="115"/>
      <c r="AM177" s="119"/>
      <c r="AN177" s="119"/>
      <c r="AO177" s="692"/>
      <c r="AP177" s="692"/>
      <c r="AQ177" s="692"/>
      <c r="AR177" s="692"/>
      <c r="AS177" s="692"/>
      <c r="AT177" s="691">
        <f>CE177</f>
        <v/>
      </c>
      <c r="AU177" s="691">
        <f>CF177</f>
        <v/>
      </c>
      <c r="AV177" s="813"/>
      <c r="AW177" s="813"/>
      <c r="AX177" s="197">
        <f>CZ177</f>
        <v/>
      </c>
      <c r="AY177" s="197">
        <f>DE177</f>
        <v/>
      </c>
      <c r="AZ177" s="3379">
        <f>CO177</f>
        <v/>
      </c>
      <c r="BA177" s="3380"/>
      <c r="BB177" s="197">
        <f>CP177</f>
        <v/>
      </c>
      <c r="BC177" s="813"/>
      <c r="BD177" s="197">
        <f>CR177</f>
        <v/>
      </c>
      <c r="BE177" s="121">
        <f>CS177</f>
        <v/>
      </c>
      <c r="BF177" s="122">
        <f>CT177*60</f>
        <v/>
      </c>
      <c r="BG177" s="121">
        <f>BE177</f>
        <v/>
      </c>
      <c r="BH177" s="122">
        <f>CU177*60</f>
        <v/>
      </c>
      <c r="BI177" s="122">
        <f>CV177</f>
        <v/>
      </c>
      <c r="BJ177" s="117"/>
      <c r="BK177" s="812">
        <f>Overview!$E$7</f>
        <v/>
      </c>
      <c r="BL177" s="117"/>
      <c r="BM177" s="836">
        <f>CW177</f>
        <v/>
      </c>
      <c r="BN177" s="812">
        <f>Overview!$P$153</f>
        <v/>
      </c>
      <c r="BO177" s="117"/>
      <c r="BP177" s="117"/>
      <c r="BQ177" s="115"/>
      <c r="BR177" s="1478" t="inlineStr">
        <is>
          <t>N/A</t>
        </is>
      </c>
      <c r="BS177" s="1548"/>
      <c r="BT177" s="2071" t="inlineStr">
        <is>
          <t>GSM</t>
        </is>
      </c>
      <c r="BU177" s="2071">
        <v>1800</v>
      </c>
      <c r="BV177" s="415">
        <f>Overview!$H$28</f>
        <v/>
      </c>
      <c r="BW177" s="2010"/>
      <c r="BX177" s="2071"/>
      <c r="BY177" s="2072"/>
      <c r="BZ177" s="2072"/>
      <c r="CA177" s="1997" t="inlineStr">
        <is>
          <t>Left Edge</t>
        </is>
      </c>
      <c r="CB177" s="200">
        <v>5</v>
      </c>
      <c r="CC177" s="902">
        <f>'2G-3G'!BX27</f>
        <v>698</v>
      </c>
      <c r="CD177" s="902">
        <f>'2G-3G'!BY27</f>
        <v>1747.4</v>
      </c>
      <c r="CE177" s="1523"/>
      <c r="CF177" s="1523"/>
      <c r="CG177" s="387" t="str">
        <f>IF(OR($BY$167="",$BY$167=""),"",$BY$167)</f>
        <v/>
      </c>
      <c r="CH177" s="387">
        <f>BZ177</f>
        <v/>
      </c>
      <c r="CI177" s="387">
        <f>CA177</f>
        <v/>
      </c>
      <c r="CJ177" s="1527"/>
      <c r="CK177" s="2042"/>
      <c r="CL177" s="206">
        <f>IF(CF177=""," ",IF(ABS(CE177-CF177)&lt;=0.125,"Valid","Not valid"))</f>
        <v/>
      </c>
      <c r="CM177" s="207">
        <f> IF(CE177="","",IF(AND(CE177&lt;&gt;"",CF177=""),IF(CE177&gt;=1,"Medir+Sig Max","No"),IF(CF177&lt;&gt;"",IF(CF177&gt;=1,"Medir+Sig Max","No"),"")))</f>
        <v/>
      </c>
      <c r="CN177" s="1787"/>
      <c r="CO177" s="220">
        <f>IF(CK177="",IF(AND(CE177="",CF177=""),"",IF(CF177="",IF(DE177&gt;1,ROUND(DE177*CE177,3),CE177),IF(DE177&gt;1,ROUND(DE177*CF177,3),CF177))),IF(AND(CE177="",CF177=""),"",IF(CF177="",IF(DE177&gt;1,ROUND(DE177*CE177*(1/(CK177)),3),CE177*(1/(CK177))),IF(DE177&gt;1,ROUND(DE177*CF177*(1/(CK177)),3),CF177*(1/(CK177))))))</f>
        <v/>
      </c>
      <c r="CP177" s="2043">
        <f>$CP$3</f>
        <v/>
      </c>
      <c r="CQ177" s="1472">
        <f>IF(CO177="","",IF(CO177&gt;CP177,"Fail","Pass"))</f>
        <v/>
      </c>
      <c r="CR177" s="1481">
        <f>IF(AND(MAX(CO175:CO182)=CO177,CO177&lt;&gt;0),COUNT($CR$3:CR176)+1,"")</f>
        <v/>
      </c>
      <c r="CS177" s="1565">
        <f>MyTimestamp(CO177)</f>
        <v/>
      </c>
      <c r="CT177" s="1531">
        <f>IF(CE177="",0,15)+IF(CF177="",0,15)</f>
        <v/>
      </c>
      <c r="CU177" s="1532">
        <f>IF(CT177=0,0,2)</f>
        <v/>
      </c>
      <c r="CV177" s="859" t="inlineStr">
        <is>
          <t>S/02</t>
        </is>
      </c>
      <c r="CW177" s="859" t="inlineStr">
        <is>
          <t>Dasy6</t>
        </is>
      </c>
      <c r="CX177" s="2038"/>
      <c r="CY177" s="2044"/>
      <c r="CZ177" s="1543">
        <f>10^(CJ177/20)*100-100</f>
        <v/>
      </c>
      <c r="DA177" s="1325">
        <f>IF('Tune-Up'!$H$21="","",'Tune-Up'!$H$21)</f>
        <v/>
      </c>
      <c r="DB177" s="701">
        <f>'2G-3G'!BZ27</f>
        <v/>
      </c>
      <c r="DC177" s="769">
        <f>IF(DA177="","",10^(DA177/10))</f>
        <v/>
      </c>
      <c r="DD177" s="1369">
        <f>IF(ISNUMBER(DB177)=FALSE,"",10^(DB177/10))</f>
        <v/>
      </c>
      <c r="DE177" s="1543">
        <f>IF(AND(ISNUMBER(DC177),ISNUMBER(DD177)),IF(DC177/DD177&gt;1,ROUND((DC177)/DD177,3),1),1)</f>
        <v/>
      </c>
      <c r="DF177" s="1541"/>
      <c r="DG177" s="1541"/>
      <c r="DH177" s="1541"/>
      <c r="DI177" s="1541"/>
      <c r="DJ177" s="1541"/>
      <c r="DK177" s="1541"/>
      <c r="DL177" s="1541"/>
      <c r="DM177" s="1541"/>
      <c r="DN177" s="1541"/>
      <c r="DO177" s="1541"/>
      <c r="DP177" s="1541"/>
      <c r="DQ177" s="1541"/>
      <c r="DR177" s="1541"/>
    </row>
    <row r="178" ht="12.75" x14ac:dyDescent="0.2">
      <c r="A178" s="1541"/>
      <c r="B178" s="1541"/>
      <c r="C178"/>
      <c r="D178" s="130">
        <f>IF(BX$175="Close to Ear","EN 62209-1","EN 62209-2")</f>
        <v/>
      </c>
      <c r="E178" s="130">
        <f>IF(CG178="Close to Ear","2016","2010/A1:2019")</f>
        <v/>
      </c>
      <c r="F178" s="1488" t="inlineStr">
        <is>
          <t>5.1</t>
        </is>
      </c>
      <c r="G178" s="1497"/>
      <c r="H178" s="120">
        <f>BV178</f>
        <v/>
      </c>
      <c r="I178" s="120">
        <f>BW178</f>
        <v/>
      </c>
      <c r="J178" s="687" t="str">
        <f>BT178</f>
        <v>GSM</v>
      </c>
      <c r="K178" s="194">
        <f>BU178</f>
        <v>1800</v>
      </c>
      <c r="L178" s="115"/>
      <c r="M178" s="120">
        <f>BZ178</f>
        <v>0</v>
      </c>
      <c r="N178" s="119"/>
      <c r="O178" s="131"/>
      <c r="P178" s="6597"/>
      <c r="Q178" s="131"/>
      <c r="R178" s="131"/>
      <c r="S178" s="120">
        <f>CG178</f>
        <v>0</v>
      </c>
      <c r="T178" s="120">
        <f>CC178</f>
        <v>698</v>
      </c>
      <c r="U178" s="120">
        <f>CD178</f>
        <v>1747.4</v>
      </c>
      <c r="V178" s="119"/>
      <c r="W178" s="197">
        <f>CK178*100</f>
        <v/>
      </c>
      <c r="X178" s="119"/>
      <c r="Y178" s="119"/>
      <c r="Z178" s="119"/>
      <c r="AA178" s="115"/>
      <c r="AB178" s="115"/>
      <c r="AC178" s="689">
        <f>IF(OR(BX$175="Close to Ear",BX$175="Close to Head"),"Head",IF(BX$175="Extremity","Extremity","Body"))</f>
        <v/>
      </c>
      <c r="AD178" s="690">
        <f>CA178</f>
        <v/>
      </c>
      <c r="AE178" s="688">
        <f>CB178</f>
        <v/>
      </c>
      <c r="AF178" s="115"/>
      <c r="AG178" s="808">
        <f>IF(AZ178="","N/A",IF(CQ178="Pass","P","F"))</f>
        <v/>
      </c>
      <c r="AH178" s="129"/>
      <c r="AI178" s="129"/>
      <c r="AJ178" s="129"/>
      <c r="AK178" s="119"/>
      <c r="AL178" s="115"/>
      <c r="AM178" s="119"/>
      <c r="AN178" s="119"/>
      <c r="AO178" s="692"/>
      <c r="AP178" s="692"/>
      <c r="AQ178" s="692"/>
      <c r="AR178" s="692"/>
      <c r="AS178" s="692"/>
      <c r="AT178" s="691">
        <f>CE178</f>
        <v/>
      </c>
      <c r="AU178" s="691">
        <f>CF178</f>
        <v/>
      </c>
      <c r="AV178" s="813"/>
      <c r="AW178" s="813"/>
      <c r="AX178" s="197">
        <f>CZ178</f>
        <v/>
      </c>
      <c r="AY178" s="197">
        <f>DE178</f>
        <v/>
      </c>
      <c r="AZ178" s="3379">
        <f>CO178</f>
        <v/>
      </c>
      <c r="BA178" s="3380"/>
      <c r="BB178" s="197">
        <f>CP178</f>
        <v/>
      </c>
      <c r="BC178" s="813"/>
      <c r="BD178" s="197">
        <f>CR178</f>
        <v/>
      </c>
      <c r="BE178" s="121">
        <f>CS178</f>
        <v/>
      </c>
      <c r="BF178" s="122">
        <f>CT178*60</f>
        <v/>
      </c>
      <c r="BG178" s="121">
        <f>BE178</f>
        <v/>
      </c>
      <c r="BH178" s="122">
        <f>CU178*60</f>
        <v/>
      </c>
      <c r="BI178" s="122">
        <f>CV178</f>
        <v/>
      </c>
      <c r="BJ178" s="117"/>
      <c r="BK178" s="812">
        <f>Overview!$E$7</f>
        <v/>
      </c>
      <c r="BL178" s="117"/>
      <c r="BM178" s="836">
        <f>CW178</f>
        <v/>
      </c>
      <c r="BN178" s="812">
        <f>Overview!$P$153</f>
        <v/>
      </c>
      <c r="BO178" s="117"/>
      <c r="BP178" s="117"/>
      <c r="BQ178" s="115"/>
      <c r="BR178" s="1478" t="inlineStr">
        <is>
          <t>N/A</t>
        </is>
      </c>
      <c r="BS178" s="1548"/>
      <c r="BT178" s="1891" t="inlineStr">
        <is>
          <t>GSM</t>
        </is>
      </c>
      <c r="BU178" s="1891">
        <v>1800</v>
      </c>
      <c r="BV178" s="417">
        <f>Overview!$H$28</f>
        <v/>
      </c>
      <c r="BW178" s="2010"/>
      <c r="BX178" s="1891"/>
      <c r="BY178" s="2072"/>
      <c r="BZ178" s="2072"/>
      <c r="CA178" s="1997" t="inlineStr">
        <is>
          <t>Right Edge</t>
        </is>
      </c>
      <c r="CB178" s="200">
        <v>5</v>
      </c>
      <c r="CC178" s="902">
        <f>'2G-3G'!BX27</f>
        <v>698</v>
      </c>
      <c r="CD178" s="902">
        <f>'2G-3G'!BY27</f>
        <v>1747.4</v>
      </c>
      <c r="CE178" s="1523"/>
      <c r="CF178" s="1523"/>
      <c r="CG178" s="387" t="str">
        <f>IF(OR($BY$167="",$BY$167=""),"",$BY$167)</f>
        <v/>
      </c>
      <c r="CH178" s="387">
        <f>BZ178</f>
        <v/>
      </c>
      <c r="CI178" s="387">
        <f>CA178</f>
        <v/>
      </c>
      <c r="CJ178" s="1527"/>
      <c r="CK178" s="2042"/>
      <c r="CL178" s="206">
        <f>IF(CF178=""," ",IF(ABS(CE178-CF178)&lt;=0.125,"Valid","Not valid"))</f>
        <v/>
      </c>
      <c r="CM178" s="207">
        <f> IF(CE178="","",IF(AND(CE178&lt;&gt;"",CF178=""),IF(CE178&gt;=1,"Medir+Sig Max","No"),IF(CF178&lt;&gt;"",IF(CF178&gt;=1,"Medir+Sig Max","No"),"")))</f>
        <v/>
      </c>
      <c r="CN178" s="1787"/>
      <c r="CO178" s="220">
        <f>IF(CK178="",IF(AND(CE178="",CF178=""),"",IF(CF178="",IF(DE178&gt;1,ROUND(DE178*CE178,3),CE178),IF(DE178&gt;1,ROUND(DE178*CF178,3),CF178))),IF(AND(CE178="",CF178=""),"",IF(CF178="",IF(DE178&gt;1,ROUND(DE178*CE178*(1/(CK178)),3),CE178*(1/(CK178))),IF(DE178&gt;1,ROUND(DE178*CF178*(1/(CK178)),3),CF178*(1/(CK178))))))</f>
        <v/>
      </c>
      <c r="CP178" s="2043">
        <f>$CP$3</f>
        <v/>
      </c>
      <c r="CQ178" s="1472">
        <f>IF(CO178="","",IF(CO178&gt;CP178,"Fail","Pass"))</f>
        <v/>
      </c>
      <c r="CR178" s="1481">
        <f>IF(AND(MAX(CO175:CO182)=CO178,CO178&lt;&gt;0),COUNT($CR$3:CR177)+1,"")</f>
        <v/>
      </c>
      <c r="CS178" s="1565">
        <f>MyTimestamp(CO178)</f>
        <v/>
      </c>
      <c r="CT178" s="1531">
        <f>IF(CE178="",0,15)+IF(CF178="",0,15)</f>
        <v/>
      </c>
      <c r="CU178" s="1532">
        <f>IF(CT178=0,0,2)</f>
        <v/>
      </c>
      <c r="CV178" s="859" t="inlineStr">
        <is>
          <t>S/02</t>
        </is>
      </c>
      <c r="CW178" s="859" t="inlineStr">
        <is>
          <t>Dasy6</t>
        </is>
      </c>
      <c r="CX178" s="2038"/>
      <c r="CY178" s="2044"/>
      <c r="CZ178" s="1543">
        <f>10^(CJ178/20)*100-100</f>
        <v/>
      </c>
      <c r="DA178" s="1325">
        <f>IF('Tune-Up'!$H$21="","",'Tune-Up'!$H$21)</f>
        <v/>
      </c>
      <c r="DB178" s="701">
        <f>'2G-3G'!BZ27</f>
        <v/>
      </c>
      <c r="DC178" s="769">
        <f>IF(DA178="","",10^(DA178/10))</f>
        <v/>
      </c>
      <c r="DD178" s="1369">
        <f>IF(ISNUMBER(DB178)=FALSE,"",10^(DB178/10))</f>
        <v/>
      </c>
      <c r="DE178" s="1543">
        <f>IF(AND(ISNUMBER(DC178),ISNUMBER(DD178)),IF(DC178/DD178&gt;1,ROUND((DC178)/DD178,3),1),1)</f>
        <v/>
      </c>
      <c r="DF178" s="1541"/>
      <c r="DG178" s="1541"/>
      <c r="DH178" s="1541"/>
      <c r="DI178" s="1541"/>
      <c r="DJ178" s="1541"/>
      <c r="DK178" s="1541"/>
      <c r="DL178" s="1541"/>
      <c r="DM178" s="1541"/>
      <c r="DN178" s="1541"/>
      <c r="DO178" s="1541"/>
      <c r="DP178" s="1541"/>
      <c r="DQ178" s="1541"/>
      <c r="DR178" s="1541"/>
    </row>
    <row r="179" ht="12.75" x14ac:dyDescent="0.2">
      <c r="A179" s="1541"/>
      <c r="B179" s="1541"/>
      <c r="C179"/>
      <c r="D179" s="130">
        <f>IF(BX$175="Close to Ear","EN 62209-1","EN 62209-2")</f>
        <v/>
      </c>
      <c r="E179" s="130">
        <f>IF(CG179="Close to Ear","2016","2010/A1:2019")</f>
        <v/>
      </c>
      <c r="F179" s="1488" t="inlineStr">
        <is>
          <t>5.1</t>
        </is>
      </c>
      <c r="G179" s="1497"/>
      <c r="H179" s="120">
        <f>BV179</f>
        <v/>
      </c>
      <c r="I179" s="120">
        <f>BW179</f>
        <v/>
      </c>
      <c r="J179" s="687" t="str">
        <f>BT179</f>
        <v>GSM</v>
      </c>
      <c r="K179" s="194">
        <f>BU179</f>
        <v>1800</v>
      </c>
      <c r="L179" s="115"/>
      <c r="M179" s="120">
        <f>BZ179</f>
        <v>0</v>
      </c>
      <c r="N179" s="119"/>
      <c r="O179" s="131"/>
      <c r="P179" s="6597"/>
      <c r="Q179" s="131"/>
      <c r="R179" s="131"/>
      <c r="S179" s="120">
        <f>CG179</f>
        <v>0</v>
      </c>
      <c r="T179" s="120">
        <f>CC179</f>
        <v>698</v>
      </c>
      <c r="U179" s="120">
        <f>CD179</f>
        <v>1747.4</v>
      </c>
      <c r="V179" s="119"/>
      <c r="W179" s="197">
        <f>CK179*100</f>
        <v/>
      </c>
      <c r="X179" s="119"/>
      <c r="Y179" s="119"/>
      <c r="Z179" s="119"/>
      <c r="AA179" s="115"/>
      <c r="AB179" s="115"/>
      <c r="AC179" s="689">
        <f>IF(OR(BX$175="Close to Ear",BX$175="Close to Head"),"Head",IF(BX$175="Extremity","Extremity","Body"))</f>
        <v/>
      </c>
      <c r="AD179" s="690">
        <f>CA179</f>
        <v/>
      </c>
      <c r="AE179" s="688">
        <f>CB179</f>
        <v/>
      </c>
      <c r="AF179" s="115"/>
      <c r="AG179" s="808">
        <f>IF(AZ179="","N/A",IF(CQ179="Pass","P","F"))</f>
        <v/>
      </c>
      <c r="AH179" s="129"/>
      <c r="AI179" s="129"/>
      <c r="AJ179" s="129"/>
      <c r="AK179" s="119"/>
      <c r="AL179" s="115"/>
      <c r="AM179" s="119"/>
      <c r="AN179" s="119"/>
      <c r="AO179" s="692"/>
      <c r="AP179" s="692"/>
      <c r="AQ179" s="692"/>
      <c r="AR179" s="692"/>
      <c r="AS179" s="692"/>
      <c r="AT179" s="691">
        <f>CE179</f>
        <v/>
      </c>
      <c r="AU179" s="691">
        <f>CF179</f>
        <v/>
      </c>
      <c r="AV179" s="813"/>
      <c r="AW179" s="813"/>
      <c r="AX179" s="197">
        <f>CZ179</f>
        <v/>
      </c>
      <c r="AY179" s="197">
        <f>DE179</f>
        <v/>
      </c>
      <c r="AZ179" s="3379">
        <f>CO179</f>
        <v/>
      </c>
      <c r="BA179" s="3380"/>
      <c r="BB179" s="197">
        <f>CP179</f>
        <v/>
      </c>
      <c r="BC179" s="813"/>
      <c r="BD179" s="197">
        <f>CR179</f>
        <v/>
      </c>
      <c r="BE179" s="121">
        <f>CS179</f>
        <v/>
      </c>
      <c r="BF179" s="122">
        <f>CT179*60</f>
        <v/>
      </c>
      <c r="BG179" s="121">
        <f>BE179</f>
        <v/>
      </c>
      <c r="BH179" s="122">
        <f>CU179*60</f>
        <v/>
      </c>
      <c r="BI179" s="122">
        <f>CV179</f>
        <v/>
      </c>
      <c r="BJ179" s="117"/>
      <c r="BK179" s="812">
        <f>Overview!$E$7</f>
        <v/>
      </c>
      <c r="BL179" s="117"/>
      <c r="BM179" s="836">
        <f>CW179</f>
        <v/>
      </c>
      <c r="BN179" s="812">
        <f>Overview!$P$153</f>
        <v/>
      </c>
      <c r="BO179" s="117"/>
      <c r="BP179" s="117"/>
      <c r="BQ179" s="115"/>
      <c r="BR179" s="1478" t="inlineStr">
        <is>
          <t>N/A</t>
        </is>
      </c>
      <c r="BS179" s="1548"/>
      <c r="BT179" s="2071" t="inlineStr">
        <is>
          <t>GSM</t>
        </is>
      </c>
      <c r="BU179" s="2071">
        <v>1800</v>
      </c>
      <c r="BV179" s="415">
        <f>Overview!$H$28</f>
        <v/>
      </c>
      <c r="BW179" s="2010"/>
      <c r="BX179" s="2071"/>
      <c r="BY179" s="2072"/>
      <c r="BZ179" s="2072"/>
      <c r="CA179" s="1997" t="inlineStr">
        <is>
          <t>Top Edge</t>
        </is>
      </c>
      <c r="CB179" s="200">
        <v>5</v>
      </c>
      <c r="CC179" s="902">
        <f>'2G-3G'!BX27</f>
        <v>698</v>
      </c>
      <c r="CD179" s="902">
        <f>'2G-3G'!BY27</f>
        <v>1747.4</v>
      </c>
      <c r="CE179" s="1523"/>
      <c r="CF179" s="1523"/>
      <c r="CG179" s="387" t="str">
        <f>IF(OR($BY$167="",$BY$167=""),"",$BY$167)</f>
        <v/>
      </c>
      <c r="CH179" s="387">
        <f>BZ179</f>
        <v/>
      </c>
      <c r="CI179" s="387">
        <f>CA179</f>
        <v/>
      </c>
      <c r="CJ179" s="1527"/>
      <c r="CK179" s="2042"/>
      <c r="CL179" s="206">
        <f>IF(CF179=""," ",IF(ABS(CE179-CF179)&lt;=0.125,"Valid","Not valid"))</f>
        <v/>
      </c>
      <c r="CM179" s="207">
        <f> IF(CE179="","",IF(AND(CE179&lt;&gt;"",CF179=""),IF(CE179&gt;=1,"Medir+Sig Max","No"),IF(CF179&lt;&gt;"",IF(CF179&gt;=1,"Medir+Sig Max","No"),"")))</f>
        <v/>
      </c>
      <c r="CN179" s="1787"/>
      <c r="CO179" s="220">
        <f>IF(CK179="",IF(AND(CE179="",CF179=""),"",IF(CF179="",IF(DE179&gt;1,ROUND(DE179*CE179,3),CE179),IF(DE179&gt;1,ROUND(DE179*CF179,3),CF179))),IF(AND(CE179="",CF179=""),"",IF(CF179="",IF(DE179&gt;1,ROUND(DE179*CE179*(1/(CK179)),3),CE179*(1/(CK179))),IF(DE179&gt;1,ROUND(DE179*CF179*(1/(CK179)),3),CF179*(1/(CK179))))))</f>
        <v/>
      </c>
      <c r="CP179" s="2043">
        <f>$CP$3</f>
        <v/>
      </c>
      <c r="CQ179" s="1472">
        <f>IF(CO179="","",IF(CO179&gt;CP179,"Fail","Pass"))</f>
        <v/>
      </c>
      <c r="CR179" s="1481">
        <f>IF(AND(MAX(CO175:CO182)=CO179,CO179&lt;&gt;0),COUNT($CR$3:CR178)+1,"")</f>
        <v/>
      </c>
      <c r="CS179" s="1565">
        <f>MyTimestamp(CO179)</f>
        <v/>
      </c>
      <c r="CT179" s="1531">
        <f>IF(CE179="",0,15)+IF(CF179="",0,15)</f>
        <v/>
      </c>
      <c r="CU179" s="1532">
        <f>IF(CT179=0,0,2)</f>
        <v/>
      </c>
      <c r="CV179" s="859" t="inlineStr">
        <is>
          <t>S/02</t>
        </is>
      </c>
      <c r="CW179" s="859" t="inlineStr">
        <is>
          <t>Dasy6</t>
        </is>
      </c>
      <c r="CX179" s="2038"/>
      <c r="CY179" s="2044"/>
      <c r="CZ179" s="1543">
        <f>10^(CJ179/20)*100-100</f>
        <v/>
      </c>
      <c r="DA179" s="1325">
        <f>IF('Tune-Up'!$H$21="","",'Tune-Up'!$H$21)</f>
        <v/>
      </c>
      <c r="DB179" s="701">
        <f>'2G-3G'!BZ27</f>
        <v/>
      </c>
      <c r="DC179" s="769">
        <f>IF(DA179="","",10^(DA179/10))</f>
        <v/>
      </c>
      <c r="DD179" s="1369">
        <f>IF(ISNUMBER(DB179)=FALSE,"",10^(DB179/10))</f>
        <v/>
      </c>
      <c r="DE179" s="1543">
        <f>IF(AND(ISNUMBER(DC179),ISNUMBER(DD179)),IF(DC179/DD179&gt;1,ROUND((DC179)/DD179,3),1),1)</f>
        <v/>
      </c>
      <c r="DF179" s="1541"/>
      <c r="DG179" s="1541"/>
      <c r="DH179" s="1541"/>
      <c r="DI179" s="1541"/>
      <c r="DJ179" s="1541"/>
      <c r="DK179" s="1541"/>
      <c r="DL179" s="1541"/>
      <c r="DM179" s="1541"/>
      <c r="DN179" s="1541"/>
      <c r="DO179" s="1541"/>
      <c r="DP179" s="1541"/>
      <c r="DQ179" s="1541"/>
      <c r="DR179" s="1541"/>
    </row>
    <row r="180" ht="12.75" x14ac:dyDescent="0.2">
      <c r="A180" s="1541"/>
      <c r="B180" s="1541"/>
      <c r="C180"/>
      <c r="D180" s="130">
        <f>IF(BX$175="Close to Ear","EN 62209-1","EN 62209-2")</f>
        <v/>
      </c>
      <c r="E180" s="130">
        <f>IF(CG180="Close to Ear","2016","2010/A1:2019")</f>
        <v/>
      </c>
      <c r="F180" s="1488" t="inlineStr">
        <is>
          <t>5.1</t>
        </is>
      </c>
      <c r="G180" s="1497"/>
      <c r="H180" s="120">
        <f>BV180</f>
        <v/>
      </c>
      <c r="I180" s="120">
        <f>BW180</f>
        <v/>
      </c>
      <c r="J180" s="687" t="str">
        <f>BT180</f>
        <v>GSM</v>
      </c>
      <c r="K180" s="194">
        <f>BU180</f>
        <v>1800</v>
      </c>
      <c r="L180" s="115"/>
      <c r="M180" s="120">
        <f>BZ180</f>
        <v>0</v>
      </c>
      <c r="N180" s="119"/>
      <c r="O180" s="131"/>
      <c r="P180" s="6597"/>
      <c r="Q180" s="131"/>
      <c r="R180" s="131"/>
      <c r="S180" s="120">
        <f>CG180</f>
        <v>0</v>
      </c>
      <c r="T180" s="120">
        <f>CC180</f>
        <v>698</v>
      </c>
      <c r="U180" s="120">
        <f>CD180</f>
        <v>1747.4</v>
      </c>
      <c r="V180" s="119"/>
      <c r="W180" s="197">
        <f>CK180*100</f>
        <v/>
      </c>
      <c r="X180" s="119"/>
      <c r="Y180" s="119"/>
      <c r="Z180" s="119"/>
      <c r="AA180" s="115"/>
      <c r="AB180" s="115"/>
      <c r="AC180" s="689">
        <f>IF(OR(BX$175="Close to Ear",BX$175="Close to Head"),"Head",IF(BX$175="Extremity","Extremity","Body"))</f>
        <v/>
      </c>
      <c r="AD180" s="690">
        <f>CA180</f>
        <v/>
      </c>
      <c r="AE180" s="688">
        <f>CB180</f>
        <v/>
      </c>
      <c r="AF180" s="115"/>
      <c r="AG180" s="808">
        <f>IF(AZ180="","N/A",IF(CQ180="Pass","P","F"))</f>
        <v/>
      </c>
      <c r="AH180" s="129"/>
      <c r="AI180" s="129"/>
      <c r="AJ180" s="129"/>
      <c r="AK180" s="119"/>
      <c r="AL180" s="115"/>
      <c r="AM180" s="119"/>
      <c r="AN180" s="119"/>
      <c r="AO180" s="692"/>
      <c r="AP180" s="692"/>
      <c r="AQ180" s="692"/>
      <c r="AR180" s="692"/>
      <c r="AS180" s="692"/>
      <c r="AT180" s="691">
        <f>CE180</f>
        <v/>
      </c>
      <c r="AU180" s="691">
        <f>CF180</f>
        <v/>
      </c>
      <c r="AV180" s="813"/>
      <c r="AW180" s="813"/>
      <c r="AX180" s="197">
        <f>CZ180</f>
        <v/>
      </c>
      <c r="AY180" s="197">
        <f>DE180</f>
        <v/>
      </c>
      <c r="AZ180" s="3379">
        <f>CO180</f>
        <v/>
      </c>
      <c r="BA180" s="3380"/>
      <c r="BB180" s="197">
        <f>CP180</f>
        <v/>
      </c>
      <c r="BC180" s="813"/>
      <c r="BD180" s="197">
        <f>CR180</f>
        <v/>
      </c>
      <c r="BE180" s="121">
        <f>CS180</f>
        <v/>
      </c>
      <c r="BF180" s="122">
        <f>CT180*60</f>
        <v/>
      </c>
      <c r="BG180" s="121">
        <f>BE180</f>
        <v/>
      </c>
      <c r="BH180" s="122">
        <f>CU180*60</f>
        <v/>
      </c>
      <c r="BI180" s="122">
        <f>CV180</f>
        <v/>
      </c>
      <c r="BJ180" s="117"/>
      <c r="BK180" s="812">
        <f>Overview!$E$7</f>
        <v/>
      </c>
      <c r="BL180" s="117"/>
      <c r="BM180" s="836">
        <f>CW180</f>
        <v/>
      </c>
      <c r="BN180" s="812">
        <f>Overview!$P$153</f>
        <v/>
      </c>
      <c r="BO180" s="117"/>
      <c r="BP180" s="117"/>
      <c r="BQ180" s="115"/>
      <c r="BR180" s="1478" t="inlineStr">
        <is>
          <t>N/A</t>
        </is>
      </c>
      <c r="BS180" s="1548"/>
      <c r="BT180" s="2071" t="inlineStr">
        <is>
          <t>GSM</t>
        </is>
      </c>
      <c r="BU180" s="2071">
        <v>1800</v>
      </c>
      <c r="BV180" s="415">
        <f>Overview!$H$28</f>
        <v/>
      </c>
      <c r="BW180" s="2010"/>
      <c r="BX180" s="2071"/>
      <c r="BY180" s="2072"/>
      <c r="BZ180" s="2072"/>
      <c r="CA180" s="1997" t="inlineStr">
        <is>
          <t>Bottom Edge</t>
        </is>
      </c>
      <c r="CB180" s="200">
        <v>5</v>
      </c>
      <c r="CC180" s="902">
        <f>'2G-3G'!BX27</f>
        <v>698</v>
      </c>
      <c r="CD180" s="902">
        <f>'2G-3G'!BY27</f>
        <v>1747.4</v>
      </c>
      <c r="CE180" s="1523"/>
      <c r="CF180" s="1523"/>
      <c r="CG180" s="387" t="str">
        <f>IF(OR($BY$167="",$BY$167=""),"",$BY$167)</f>
        <v/>
      </c>
      <c r="CH180" s="387">
        <f>BZ180</f>
        <v/>
      </c>
      <c r="CI180" s="387">
        <f>CA180</f>
        <v/>
      </c>
      <c r="CJ180" s="1527"/>
      <c r="CK180" s="2042"/>
      <c r="CL180" s="206">
        <f>IF(CF180=""," ",IF(ABS(CE180-CF180)&lt;=0.125,"Valid","Not valid"))</f>
        <v/>
      </c>
      <c r="CM180" s="207">
        <f> IF(CE180="","",IF(AND(CE180&lt;&gt;"",CF180=""),IF(CE180&gt;=1,"Medir+Sig Max","No"),IF(CF180&lt;&gt;"",IF(CF180&gt;=1,"Medir+Sig Max","No"),"")))</f>
        <v/>
      </c>
      <c r="CN180" s="1787"/>
      <c r="CO180" s="220">
        <f>IF(CK180="",IF(AND(CE180="",CF180=""),"",IF(CF180="",IF(DE180&gt;1,ROUND(DE180*CE180,3),CE180),IF(DE180&gt;1,ROUND(DE180*CF180,3),CF180))),IF(AND(CE180="",CF180=""),"",IF(CF180="",IF(DE180&gt;1,ROUND(DE180*CE180*(1/(CK180)),3),CE180*(1/(CK180))),IF(DE180&gt;1,ROUND(DE180*CF180*(1/(CK180)),3),CF180*(1/(CK180))))))</f>
        <v/>
      </c>
      <c r="CP180" s="2043">
        <f>$CP$3</f>
        <v/>
      </c>
      <c r="CQ180" s="1472">
        <f>IF(CO180="","",IF(CO180&gt;CP180,"Fail","Pass"))</f>
        <v/>
      </c>
      <c r="CR180" s="1481">
        <f>IF(AND(MAX(CO175:CO182)=CO180,CO180&lt;&gt;0),COUNT($CR$3:CR179)+1,"")</f>
        <v/>
      </c>
      <c r="CS180" s="1565">
        <f>MyTimestamp(CO180)</f>
        <v/>
      </c>
      <c r="CT180" s="1531">
        <f>IF(CE180="",0,15)+IF(CF180="",0,15)</f>
        <v/>
      </c>
      <c r="CU180" s="1532">
        <f>IF(CT180=0,0,2)</f>
        <v/>
      </c>
      <c r="CV180" s="859" t="inlineStr">
        <is>
          <t>S/02</t>
        </is>
      </c>
      <c r="CW180" s="859" t="inlineStr">
        <is>
          <t>Dasy6</t>
        </is>
      </c>
      <c r="CX180" s="2038"/>
      <c r="CY180" s="2044"/>
      <c r="CZ180" s="1543">
        <f>10^(CJ180/20)*100-100</f>
        <v/>
      </c>
      <c r="DA180" s="1325">
        <f>IF('Tune-Up'!$H$21="","",'Tune-Up'!$H$21)</f>
        <v/>
      </c>
      <c r="DB180" s="701">
        <f>'2G-3G'!BZ27</f>
        <v/>
      </c>
      <c r="DC180" s="769">
        <f>IF(DA180="","",10^(DA180/10))</f>
        <v/>
      </c>
      <c r="DD180" s="1369">
        <f>IF(ISNUMBER(DB180)=FALSE,"",10^(DB180/10))</f>
        <v/>
      </c>
      <c r="DE180" s="1543">
        <f>IF(AND(ISNUMBER(DC180),ISNUMBER(DD180)),IF(DC180/DD180&gt;1,ROUND((DC180)/DD180,3),1),1)</f>
        <v/>
      </c>
      <c r="DF180" s="1541"/>
      <c r="DG180" s="1541"/>
      <c r="DH180" s="1541"/>
      <c r="DI180" s="1541"/>
      <c r="DJ180" s="1541"/>
      <c r="DK180" s="1541"/>
      <c r="DL180" s="1541"/>
      <c r="DM180" s="1541"/>
      <c r="DN180" s="1541"/>
      <c r="DO180" s="1541"/>
      <c r="DP180" s="1541"/>
      <c r="DQ180" s="1541"/>
      <c r="DR180" s="1541"/>
    </row>
    <row r="181" ht="12.75" x14ac:dyDescent="0.2">
      <c r="A181" s="1541"/>
      <c r="B181" s="1541"/>
      <c r="C181"/>
      <c r="D181" s="130">
        <f>IF(BX$175="Close to Ear","EN 62209-1","EN 62209-2")</f>
        <v/>
      </c>
      <c r="E181" s="130">
        <f>IF(CG181="Close to Ear","2016","2010/A1:2019")</f>
        <v/>
      </c>
      <c r="F181" s="1488" t="inlineStr">
        <is>
          <t>5.1</t>
        </is>
      </c>
      <c r="G181" s="1497"/>
      <c r="H181" s="120">
        <f>BV181</f>
        <v/>
      </c>
      <c r="I181" s="120">
        <f>BW181</f>
        <v/>
      </c>
      <c r="J181" s="687" t="str">
        <f>BT181</f>
        <v>GSM</v>
      </c>
      <c r="K181" s="194">
        <f>BU181</f>
        <v>1800</v>
      </c>
      <c r="L181" s="115"/>
      <c r="M181" s="120">
        <f>BZ181</f>
        <v>0</v>
      </c>
      <c r="N181" s="119"/>
      <c r="O181" s="131"/>
      <c r="P181" s="6597"/>
      <c r="Q181" s="131"/>
      <c r="R181" s="131"/>
      <c r="S181" s="120">
        <f>CG181</f>
        <v>0</v>
      </c>
      <c r="T181" s="120">
        <f>CC181</f>
        <v>512</v>
      </c>
      <c r="U181" s="120">
        <f>CD181</f>
        <v>1710.2</v>
      </c>
      <c r="V181" s="119"/>
      <c r="W181" s="197">
        <f>CK181*100</f>
        <v/>
      </c>
      <c r="X181" s="119"/>
      <c r="Y181" s="119"/>
      <c r="Z181" s="119"/>
      <c r="AA181" s="115"/>
      <c r="AB181" s="115"/>
      <c r="AC181" s="689">
        <f>IF(OR(BX$175="Close to Ear",BX$175="Close to Head"),"Head",IF(BX$175="Extremity","Extremity","Body"))</f>
        <v/>
      </c>
      <c r="AD181" s="690">
        <f>CA181</f>
        <v/>
      </c>
      <c r="AE181" s="688">
        <f>CB181</f>
        <v/>
      </c>
      <c r="AF181" s="115"/>
      <c r="AG181" s="808">
        <f>IF(AZ181="","N/A",IF(CQ181="Pass","P","F"))</f>
        <v/>
      </c>
      <c r="AH181" s="129"/>
      <c r="AI181" s="129"/>
      <c r="AJ181" s="129"/>
      <c r="AK181" s="119"/>
      <c r="AL181" s="115"/>
      <c r="AM181" s="119"/>
      <c r="AN181" s="119"/>
      <c r="AO181" s="692"/>
      <c r="AP181" s="692"/>
      <c r="AQ181" s="692"/>
      <c r="AR181" s="692"/>
      <c r="AS181" s="692"/>
      <c r="AT181" s="691">
        <f>CE181</f>
        <v/>
      </c>
      <c r="AU181" s="691">
        <f>CF181</f>
        <v/>
      </c>
      <c r="AV181" s="813"/>
      <c r="AW181" s="813"/>
      <c r="AX181" s="197">
        <f>CZ181</f>
        <v/>
      </c>
      <c r="AY181" s="197">
        <f>DE181</f>
        <v/>
      </c>
      <c r="AZ181" s="3379">
        <f>CO181</f>
        <v/>
      </c>
      <c r="BA181" s="3380"/>
      <c r="BB181" s="197">
        <f>CP181</f>
        <v/>
      </c>
      <c r="BC181" s="813"/>
      <c r="BD181" s="197">
        <f>CR181</f>
        <v/>
      </c>
      <c r="BE181" s="121">
        <f>CS181</f>
        <v/>
      </c>
      <c r="BF181" s="122">
        <f>CT181*60</f>
        <v/>
      </c>
      <c r="BG181" s="121">
        <f>BE181</f>
        <v/>
      </c>
      <c r="BH181" s="122">
        <f>CU181*60</f>
        <v/>
      </c>
      <c r="BI181" s="122">
        <f>CV181</f>
        <v/>
      </c>
      <c r="BJ181" s="117"/>
      <c r="BK181" s="812">
        <f>Overview!$E$7</f>
        <v/>
      </c>
      <c r="BL181" s="117"/>
      <c r="BM181" s="836">
        <f>CW181</f>
        <v/>
      </c>
      <c r="BN181" s="812">
        <f>Overview!$P$153</f>
        <v/>
      </c>
      <c r="BO181" s="117"/>
      <c r="BP181" s="117"/>
      <c r="BQ181" s="115"/>
      <c r="BR181" s="1478" t="inlineStr">
        <is>
          <t>N/A</t>
        </is>
      </c>
      <c r="BS181" s="1548"/>
      <c r="BT181" s="2071" t="inlineStr">
        <is>
          <t>GSM</t>
        </is>
      </c>
      <c r="BU181" s="2071">
        <v>1800</v>
      </c>
      <c r="BV181" s="415">
        <f>Overview!$H$28</f>
        <v/>
      </c>
      <c r="BW181" s="2010"/>
      <c r="BX181" s="2071"/>
      <c r="BY181" s="2072"/>
      <c r="BZ181" s="2072"/>
      <c r="CA181" s="416" t="str">
        <f>IF(COUNT(CF175:CF180)=0,IF(COUNT(CE175:CE180)=0,"TBD",VLOOKUP(MAX(CE175:CE180),CE175:CI180,5,FALSE)),VLOOKUP(MAX(CF175:CF180),CF175:CI180,4,FALSE))</f>
        <v>TBD</v>
      </c>
      <c r="CB181" s="200">
        <v>5</v>
      </c>
      <c r="CC181" s="902">
        <f>'2G-3G'!BX28</f>
        <v>512</v>
      </c>
      <c r="CD181" s="902">
        <f>'2G-3G'!BY28</f>
        <v>1710.2</v>
      </c>
      <c r="CE181" s="1523"/>
      <c r="CF181" s="1523"/>
      <c r="CG181" s="387" t="str">
        <f>IF(OR($BY$167="",$BY$167=""),"",$BY$167)</f>
        <v/>
      </c>
      <c r="CH181" s="387">
        <f>BZ181</f>
        <v/>
      </c>
      <c r="CI181" s="387">
        <f>CA181</f>
        <v/>
      </c>
      <c r="CJ181" s="1527"/>
      <c r="CK181" s="2042"/>
      <c r="CL181" s="206">
        <f>IF(CF181=""," ",IF(ABS(CE181-CF181)&lt;=0.125,"Valid","Not valid"))</f>
        <v/>
      </c>
      <c r="CM181" s="207">
        <f> IF(CE181="","",IF(AND(CE181&lt;&gt;"",CF181=""),IF(CE181&gt;=1,"Medir+Sig Max","No"),IF(CF181&lt;&gt;"",IF(CF181&gt;=1,"Medir+Sig Max","No"),"")))</f>
        <v/>
      </c>
      <c r="CN181" s="1787"/>
      <c r="CO181" s="220">
        <f>IF(CK181="",IF(AND(CE181="",CF181=""),"",IF(CF181="",IF(DE181&gt;1,ROUND(DE181*CE181,3),CE181),IF(DE181&gt;1,ROUND(DE181*CF181,3),CF181))),IF(AND(CE181="",CF181=""),"",IF(CF181="",IF(DE181&gt;1,ROUND(DE181*CE181*(1/(CK181)),3),CE181*(1/(CK181))),IF(DE181&gt;1,ROUND(DE181*CF181*(1/(CK181)),3),CF181*(1/(CK181))))))</f>
        <v/>
      </c>
      <c r="CP181" s="2043">
        <f>$CP$3</f>
        <v/>
      </c>
      <c r="CQ181" s="1472">
        <f>IF(CO181="","",IF(CO181&gt;CP181,"Fail","Pass"))</f>
        <v/>
      </c>
      <c r="CR181" s="1481">
        <f>IF(AND(MAX(CO175:CO182)=CO181,CO181&lt;&gt;0),COUNT($CR$3:CR180)+1,"")</f>
        <v/>
      </c>
      <c r="CS181" s="1565">
        <f>MyTimestamp(CO181)</f>
        <v/>
      </c>
      <c r="CT181" s="1531">
        <f>IF(CE181="",0,15)+IF(CF181="",0,15)</f>
        <v/>
      </c>
      <c r="CU181" s="1532">
        <f>IF(CT181=0,0,2)</f>
        <v/>
      </c>
      <c r="CV181" s="859" t="inlineStr">
        <is>
          <t>S/02</t>
        </is>
      </c>
      <c r="CW181" s="859" t="inlineStr">
        <is>
          <t>Dasy6</t>
        </is>
      </c>
      <c r="CX181" s="2038"/>
      <c r="CY181" s="2044"/>
      <c r="CZ181" s="1543">
        <f>10^(CJ181/20)*100-100</f>
        <v/>
      </c>
      <c r="DA181" s="1325">
        <f>IF('Tune-Up'!$H$21="","",'Tune-Up'!$H$21)</f>
        <v/>
      </c>
      <c r="DB181" s="701">
        <f>'2G-3G'!BZ28</f>
        <v/>
      </c>
      <c r="DC181" s="769">
        <f>IF(DA181="","",10^(DA181/10))</f>
        <v/>
      </c>
      <c r="DD181" s="1369">
        <f>IF(ISNUMBER(DB181)=FALSE,"",10^(DB181/10))</f>
        <v/>
      </c>
      <c r="DE181" s="1543">
        <f>IF(AND(ISNUMBER(DC181),ISNUMBER(DD181)),IF(DC181/DD181&gt;1,ROUND((DC181)/DD181,3),1),1)</f>
        <v/>
      </c>
      <c r="DF181" s="1541"/>
      <c r="DG181" s="1541"/>
      <c r="DH181" s="1541"/>
      <c r="DI181" s="1541"/>
      <c r="DJ181" s="1541"/>
      <c r="DK181" s="1541"/>
      <c r="DL181" s="1541"/>
      <c r="DM181" s="1541"/>
      <c r="DN181" s="1541"/>
      <c r="DO181" s="1541"/>
      <c r="DP181" s="1541"/>
      <c r="DQ181" s="1541"/>
      <c r="DR181" s="1541"/>
    </row>
    <row r="182" ht="12.75" x14ac:dyDescent="0.2">
      <c r="A182" s="1541"/>
      <c r="B182" s="1541"/>
      <c r="C182"/>
      <c r="D182" s="130">
        <f>IF(BX$175="Close to Ear","EN 62209-1","EN 62209-2")</f>
        <v/>
      </c>
      <c r="E182" s="130">
        <f>IF(CG182="Close to Ear","2016","2010/A1:2019")</f>
        <v/>
      </c>
      <c r="F182" s="1488" t="inlineStr">
        <is>
          <t>5.1</t>
        </is>
      </c>
      <c r="G182" s="1497"/>
      <c r="H182" s="120">
        <f>BV182</f>
        <v/>
      </c>
      <c r="I182" s="120">
        <f>BW182</f>
        <v/>
      </c>
      <c r="J182" s="687" t="str">
        <f>BT182</f>
        <v>GSM</v>
      </c>
      <c r="K182" s="194">
        <f>BU182</f>
        <v>1800</v>
      </c>
      <c r="L182" s="115"/>
      <c r="M182" s="120">
        <f>BZ182</f>
        <v>0</v>
      </c>
      <c r="N182" s="119"/>
      <c r="O182" s="131"/>
      <c r="P182" s="6597"/>
      <c r="Q182" s="131"/>
      <c r="R182" s="131"/>
      <c r="S182" s="120">
        <f>CG182</f>
        <v>0</v>
      </c>
      <c r="T182" s="120">
        <f>CC182</f>
        <v>885</v>
      </c>
      <c r="U182" s="120">
        <f>CD182</f>
        <v>1784.8</v>
      </c>
      <c r="V182" s="119"/>
      <c r="W182" s="197">
        <f>CK182*100</f>
        <v/>
      </c>
      <c r="X182" s="119"/>
      <c r="Y182" s="119"/>
      <c r="Z182" s="119"/>
      <c r="AA182" s="115"/>
      <c r="AB182" s="115"/>
      <c r="AC182" s="689">
        <f>IF(OR(BX$175="Close to Ear",BX$175="Close to Head"),"Head",IF(BX$175="Extremity","Extremity","Body"))</f>
        <v/>
      </c>
      <c r="AD182" s="690">
        <f>CA182</f>
        <v/>
      </c>
      <c r="AE182" s="688">
        <f>CB182</f>
        <v/>
      </c>
      <c r="AF182" s="115"/>
      <c r="AG182" s="808">
        <f>IF(AZ182="","N/A",IF(CQ182="Pass","P","F"))</f>
        <v/>
      </c>
      <c r="AH182" s="129"/>
      <c r="AI182" s="129"/>
      <c r="AJ182" s="129"/>
      <c r="AK182" s="119"/>
      <c r="AL182" s="115"/>
      <c r="AM182" s="119"/>
      <c r="AN182" s="119"/>
      <c r="AO182" s="692"/>
      <c r="AP182" s="692"/>
      <c r="AQ182" s="692"/>
      <c r="AR182" s="692"/>
      <c r="AS182" s="692"/>
      <c r="AT182" s="691">
        <f>CE182</f>
        <v/>
      </c>
      <c r="AU182" s="691">
        <f>CF182</f>
        <v/>
      </c>
      <c r="AV182" s="813"/>
      <c r="AW182" s="813"/>
      <c r="AX182" s="197">
        <f>CZ182</f>
        <v/>
      </c>
      <c r="AY182" s="197">
        <f>DE182</f>
        <v/>
      </c>
      <c r="AZ182" s="3379">
        <f>CO182</f>
        <v/>
      </c>
      <c r="BA182" s="3380"/>
      <c r="BB182" s="197">
        <f>CP182</f>
        <v/>
      </c>
      <c r="BC182" s="813"/>
      <c r="BD182" s="197">
        <f>CR182</f>
        <v/>
      </c>
      <c r="BE182" s="121">
        <f>CS182</f>
        <v/>
      </c>
      <c r="BF182" s="122">
        <f>CT182*60</f>
        <v/>
      </c>
      <c r="BG182" s="121">
        <f>BE182</f>
        <v/>
      </c>
      <c r="BH182" s="122">
        <f>CU182*60</f>
        <v/>
      </c>
      <c r="BI182" s="122">
        <f>CV182</f>
        <v/>
      </c>
      <c r="BJ182" s="117"/>
      <c r="BK182" s="812">
        <f>Overview!$E$7</f>
        <v/>
      </c>
      <c r="BL182" s="117"/>
      <c r="BM182" s="836">
        <f>CW182</f>
        <v/>
      </c>
      <c r="BN182" s="812">
        <f>Overview!$P$153</f>
        <v/>
      </c>
      <c r="BO182" s="117"/>
      <c r="BP182" s="117"/>
      <c r="BQ182" s="115"/>
      <c r="BR182" s="1478" t="inlineStr">
        <is>
          <t>N/A</t>
        </is>
      </c>
      <c r="BS182" s="1548"/>
      <c r="BT182" s="2071" t="inlineStr">
        <is>
          <t>GSM</t>
        </is>
      </c>
      <c r="BU182" s="2071">
        <v>1800</v>
      </c>
      <c r="BV182" s="415">
        <f>Overview!$H$28</f>
        <v/>
      </c>
      <c r="BW182" s="2010"/>
      <c r="BX182" s="2075"/>
      <c r="BY182" s="2010"/>
      <c r="BZ182" s="2010"/>
      <c r="CA182" s="418" t="str">
        <f>IF(COUNT(CF175:CF180)=0,IF(COUNT(CE175:CE180)=0,"TBD",VLOOKUP(MAX(CE175:CE180),CE175:CI180,5,FALSE)),VLOOKUP(MAX(CF175:CF180),CF175:CI180,4,FALSE))</f>
        <v>TBD</v>
      </c>
      <c r="CB182" s="201">
        <v>5</v>
      </c>
      <c r="CC182" s="857">
        <f>'2G-3G'!BX29</f>
        <v>885</v>
      </c>
      <c r="CD182" s="857">
        <f>'2G-3G'!BY29</f>
        <v>1784.8</v>
      </c>
      <c r="CE182" s="1874"/>
      <c r="CF182" s="1874"/>
      <c r="CG182" s="388" t="str">
        <f>IF(OR($BY$167="",$BY$167=""),"",$BY$167)</f>
        <v/>
      </c>
      <c r="CH182" s="388">
        <f>BZ182</f>
        <v/>
      </c>
      <c r="CI182" s="388">
        <f>CA182</f>
        <v/>
      </c>
      <c r="CJ182" s="2046"/>
      <c r="CK182" s="2047"/>
      <c r="CL182" s="212">
        <f>IF(CF182=""," ",IF(ABS(CE182-CF182)&lt;=0.125,"Valid","Not valid"))</f>
        <v/>
      </c>
      <c r="CM182" s="213">
        <f> IF(CE182="","",IF(AND(CE182&lt;&gt;"",CF182=""),IF(CE182&gt;=1,"Medir+Sig Max","No"),IF(CF182&lt;&gt;"",IF(CF182&gt;=1,"Medir+Sig Max","No"),"")))</f>
        <v/>
      </c>
      <c r="CN182" s="1794"/>
      <c r="CO182" s="221">
        <f>IF(CK182="",IF(AND(CE182="",CF182=""),"",IF(CF182="",IF(DE182&gt;1,ROUND(DE182*CE182,3),CE182),IF(DE182&gt;1,ROUND(DE182*CF182,3),CF182))),IF(AND(CE182="",CF182=""),"",IF(CF182="",IF(DE182&gt;1,ROUND(DE182*CE182*(1/(CK182)),3),CE182*(1/(CK182))),IF(DE182&gt;1,ROUND(DE182*CF182*(1/(CK182)),3),CF182*(1/(CK182))))))</f>
        <v/>
      </c>
      <c r="CP182" s="2048">
        <f>$CP$3</f>
        <v/>
      </c>
      <c r="CQ182" s="1473">
        <f>IF(CO182="","",IF(CO182&gt;CP182,"Fail","Pass"))</f>
        <v/>
      </c>
      <c r="CR182" s="1482">
        <f>IF(AND(MAX(CO175:CO182)=CO182,CO182&lt;&gt;0),COUNT($CR$3:CR181)+1,"")</f>
        <v/>
      </c>
      <c r="CS182" s="1566">
        <f>MyTimestamp(CO182)</f>
        <v/>
      </c>
      <c r="CT182" s="1535">
        <f>IF(CE182="",0,15)+IF(CF182="",0,15)</f>
        <v/>
      </c>
      <c r="CU182" s="1536">
        <f>IF(CT182=0,0,2)</f>
        <v/>
      </c>
      <c r="CV182" s="861" t="inlineStr">
        <is>
          <t>S/02</t>
        </is>
      </c>
      <c r="CW182" s="861" t="inlineStr">
        <is>
          <t>Dasy6</t>
        </is>
      </c>
      <c r="CX182" s="2038"/>
      <c r="CY182" s="2050"/>
      <c r="CZ182" s="1545">
        <f>10^(CJ182/20)*100-100</f>
        <v/>
      </c>
      <c r="DA182" s="1327">
        <f>IF('Tune-Up'!$H$21="","",'Tune-Up'!$H$21)</f>
        <v/>
      </c>
      <c r="DB182" s="703">
        <f>'2G-3G'!BZ29</f>
        <v/>
      </c>
      <c r="DC182" s="771">
        <f>IF(DA182="","",10^(DA182/10))</f>
        <v/>
      </c>
      <c r="DD182" s="1371">
        <f>IF(ISNUMBER(DB182)=FALSE,"",10^(DB182/10))</f>
        <v/>
      </c>
      <c r="DE182" s="1545">
        <f>IF(AND(ISNUMBER(DC182),ISNUMBER(DD182)),IF(DC182/DD182&gt;1,ROUND((DC182)/DD182,3),1),1)</f>
        <v/>
      </c>
      <c r="DF182" s="1541"/>
      <c r="DG182" s="1541"/>
      <c r="DH182" s="1541"/>
      <c r="DI182" s="1541"/>
      <c r="DJ182" s="1541"/>
      <c r="DK182" s="1541"/>
      <c r="DL182" s="1541"/>
      <c r="DM182" s="1541"/>
      <c r="DN182" s="1541"/>
      <c r="DO182" s="1541"/>
      <c r="DP182" s="1541"/>
      <c r="DQ182" s="1541"/>
      <c r="DR182" s="1541"/>
    </row>
    <row r="183" ht="12.75" x14ac:dyDescent="0.2">
      <c r="A183" s="1541"/>
      <c r="B183" s="1541"/>
      <c r="C183"/>
      <c r="D183" s="130">
        <f>IF(BX$175="Close to Ear","EN 62209-1","EN 62209-2")</f>
        <v/>
      </c>
      <c r="E183" s="130">
        <f>IF(CG183="Close to Ear","2016","2010/A1:2019")</f>
        <v/>
      </c>
      <c r="F183" s="1488" t="inlineStr">
        <is>
          <t>5.1</t>
        </is>
      </c>
      <c r="G183" s="1497"/>
      <c r="H183" s="120">
        <f>BV183</f>
        <v/>
      </c>
      <c r="I183" s="120">
        <f>BW183</f>
        <v/>
      </c>
      <c r="J183" s="687">
        <f>BT183</f>
        <v/>
      </c>
      <c r="K183" s="194">
        <f>BU183</f>
        <v/>
      </c>
      <c r="L183" s="115"/>
      <c r="M183" s="120">
        <f>BZ183</f>
        <v/>
      </c>
      <c r="N183" s="119"/>
      <c r="O183" s="131"/>
      <c r="P183" s="6597"/>
      <c r="Q183" s="131"/>
      <c r="R183" s="131"/>
      <c r="S183" s="120">
        <f>CG183</f>
        <v/>
      </c>
      <c r="T183" s="120">
        <f>CC183</f>
        <v/>
      </c>
      <c r="U183" s="120">
        <f>CD183</f>
        <v/>
      </c>
      <c r="V183" s="119"/>
      <c r="W183" s="197">
        <f>CK183*100</f>
        <v/>
      </c>
      <c r="X183" s="119"/>
      <c r="Y183" s="119"/>
      <c r="Z183" s="119"/>
      <c r="AA183" s="115"/>
      <c r="AB183" s="115"/>
      <c r="AC183" s="689">
        <f>IF(OR(BX$175="Close to Ear",BX$175="Close to Head"),"Head",IF(BX$175="Extremity","Extremity","Body"))</f>
        <v/>
      </c>
      <c r="AD183" s="690">
        <f>CA183</f>
        <v/>
      </c>
      <c r="AE183" s="688">
        <f>CB183</f>
        <v/>
      </c>
      <c r="AF183" s="115"/>
      <c r="AG183" s="808">
        <f>IF(AZ183="","N/A",IF(CQ183="Pass","P","F"))</f>
        <v/>
      </c>
      <c r="AH183" s="129"/>
      <c r="AI183" s="129"/>
      <c r="AJ183" s="129"/>
      <c r="AK183" s="119"/>
      <c r="AL183" s="115"/>
      <c r="AM183" s="119"/>
      <c r="AN183" s="119"/>
      <c r="AO183" s="692"/>
      <c r="AP183" s="692"/>
      <c r="AQ183" s="692"/>
      <c r="AR183" s="692"/>
      <c r="AS183" s="692"/>
      <c r="AT183" s="691">
        <f>CE183</f>
        <v/>
      </c>
      <c r="AU183" s="691">
        <f>CF183</f>
        <v/>
      </c>
      <c r="AV183" s="813"/>
      <c r="AW183" s="813"/>
      <c r="AX183" s="197">
        <f>CZ183</f>
        <v/>
      </c>
      <c r="AY183" s="197">
        <f>DE183</f>
        <v/>
      </c>
      <c r="AZ183" s="3379">
        <f>CO183</f>
        <v/>
      </c>
      <c r="BA183" s="3380"/>
      <c r="BB183" s="197">
        <f>CP183</f>
        <v/>
      </c>
      <c r="BC183" s="813"/>
      <c r="BD183" s="197">
        <f>CR183</f>
        <v/>
      </c>
      <c r="BE183" s="121">
        <f>CS183</f>
        <v/>
      </c>
      <c r="BF183" s="122">
        <f>CT183*60</f>
        <v/>
      </c>
      <c r="BG183" s="121">
        <f>BE183</f>
        <v/>
      </c>
      <c r="BH183" s="122">
        <f>CU183*60</f>
        <v/>
      </c>
      <c r="BI183" s="122">
        <f>CV183</f>
        <v/>
      </c>
      <c r="BJ183" s="117"/>
      <c r="BK183" s="812">
        <f>Overview!$E$7</f>
        <v/>
      </c>
      <c r="BL183" s="117"/>
      <c r="BM183" s="836">
        <f>CW183</f>
        <v/>
      </c>
      <c r="BN183" s="812">
        <f>Overview!$P$153</f>
        <v/>
      </c>
      <c r="BO183" s="117"/>
      <c r="BP183" s="117"/>
      <c r="BQ183" s="115"/>
      <c r="BR183" s="1478" t="inlineStr">
        <is>
          <t>N/A</t>
        </is>
      </c>
      <c r="BS183" s="1548"/>
      <c r="BT183" s="2071" t="inlineStr">
        <is>
          <t>GSM</t>
        </is>
      </c>
      <c r="BU183" s="2071">
        <v>1800</v>
      </c>
      <c r="BV183" s="415">
        <f>Overview!$H$28</f>
        <v/>
      </c>
      <c r="BW183" s="2010"/>
      <c r="BX183" s="2075"/>
      <c r="BY183" s="2010"/>
      <c r="BZ183" s="2010"/>
      <c r="CA183" s="418" t="str">
        <f>CONCATENATE(CA181," - Battery check 1")</f>
        <v>TBD - Battery check 1</v>
      </c>
      <c r="CB183" s="201">
        <v>5</v>
      </c>
      <c r="CC183" s="857">
        <f>IF(COUNT($CO$175:$CO$182)=0,"N/A",INDEX($CC$175:$CC$182,MATCH(MAX($CO$175:$CO$182),$CO$175:$CO$182,0)))</f>
        <v/>
      </c>
      <c r="CD183" s="857">
        <f>IF(COUNT($CO$175:$CO$182)=0,"N/A",INDEX($CD$175:$CD$182,MATCH(MAX($CO$175:$CO$182),$CO$175:$CO$182,0)))</f>
        <v/>
      </c>
      <c r="CE183" s="1874"/>
      <c r="CF183" s="1874"/>
      <c r="CG183" s="388" t="inlineStr">
        <is>
          <t>N/A</t>
        </is>
      </c>
      <c r="CH183" s="388">
        <f>BZ183</f>
        <v/>
      </c>
      <c r="CI183" s="388">
        <f>CA183</f>
        <v/>
      </c>
      <c r="CJ183" s="2046"/>
      <c r="CK183" s="2047"/>
      <c r="CL183" s="212">
        <f>IF(CF183=""," ",IF(ABS(CE183-CF183)&lt;=0.125,"Valid","Not valid"))</f>
        <v/>
      </c>
      <c r="CM183" s="213">
        <f> IF(CE183="","",IF(AND(CE183&lt;&gt;"",CF183=""),IF(CE183&gt;=1,"Medir+Sig Max","No"),IF(CF183&lt;&gt;"",IF(CF183&gt;=1,"Medir+Sig Max","No"),"")))</f>
        <v/>
      </c>
      <c r="CN183" s="1794"/>
      <c r="CO183" s="221">
        <f>IF(CK183="",IF(AND(CE183="",CF183=""),"",IF(CF183="",IF(DE183&gt;1,ROUND(DE183*CE183,3),CE183),IF(DE183&gt;1,ROUND(DE183*CF183,3),CF183))),IF(AND(CE183="",CF183=""),"",IF(CF183="",IF(DE183&gt;1,ROUND(DE183*CE183*(1/(CK183)),3),CE183*(1/(CK183))),IF(DE183&gt;1,ROUND(DE183*CF183*(1/(CK183)),3),CF183*(1/(CK183))))))</f>
        <v/>
      </c>
      <c r="CP183" s="2048">
        <f>$CP$3</f>
        <v/>
      </c>
      <c r="CQ183" s="1473">
        <f>IF(CO183="","",IF(CO183&gt;CP183,"Fail","Pass"))</f>
        <v/>
      </c>
      <c r="CR183" s="1482">
        <f>IF(CO183&lt;&gt;"",MAX($CR$3:CR182)+1,"")</f>
        <v/>
      </c>
      <c r="CS183" s="1566">
        <f>MyTimestamp(CQ183)</f>
        <v/>
      </c>
      <c r="CT183" s="1535">
        <f>IF(COUNT(CE183:CF183)=1,15,IF(COUNT(CE183:CF183)=0,0,30))</f>
        <v/>
      </c>
      <c r="CU183" s="1536">
        <f>IF(CT183=0,0,2)</f>
        <v/>
      </c>
      <c r="CV183" s="861" t="inlineStr">
        <is>
          <t>S/02</t>
        </is>
      </c>
      <c r="CW183" s="861" t="inlineStr">
        <is>
          <t>Dasy6</t>
        </is>
      </c>
      <c r="CX183" s="2038"/>
      <c r="CY183" s="2050"/>
      <c r="CZ183" s="1545">
        <f>10^(CJ183/20)*100-100</f>
        <v/>
      </c>
      <c r="DA183" s="1327">
        <f>IF('Tune-Up'!$H$21="","",'Tune-Up'!$H$21)</f>
        <v/>
      </c>
      <c r="DB183" s="703">
        <f>IF(COUNT($CO$175:$CO$182)=0,"N/A",IFERROR(INDEX($DB$175:$DB$182,MATCH(MAX($CO$175:$CO$182),$CO$175:$CO$182,0)),"N/A"))</f>
        <v/>
      </c>
      <c r="DC183" s="771">
        <f>IF(DA183="","",10^(DA183/10))</f>
        <v/>
      </c>
      <c r="DD183" s="1371">
        <f>IF(ISNUMBER(DB183)=FALSE,"N/A",10^(DB183/10))</f>
        <v/>
      </c>
      <c r="DE183" s="1545">
        <f>IF(AND(ISNUMBER(DC183),ISNUMBER(DD183)),IF(DC183/DD183&gt;1,ROUND((DC183)/DD183,3),1),1)</f>
        <v/>
      </c>
      <c r="DF183" s="1541"/>
      <c r="DG183" s="1541"/>
      <c r="DH183" s="1541"/>
      <c r="DI183" s="1541"/>
      <c r="DJ183" s="1541"/>
      <c r="DK183" s="1541"/>
      <c r="DL183" s="1541"/>
      <c r="DM183" s="1541"/>
      <c r="DN183" s="1541"/>
      <c r="DO183" s="1541"/>
      <c r="DP183" s="1541"/>
      <c r="DQ183" s="1541"/>
      <c r="DR183" s="1541"/>
    </row>
    <row r="184" ht="12.75" x14ac:dyDescent="0.2">
      <c r="A184" s="1541"/>
      <c r="B184" s="1541"/>
      <c r="C184"/>
      <c r="D184" s="130">
        <f>IF(BX$175="Close to Ear","EN 62209-1","EN 62209-2")</f>
        <v/>
      </c>
      <c r="E184" s="130">
        <f>IF(CG184="Close to Ear","2016","2010/A1:2019")</f>
        <v/>
      </c>
      <c r="F184" s="1488" t="inlineStr">
        <is>
          <t>5.1</t>
        </is>
      </c>
      <c r="G184" s="1497"/>
      <c r="H184" s="120">
        <f>BV184</f>
        <v/>
      </c>
      <c r="I184" s="120">
        <f>BW184</f>
        <v/>
      </c>
      <c r="J184" s="687">
        <f>BT184</f>
        <v/>
      </c>
      <c r="K184" s="194">
        <f>BU184</f>
        <v/>
      </c>
      <c r="L184" s="115"/>
      <c r="M184" s="120">
        <f>BZ184</f>
        <v/>
      </c>
      <c r="N184" s="119"/>
      <c r="O184" s="131"/>
      <c r="P184" s="6597"/>
      <c r="Q184" s="131"/>
      <c r="R184" s="131"/>
      <c r="S184" s="120">
        <f>CG184</f>
        <v/>
      </c>
      <c r="T184" s="120">
        <f>CC184</f>
        <v/>
      </c>
      <c r="U184" s="120">
        <f>CD184</f>
        <v/>
      </c>
      <c r="V184" s="119"/>
      <c r="W184" s="197">
        <f>CK184*100</f>
        <v/>
      </c>
      <c r="X184" s="119"/>
      <c r="Y184" s="119"/>
      <c r="Z184" s="119"/>
      <c r="AA184" s="115"/>
      <c r="AB184" s="115"/>
      <c r="AC184" s="689">
        <f>IF(OR(BX$175="Close to Ear",BX$175="Close to Head"),"Head",IF(BX$175="Extremity","Extremity","Body"))</f>
        <v/>
      </c>
      <c r="AD184" s="690">
        <f>CA184</f>
        <v/>
      </c>
      <c r="AE184" s="688">
        <f>CB184</f>
        <v/>
      </c>
      <c r="AF184" s="115"/>
      <c r="AG184" s="808">
        <f>IF(AZ184="","N/A",IF(CQ184="Pass","P","F"))</f>
        <v/>
      </c>
      <c r="AH184" s="129"/>
      <c r="AI184" s="129"/>
      <c r="AJ184" s="129"/>
      <c r="AK184" s="119"/>
      <c r="AL184" s="115"/>
      <c r="AM184" s="119"/>
      <c r="AN184" s="119"/>
      <c r="AO184" s="692"/>
      <c r="AP184" s="692"/>
      <c r="AQ184" s="692"/>
      <c r="AR184" s="692"/>
      <c r="AS184" s="692"/>
      <c r="AT184" s="691">
        <f>CE184</f>
        <v/>
      </c>
      <c r="AU184" s="691">
        <f>CF184</f>
        <v/>
      </c>
      <c r="AV184" s="813"/>
      <c r="AW184" s="813"/>
      <c r="AX184" s="197">
        <f>CZ184</f>
        <v/>
      </c>
      <c r="AY184" s="197">
        <f>DE184</f>
        <v/>
      </c>
      <c r="AZ184" s="3379">
        <f>CO184</f>
        <v/>
      </c>
      <c r="BA184" s="3380"/>
      <c r="BB184" s="197">
        <f>CP184</f>
        <v/>
      </c>
      <c r="BC184" s="813"/>
      <c r="BD184" s="197">
        <f>CR184</f>
        <v/>
      </c>
      <c r="BE184" s="121">
        <f>CS184</f>
        <v/>
      </c>
      <c r="BF184" s="122">
        <f>CT184*60</f>
        <v/>
      </c>
      <c r="BG184" s="121">
        <f>BE184</f>
        <v/>
      </c>
      <c r="BH184" s="122">
        <f>CU184*60</f>
        <v/>
      </c>
      <c r="BI184" s="122">
        <f>CV184</f>
        <v/>
      </c>
      <c r="BJ184" s="117"/>
      <c r="BK184" s="812">
        <f>Overview!$E$7</f>
        <v/>
      </c>
      <c r="BL184" s="117"/>
      <c r="BM184" s="836">
        <f>CW184</f>
        <v/>
      </c>
      <c r="BN184" s="812">
        <f>Overview!$P$153</f>
        <v/>
      </c>
      <c r="BO184" s="117"/>
      <c r="BP184" s="117"/>
      <c r="BQ184" s="115"/>
      <c r="BR184" s="1478" t="inlineStr">
        <is>
          <t>N/A</t>
        </is>
      </c>
      <c r="BS184" s="1548"/>
      <c r="BT184" s="2071" t="inlineStr">
        <is>
          <t>GSM</t>
        </is>
      </c>
      <c r="BU184" s="2071">
        <v>1800</v>
      </c>
      <c r="BV184" s="415">
        <f>Overview!$H$28</f>
        <v/>
      </c>
      <c r="BW184" s="2010"/>
      <c r="BX184" s="2075"/>
      <c r="BY184" s="2010"/>
      <c r="BZ184" s="2010"/>
      <c r="CA184" s="418" t="str">
        <f>CONCATENATE(CA182," - Battery check 2")</f>
        <v>TBD - Battery check 2</v>
      </c>
      <c r="CB184" s="201">
        <v>5</v>
      </c>
      <c r="CC184" s="857">
        <f>IF(COUNT($CO$175:$CO$182)=0,"N/A",INDEX($CC$175:$CC$182,MATCH(MAX($CO$175:$CO$182),$CO$175:$CO$182,0)))</f>
        <v/>
      </c>
      <c r="CD184" s="857">
        <f>IF(COUNT($CO$175:$CO$182)=0,"N/A",INDEX($CD$175:$CD$182,MATCH(MAX($CO$175:$CO$182),$CO$175:$CO$182,0)))</f>
        <v/>
      </c>
      <c r="CE184" s="1874"/>
      <c r="CF184" s="1874"/>
      <c r="CG184" s="388" t="inlineStr">
        <is>
          <t>N/A</t>
        </is>
      </c>
      <c r="CH184" s="388">
        <f>BZ184</f>
        <v/>
      </c>
      <c r="CI184" s="388">
        <f>CA184</f>
        <v/>
      </c>
      <c r="CJ184" s="2046"/>
      <c r="CK184" s="2047"/>
      <c r="CL184" s="212">
        <f>IF(CF184=""," ",IF(ABS(CE184-CF184)&lt;=0.125,"Valid","Not valid"))</f>
        <v/>
      </c>
      <c r="CM184" s="213">
        <f> IF(CE184="","",IF(AND(CE184&lt;&gt;"",CF184=""),IF(CE184&gt;=1,"Medir+Sig Max","No"),IF(CF184&lt;&gt;"",IF(CF184&gt;=1,"Medir+Sig Max","No"),"")))</f>
        <v/>
      </c>
      <c r="CN184" s="1794"/>
      <c r="CO184" s="221">
        <f>IF(CK184="",IF(AND(CE184="",CF184=""),"",IF(CF184="",IF(DE184&gt;1,ROUND(DE184*CE184,3),CE184),IF(DE184&gt;1,ROUND(DE184*CF184,3),CF184))),IF(AND(CE184="",CF184=""),"",IF(CF184="",IF(DE184&gt;1,ROUND(DE184*CE184*(1/(CK184)),3),CE184*(1/(CK184))),IF(DE184&gt;1,ROUND(DE184*CF184*(1/(CK184)),3),CF184*(1/(CK184))))))</f>
        <v/>
      </c>
      <c r="CP184" s="2048">
        <f>$CP$3</f>
        <v/>
      </c>
      <c r="CQ184" s="1473">
        <f>IF(CO184="","",IF(CO184&gt;CP184,"Fail","Pass"))</f>
        <v/>
      </c>
      <c r="CR184" s="1482">
        <f>IF(CO184&lt;&gt;"",MAX($CR$3:CR183)+1,"")</f>
        <v/>
      </c>
      <c r="CS184" s="1566">
        <f>MyTimestamp(CQ184)</f>
        <v/>
      </c>
      <c r="CT184" s="1535">
        <f>IF(COUNT(CE184:CF184)=1,15,IF(COUNT(CE184:CF184)=0,0,30))</f>
        <v/>
      </c>
      <c r="CU184" s="1536">
        <f>IF(CT184=0,0,2)</f>
        <v/>
      </c>
      <c r="CV184" s="861" t="inlineStr">
        <is>
          <t>S/02</t>
        </is>
      </c>
      <c r="CW184" s="861" t="inlineStr">
        <is>
          <t>Dasy6</t>
        </is>
      </c>
      <c r="CX184" s="2038"/>
      <c r="CY184" s="2050"/>
      <c r="CZ184" s="1545">
        <f>10^(CJ184/20)*100-100</f>
        <v/>
      </c>
      <c r="DA184" s="1327">
        <f>IF('Tune-Up'!$H$21="","",'Tune-Up'!$H$21)</f>
        <v/>
      </c>
      <c r="DB184" s="703">
        <f>IF(COUNT($CO$175:$CO$182)=0,"N/A",IFERROR(INDEX($DB$175:$DB$182,MATCH(MAX($CO$175:$CO$182),$CO$175:$CO$182,0)),"N/A"))</f>
        <v/>
      </c>
      <c r="DC184" s="771">
        <f>IF(DA184="","",10^(DA184/10))</f>
        <v/>
      </c>
      <c r="DD184" s="1371">
        <f>IF(ISNUMBER(DB184)=FALSE,"N/A",10^(DB184/10))</f>
        <v/>
      </c>
      <c r="DE184" s="1545">
        <f>IF(AND(ISNUMBER(DC184),ISNUMBER(DD184)),IF(DC184/DD184&gt;1,ROUND((DC184)/DD184,3),1),1)</f>
        <v/>
      </c>
      <c r="DF184" s="1541"/>
      <c r="DG184" s="1541"/>
      <c r="DH184" s="1541"/>
      <c r="DI184" s="1541"/>
      <c r="DJ184" s="1541"/>
      <c r="DK184" s="1541"/>
      <c r="DL184" s="1541"/>
      <c r="DM184" s="1541"/>
      <c r="DN184" s="1541"/>
      <c r="DO184" s="1541"/>
      <c r="DP184" s="1541"/>
      <c r="DQ184" s="1541"/>
      <c r="DR184" s="1541"/>
    </row>
    <row r="185" ht="12.75" x14ac:dyDescent="0.2">
      <c r="A185" s="1541"/>
      <c r="B185" s="1541"/>
      <c r="C185"/>
      <c r="D185" s="130">
        <f>IF(BX$185="Close to Ear","EN 62209-1","EN 62209-2")</f>
        <v/>
      </c>
      <c r="E185" s="130">
        <f>IF(CG185="Close to Ear","2016","2010/A1:2019")</f>
        <v/>
      </c>
      <c r="F185" s="1488" t="inlineStr">
        <is>
          <t>5.1</t>
        </is>
      </c>
      <c r="G185" s="1497"/>
      <c r="H185" s="120">
        <f>BV185</f>
        <v/>
      </c>
      <c r="I185" s="120">
        <f>BW185</f>
        <v/>
      </c>
      <c r="J185" s="687" t="str">
        <f>BT185</f>
        <v>GSM</v>
      </c>
      <c r="K185" s="194">
        <f>BU185</f>
        <v>1800</v>
      </c>
      <c r="L185" s="115"/>
      <c r="M185" s="120">
        <f>BZ185</f>
        <v>0</v>
      </c>
      <c r="N185" s="119"/>
      <c r="O185" s="131"/>
      <c r="P185" s="6597"/>
      <c r="Q185" s="131"/>
      <c r="R185" s="131"/>
      <c r="S185" s="120">
        <f>CG185</f>
        <v>0</v>
      </c>
      <c r="T185" s="120">
        <f>CC185</f>
        <v>698</v>
      </c>
      <c r="U185" s="120">
        <f>CD185</f>
        <v>1747.4</v>
      </c>
      <c r="V185" s="119"/>
      <c r="W185" s="197">
        <f>CK185*100</f>
        <v/>
      </c>
      <c r="X185" s="119"/>
      <c r="Y185" s="119"/>
      <c r="Z185" s="119"/>
      <c r="AA185" s="115"/>
      <c r="AB185" s="115"/>
      <c r="AC185" s="689">
        <f>IF(OR(BX$185="Close to Ear",BX$185="Close to Head"),"Head",IF(BX$185="Extremity","Extremity","Body"))</f>
        <v/>
      </c>
      <c r="AD185" s="690">
        <f>CA185</f>
        <v/>
      </c>
      <c r="AE185" s="688">
        <f>CB185</f>
        <v/>
      </c>
      <c r="AF185" s="115"/>
      <c r="AG185" s="808">
        <f>IF(AZ185="","N/A",IF(CQ185="Pass","P","F"))</f>
        <v/>
      </c>
      <c r="AH185" s="129"/>
      <c r="AI185" s="129"/>
      <c r="AJ185" s="129"/>
      <c r="AK185" s="119"/>
      <c r="AL185" s="115"/>
      <c r="AM185" s="119"/>
      <c r="AN185" s="119"/>
      <c r="AO185" s="692"/>
      <c r="AP185" s="692"/>
      <c r="AQ185" s="692"/>
      <c r="AR185" s="692"/>
      <c r="AS185" s="692"/>
      <c r="AT185" s="691">
        <f>CE185</f>
        <v/>
      </c>
      <c r="AU185" s="691">
        <f>CF185</f>
        <v/>
      </c>
      <c r="AV185" s="813"/>
      <c r="AW185" s="813"/>
      <c r="AX185" s="197">
        <f>CZ185</f>
        <v/>
      </c>
      <c r="AY185" s="197">
        <f>DE185</f>
        <v/>
      </c>
      <c r="AZ185" s="3379">
        <f>CO185</f>
        <v/>
      </c>
      <c r="BA185" s="3380"/>
      <c r="BB185" s="197">
        <f>CP185</f>
        <v/>
      </c>
      <c r="BC185" s="813"/>
      <c r="BD185" s="197">
        <f>CR185</f>
        <v/>
      </c>
      <c r="BE185" s="121">
        <f>CS185</f>
        <v/>
      </c>
      <c r="BF185" s="122">
        <f>CT185*60</f>
        <v/>
      </c>
      <c r="BG185" s="121">
        <f>BE185</f>
        <v/>
      </c>
      <c r="BH185" s="122">
        <f>CU185*60</f>
        <v/>
      </c>
      <c r="BI185" s="122">
        <f>CV185</f>
        <v/>
      </c>
      <c r="BJ185" s="117"/>
      <c r="BK185" s="812">
        <f>Overview!$E$7</f>
        <v/>
      </c>
      <c r="BL185" s="117"/>
      <c r="BM185" s="836">
        <f>CW185</f>
        <v/>
      </c>
      <c r="BN185" s="812">
        <f>Overview!$P$153</f>
        <v/>
      </c>
      <c r="BO185" s="117"/>
      <c r="BP185" s="117"/>
      <c r="BQ185" s="115"/>
      <c r="BR185" s="1478" t="inlineStr">
        <is>
          <t>N/A</t>
        </is>
      </c>
      <c r="BS185" s="1548"/>
      <c r="BT185" s="2071" t="inlineStr">
        <is>
          <t>GSM</t>
        </is>
      </c>
      <c r="BU185" s="2071">
        <v>1800</v>
      </c>
      <c r="BV185" s="415">
        <f>Overview!$H$28</f>
        <v/>
      </c>
      <c r="BW185" s="2010"/>
      <c r="BX185" s="7674" t="inlineStr">
        <is>
          <t>Body</t>
        </is>
      </c>
      <c r="BY185" s="2072"/>
      <c r="BZ185" s="2072"/>
      <c r="CA185" s="1996" t="inlineStr">
        <is>
          <t>Front Face</t>
        </is>
      </c>
      <c r="CB185" s="1959">
        <v>5</v>
      </c>
      <c r="CC185" s="856">
        <f>'2G-3G'!BX27</f>
        <v>698</v>
      </c>
      <c r="CD185" s="856">
        <f>'2G-3G'!BY27</f>
        <v>1747.4</v>
      </c>
      <c r="CE185" s="1522"/>
      <c r="CF185" s="1522"/>
      <c r="CG185" s="386" t="str">
        <f>IF(OR($BY$167="",$BY$167=""),"",$BY$167)</f>
        <v/>
      </c>
      <c r="CH185" s="386">
        <f>BZ185</f>
        <v/>
      </c>
      <c r="CI185" s="386">
        <f>CA185</f>
        <v/>
      </c>
      <c r="CJ185" s="1526"/>
      <c r="CK185" s="2070"/>
      <c r="CL185" s="203">
        <f>IF(CF185=""," ",IF(ABS(CE185-CF185)&lt;=0.125,"Valid","Not valid"))</f>
        <v/>
      </c>
      <c r="CM185" s="204">
        <f> IF(CE185="","",IF(AND(CE185&lt;&gt;"",CF185=""),IF(CE185&gt;=1,"Medir+Sig Max","No"),IF(CF185&lt;&gt;"",IF(CF185&gt;=1,"Medir+Sig Max","No"),"")))</f>
        <v/>
      </c>
      <c r="CN185" s="1798"/>
      <c r="CO185" s="219">
        <f>IF(CK185="",IF(AND(CE185="",CF185=""),"",IF(CF185="",IF(DE185&gt;1,ROUND(DE185*CE185,3),CE185),IF(DE185&gt;1,ROUND(DE185*CF185,3),CF185))),IF(AND(CE185="",CF185=""),"",IF(CF185="",IF(DE185&gt;1,ROUND(DE185*CE185*(1/(CK185)),3),CE185*(1/(CK185))),IF(DE185&gt;1,ROUND(DE185*CF185*(1/(CK185)),3),CF185*(1/(CK185))))))</f>
        <v/>
      </c>
      <c r="CP185" s="2037">
        <f>$CP$3</f>
        <v/>
      </c>
      <c r="CQ185" s="1471">
        <f>IF(CO185="","",IF(CO185&gt;CP185,"Fail","Pass"))</f>
        <v/>
      </c>
      <c r="CR185" s="1480">
        <f>IF(AND(MAX(CO185:CO192)=CO185,CO185&lt;&gt;0),COUNT($CR$3:CR182)+1,"")</f>
        <v/>
      </c>
      <c r="CS185" s="1564">
        <f>MyTimestamp(CO185)</f>
        <v/>
      </c>
      <c r="CT185" s="1529">
        <f>IF(CE185="",0,15)+IF(CF185="",0,15)</f>
        <v/>
      </c>
      <c r="CU185" s="1530">
        <f>IF(CT185=0,0,2)</f>
        <v/>
      </c>
      <c r="CV185" s="862" t="inlineStr">
        <is>
          <t>S/02</t>
        </is>
      </c>
      <c r="CW185" s="862" t="inlineStr">
        <is>
          <t>Dasy6</t>
        </is>
      </c>
      <c r="CX185" s="2038"/>
      <c r="CY185" s="2039"/>
      <c r="CZ185" s="1542">
        <f>10^(CJ185/20)*100-100</f>
        <v/>
      </c>
      <c r="DA185" s="1324">
        <f>IF('Tune-Up'!$H$21="","",'Tune-Up'!$H$21)</f>
        <v/>
      </c>
      <c r="DB185" s="700">
        <f>'2G-3G'!BZ27</f>
        <v/>
      </c>
      <c r="DC185" s="768">
        <f>IF(DA185="","",10^(DA185/10))</f>
        <v/>
      </c>
      <c r="DD185" s="1368">
        <f>IF(ISNUMBER(DB185)=FALSE,"",10^(DB185/10))</f>
        <v/>
      </c>
      <c r="DE185" s="1542">
        <f>IF(AND(ISNUMBER(DC185),ISNUMBER(DD185)),IF(DC185/DD185&gt;1,ROUND((DC185)/DD185,3),1),1)</f>
        <v/>
      </c>
      <c r="DF185" s="1541"/>
      <c r="DG185" s="1541"/>
      <c r="DH185" s="1541"/>
      <c r="DI185" s="1541"/>
      <c r="DJ185" s="1541"/>
      <c r="DK185" s="1541"/>
      <c r="DL185" s="1541"/>
      <c r="DM185" s="1541"/>
      <c r="DN185" s="1541"/>
      <c r="DO185" s="1541"/>
      <c r="DP185" s="1541"/>
      <c r="DQ185" s="1541"/>
      <c r="DR185" s="1541"/>
    </row>
    <row r="186" ht="12.75" x14ac:dyDescent="0.2">
      <c r="A186" s="1541"/>
      <c r="B186" s="1541"/>
      <c r="C186"/>
      <c r="D186" s="130">
        <f>IF(BX$185="Close to Ear","EN 62209-1","EN 62209-2")</f>
        <v/>
      </c>
      <c r="E186" s="130">
        <f>IF(CG186="Close to Ear","2016","2010/A1:2019")</f>
        <v/>
      </c>
      <c r="F186" s="1488" t="inlineStr">
        <is>
          <t>5.1</t>
        </is>
      </c>
      <c r="G186" s="1497"/>
      <c r="H186" s="120">
        <f>BV186</f>
        <v/>
      </c>
      <c r="I186" s="120">
        <f>BW186</f>
        <v/>
      </c>
      <c r="J186" s="687" t="str">
        <f>BT186</f>
        <v>GSM</v>
      </c>
      <c r="K186" s="194">
        <f>BU186</f>
        <v>1800</v>
      </c>
      <c r="L186" s="115"/>
      <c r="M186" s="120">
        <f>BZ186</f>
        <v>0</v>
      </c>
      <c r="N186" s="119"/>
      <c r="O186" s="131"/>
      <c r="P186" s="6597"/>
      <c r="Q186" s="131"/>
      <c r="R186" s="131"/>
      <c r="S186" s="120">
        <f>CG186</f>
        <v>0</v>
      </c>
      <c r="T186" s="120">
        <f>CC186</f>
        <v>698</v>
      </c>
      <c r="U186" s="120">
        <f>CD186</f>
        <v>1747.4</v>
      </c>
      <c r="V186" s="119"/>
      <c r="W186" s="197">
        <f>CK186*100</f>
        <v/>
      </c>
      <c r="X186" s="119"/>
      <c r="Y186" s="119"/>
      <c r="Z186" s="119"/>
      <c r="AA186" s="115"/>
      <c r="AB186" s="115"/>
      <c r="AC186" s="689">
        <f>IF(OR(BX$185="Close to Ear",BX$185="Close to Head"),"Head",IF(BX$185="Extremity","Extremity","Body"))</f>
        <v/>
      </c>
      <c r="AD186" s="690">
        <f>CA186</f>
        <v/>
      </c>
      <c r="AE186" s="688">
        <f>CB186</f>
        <v/>
      </c>
      <c r="AF186" s="115"/>
      <c r="AG186" s="808">
        <f>IF(AZ186="","N/A",IF(CQ186="Pass","P","F"))</f>
        <v/>
      </c>
      <c r="AH186" s="129"/>
      <c r="AI186" s="129"/>
      <c r="AJ186" s="129"/>
      <c r="AK186" s="119"/>
      <c r="AL186" s="115"/>
      <c r="AM186" s="119"/>
      <c r="AN186" s="119"/>
      <c r="AO186" s="692"/>
      <c r="AP186" s="692"/>
      <c r="AQ186" s="692"/>
      <c r="AR186" s="692"/>
      <c r="AS186" s="692"/>
      <c r="AT186" s="691">
        <f>CE186</f>
        <v/>
      </c>
      <c r="AU186" s="691">
        <f>CF186</f>
        <v/>
      </c>
      <c r="AV186" s="813"/>
      <c r="AW186" s="813"/>
      <c r="AX186" s="197">
        <f>CZ186</f>
        <v/>
      </c>
      <c r="AY186" s="197">
        <f>DE186</f>
        <v/>
      </c>
      <c r="AZ186" s="3379">
        <f>CO186</f>
        <v/>
      </c>
      <c r="BA186" s="3380"/>
      <c r="BB186" s="197">
        <f>CP186</f>
        <v/>
      </c>
      <c r="BC186" s="813"/>
      <c r="BD186" s="197">
        <f>CR186</f>
        <v/>
      </c>
      <c r="BE186" s="121">
        <f>CS186</f>
        <v/>
      </c>
      <c r="BF186" s="122">
        <f>CT186*60</f>
        <v/>
      </c>
      <c r="BG186" s="121">
        <f>BE186</f>
        <v/>
      </c>
      <c r="BH186" s="122">
        <f>CU186*60</f>
        <v/>
      </c>
      <c r="BI186" s="122">
        <f>CV186</f>
        <v/>
      </c>
      <c r="BJ186" s="117"/>
      <c r="BK186" s="812">
        <f>Overview!$E$7</f>
        <v/>
      </c>
      <c r="BL186" s="117"/>
      <c r="BM186" s="836">
        <f>CW186</f>
        <v/>
      </c>
      <c r="BN186" s="812">
        <f>Overview!$P$153</f>
        <v/>
      </c>
      <c r="BO186" s="117"/>
      <c r="BP186" s="117"/>
      <c r="BQ186" s="115"/>
      <c r="BR186" s="1478" t="inlineStr">
        <is>
          <t>N/A</t>
        </is>
      </c>
      <c r="BS186" s="1548"/>
      <c r="BT186" s="2071" t="inlineStr">
        <is>
          <t>GSM</t>
        </is>
      </c>
      <c r="BU186" s="2071">
        <v>1800</v>
      </c>
      <c r="BV186" s="415">
        <f>Overview!$H$28</f>
        <v/>
      </c>
      <c r="BW186" s="2010"/>
      <c r="BX186" s="2071"/>
      <c r="BY186" s="2072"/>
      <c r="BZ186" s="2072"/>
      <c r="CA186" s="1997" t="inlineStr">
        <is>
          <t>Back Face</t>
        </is>
      </c>
      <c r="CB186" s="200">
        <v>5</v>
      </c>
      <c r="CC186" s="902">
        <f>'2G-3G'!BX27</f>
        <v>698</v>
      </c>
      <c r="CD186" s="902">
        <f>'2G-3G'!BY27</f>
        <v>1747.4</v>
      </c>
      <c r="CE186" s="1523"/>
      <c r="CF186" s="1523"/>
      <c r="CG186" s="387" t="str">
        <f>IF(OR($BY$167="",$BY$167=""),"",$BY$167)</f>
        <v/>
      </c>
      <c r="CH186" s="387">
        <f>BZ186</f>
        <v/>
      </c>
      <c r="CI186" s="387">
        <f>CA186</f>
        <v/>
      </c>
      <c r="CJ186" s="1527"/>
      <c r="CK186" s="2042"/>
      <c r="CL186" s="206">
        <f>IF(CF186=""," ",IF(ABS(CE186-CF186)&lt;=0.125,"Valid","Not valid"))</f>
        <v/>
      </c>
      <c r="CM186" s="207">
        <f> IF(CE186="","",IF(AND(CE186&lt;&gt;"",CF186=""),IF(CE186&gt;=1,"Medir+Sig Max","No"),IF(CF186&lt;&gt;"",IF(CF186&gt;=1,"Medir+Sig Max","No"),"")))</f>
        <v/>
      </c>
      <c r="CN186" s="1787"/>
      <c r="CO186" s="220">
        <f>IF(CK186="",IF(AND(CE186="",CF186=""),"",IF(CF186="",IF(DE186&gt;1,ROUND(DE186*CE186,3),CE186),IF(DE186&gt;1,ROUND(DE186*CF186,3),CF186))),IF(AND(CE186="",CF186=""),"",IF(CF186="",IF(DE186&gt;1,ROUND(DE186*CE186*(1/(CK186)),3),CE186*(1/(CK186))),IF(DE186&gt;1,ROUND(DE186*CF186*(1/(CK186)),3),CF186*(1/(CK186))))))</f>
        <v/>
      </c>
      <c r="CP186" s="2043">
        <f>$CP$3</f>
        <v/>
      </c>
      <c r="CQ186" s="1472">
        <f>IF(CO186="","",IF(CO186&gt;CP186,"Fail","Pass"))</f>
        <v/>
      </c>
      <c r="CR186" s="1481">
        <f>IF(AND(MAX(CO185:CO192)=CO186,CO186&lt;&gt;0),COUNT($CR$3:CR185)+1,"")</f>
        <v/>
      </c>
      <c r="CS186" s="1565">
        <f>MyTimestamp(CO186)</f>
        <v/>
      </c>
      <c r="CT186" s="1531">
        <f>IF(CE186="",0,15)+IF(CF186="",0,15)</f>
        <v/>
      </c>
      <c r="CU186" s="1532">
        <f>IF(CT186=0,0,2)</f>
        <v/>
      </c>
      <c r="CV186" s="859" t="inlineStr">
        <is>
          <t>S/02</t>
        </is>
      </c>
      <c r="CW186" s="859" t="inlineStr">
        <is>
          <t>Dasy6</t>
        </is>
      </c>
      <c r="CX186" s="2038"/>
      <c r="CY186" s="2044"/>
      <c r="CZ186" s="1543">
        <f>10^(CJ186/20)*100-100</f>
        <v/>
      </c>
      <c r="DA186" s="1325">
        <f>IF('Tune-Up'!$H$21="","",'Tune-Up'!$H$21)</f>
        <v/>
      </c>
      <c r="DB186" s="701">
        <f>'2G-3G'!BZ27</f>
        <v/>
      </c>
      <c r="DC186" s="769">
        <f>IF(DA186="","",10^(DA186/10))</f>
        <v/>
      </c>
      <c r="DD186" s="1369">
        <f>IF(ISNUMBER(DB186)=FALSE,"",10^(DB186/10))</f>
        <v/>
      </c>
      <c r="DE186" s="1543">
        <f>IF(AND(ISNUMBER(DC186),ISNUMBER(DD186)),IF(DC186/DD186&gt;1,ROUND((DC186)/DD186,3),1),1)</f>
        <v/>
      </c>
      <c r="DF186" s="1541"/>
      <c r="DG186" s="1541"/>
      <c r="DH186" s="1541"/>
      <c r="DI186" s="1541"/>
      <c r="DJ186" s="1541"/>
      <c r="DK186" s="1541"/>
      <c r="DL186" s="1541"/>
      <c r="DM186" s="1541"/>
      <c r="DN186" s="1541"/>
      <c r="DO186" s="1541"/>
      <c r="DP186" s="1541"/>
      <c r="DQ186" s="1541"/>
      <c r="DR186" s="1541"/>
    </row>
    <row r="187" ht="12.75" x14ac:dyDescent="0.2">
      <c r="A187" s="1541"/>
      <c r="B187" s="1541"/>
      <c r="C187"/>
      <c r="D187" s="130">
        <f>IF(BX$185="Close to Ear","EN 62209-1","EN 62209-2")</f>
        <v/>
      </c>
      <c r="E187" s="130">
        <f>IF(CG187="Close to Ear","2016","2010/A1:2019")</f>
        <v/>
      </c>
      <c r="F187" s="1488" t="inlineStr">
        <is>
          <t>5.1</t>
        </is>
      </c>
      <c r="G187" s="1497"/>
      <c r="H187" s="120">
        <f>BV187</f>
        <v/>
      </c>
      <c r="I187" s="120">
        <f>BW187</f>
        <v/>
      </c>
      <c r="J187" s="687" t="str">
        <f>BT187</f>
        <v>GSM</v>
      </c>
      <c r="K187" s="194">
        <f>BU187</f>
        <v>1800</v>
      </c>
      <c r="L187" s="115"/>
      <c r="M187" s="120">
        <f>BZ187</f>
        <v>0</v>
      </c>
      <c r="N187" s="119"/>
      <c r="O187" s="131"/>
      <c r="P187" s="6597"/>
      <c r="Q187" s="131"/>
      <c r="R187" s="131"/>
      <c r="S187" s="120">
        <f>CG187</f>
        <v>0</v>
      </c>
      <c r="T187" s="120">
        <f>CC187</f>
        <v>698</v>
      </c>
      <c r="U187" s="120">
        <f>CD187</f>
        <v>1747.4</v>
      </c>
      <c r="V187" s="119"/>
      <c r="W187" s="197">
        <f>CK187*100</f>
        <v/>
      </c>
      <c r="X187" s="119"/>
      <c r="Y187" s="119"/>
      <c r="Z187" s="119"/>
      <c r="AA187" s="115"/>
      <c r="AB187" s="115"/>
      <c r="AC187" s="689">
        <f>IF(OR(BX$185="Close to Ear",BX$185="Close to Head"),"Head",IF(BX$185="Extremity","Extremity","Body"))</f>
        <v/>
      </c>
      <c r="AD187" s="690">
        <f>CA187</f>
        <v/>
      </c>
      <c r="AE187" s="688">
        <f>CB187</f>
        <v/>
      </c>
      <c r="AF187" s="115"/>
      <c r="AG187" s="808">
        <f>IF(AZ187="","N/A",IF(CQ187="Pass","P","F"))</f>
        <v/>
      </c>
      <c r="AH187" s="129"/>
      <c r="AI187" s="129"/>
      <c r="AJ187" s="129"/>
      <c r="AK187" s="119"/>
      <c r="AL187" s="115"/>
      <c r="AM187" s="119"/>
      <c r="AN187" s="119"/>
      <c r="AO187" s="692"/>
      <c r="AP187" s="692"/>
      <c r="AQ187" s="692"/>
      <c r="AR187" s="692"/>
      <c r="AS187" s="692"/>
      <c r="AT187" s="691">
        <f>CE187</f>
        <v/>
      </c>
      <c r="AU187" s="691">
        <f>CF187</f>
        <v/>
      </c>
      <c r="AV187" s="813"/>
      <c r="AW187" s="813"/>
      <c r="AX187" s="197">
        <f>CZ187</f>
        <v/>
      </c>
      <c r="AY187" s="197">
        <f>DE187</f>
        <v/>
      </c>
      <c r="AZ187" s="3379">
        <f>CO187</f>
        <v/>
      </c>
      <c r="BA187" s="3380"/>
      <c r="BB187" s="197">
        <f>CP187</f>
        <v/>
      </c>
      <c r="BC187" s="813"/>
      <c r="BD187" s="197">
        <f>CR187</f>
        <v/>
      </c>
      <c r="BE187" s="121">
        <f>CS187</f>
        <v/>
      </c>
      <c r="BF187" s="122">
        <f>CT187*60</f>
        <v/>
      </c>
      <c r="BG187" s="121">
        <f>BE187</f>
        <v/>
      </c>
      <c r="BH187" s="122">
        <f>CU187*60</f>
        <v/>
      </c>
      <c r="BI187" s="122">
        <f>CV187</f>
        <v/>
      </c>
      <c r="BJ187" s="117"/>
      <c r="BK187" s="812">
        <f>Overview!$E$7</f>
        <v/>
      </c>
      <c r="BL187" s="117"/>
      <c r="BM187" s="836">
        <f>CW187</f>
        <v/>
      </c>
      <c r="BN187" s="812">
        <f>Overview!$P$153</f>
        <v/>
      </c>
      <c r="BO187" s="117"/>
      <c r="BP187" s="117"/>
      <c r="BQ187" s="115"/>
      <c r="BR187" s="1478" t="inlineStr">
        <is>
          <t>N/A</t>
        </is>
      </c>
      <c r="BS187" s="1548"/>
      <c r="BT187" s="2071" t="inlineStr">
        <is>
          <t>GSM</t>
        </is>
      </c>
      <c r="BU187" s="2071">
        <v>1800</v>
      </c>
      <c r="BV187" s="415">
        <f>Overview!$H$28</f>
        <v/>
      </c>
      <c r="BW187" s="2010"/>
      <c r="BX187" s="2071"/>
      <c r="BY187" s="2072"/>
      <c r="BZ187" s="2072"/>
      <c r="CA187" s="1997" t="inlineStr">
        <is>
          <t>Left Edge</t>
        </is>
      </c>
      <c r="CB187" s="200">
        <v>5</v>
      </c>
      <c r="CC187" s="902">
        <f>'2G-3G'!BX27</f>
        <v>698</v>
      </c>
      <c r="CD187" s="902">
        <f>'2G-3G'!BY27</f>
        <v>1747.4</v>
      </c>
      <c r="CE187" s="1523"/>
      <c r="CF187" s="1523"/>
      <c r="CG187" s="387" t="str">
        <f>IF(OR($BY$167="",$BY$167=""),"",$BY$167)</f>
        <v/>
      </c>
      <c r="CH187" s="387">
        <f>BZ187</f>
        <v/>
      </c>
      <c r="CI187" s="387">
        <f>CA187</f>
        <v/>
      </c>
      <c r="CJ187" s="1527"/>
      <c r="CK187" s="2042"/>
      <c r="CL187" s="206">
        <f>IF(CF187=""," ",IF(ABS(CE187-CF187)&lt;=0.125,"Valid","Not valid"))</f>
        <v/>
      </c>
      <c r="CM187" s="207">
        <f> IF(CE187="","",IF(AND(CE187&lt;&gt;"",CF187=""),IF(CE187&gt;=1,"Medir+Sig Max","No"),IF(CF187&lt;&gt;"",IF(CF187&gt;=1,"Medir+Sig Max","No"),"")))</f>
        <v/>
      </c>
      <c r="CN187" s="1787"/>
      <c r="CO187" s="220">
        <f>IF(CK187="",IF(AND(CE187="",CF187=""),"",IF(CF187="",IF(DE187&gt;1,ROUND(DE187*CE187,3),CE187),IF(DE187&gt;1,ROUND(DE187*CF187,3),CF187))),IF(AND(CE187="",CF187=""),"",IF(CF187="",IF(DE187&gt;1,ROUND(DE187*CE187*(1/(CK187)),3),CE187*(1/(CK187))),IF(DE187&gt;1,ROUND(DE187*CF187*(1/(CK187)),3),CF187*(1/(CK187))))))</f>
        <v/>
      </c>
      <c r="CP187" s="2043">
        <f>$CP$3</f>
        <v/>
      </c>
      <c r="CQ187" s="1472">
        <f>IF(CO187="","",IF(CO187&gt;CP187,"Fail","Pass"))</f>
        <v/>
      </c>
      <c r="CR187" s="1481">
        <f>IF(AND(MAX(CO185:CO192)=CO187,CO187&lt;&gt;0),COUNT($CR$3:CR186)+1,"")</f>
        <v/>
      </c>
      <c r="CS187" s="1565">
        <f>MyTimestamp(CO187)</f>
        <v/>
      </c>
      <c r="CT187" s="1531">
        <f>IF(CE187="",0,15)+IF(CF187="",0,15)</f>
        <v/>
      </c>
      <c r="CU187" s="1532">
        <f>IF(CT187=0,0,2)</f>
        <v/>
      </c>
      <c r="CV187" s="859" t="inlineStr">
        <is>
          <t>S/02</t>
        </is>
      </c>
      <c r="CW187" s="859" t="inlineStr">
        <is>
          <t>Dasy6</t>
        </is>
      </c>
      <c r="CX187" s="2038"/>
      <c r="CY187" s="2044"/>
      <c r="CZ187" s="1543">
        <f>10^(CJ187/20)*100-100</f>
        <v/>
      </c>
      <c r="DA187" s="1325">
        <f>IF('Tune-Up'!$H$21="","",'Tune-Up'!$H$21)</f>
        <v/>
      </c>
      <c r="DB187" s="701">
        <f>'2G-3G'!BZ27</f>
        <v/>
      </c>
      <c r="DC187" s="769">
        <f>IF(DA187="","",10^(DA187/10))</f>
        <v/>
      </c>
      <c r="DD187" s="1369">
        <f>IF(ISNUMBER(DB187)=FALSE,"",10^(DB187/10))</f>
        <v/>
      </c>
      <c r="DE187" s="1543">
        <f>IF(AND(ISNUMBER(DC187),ISNUMBER(DD187)),IF(DC187/DD187&gt;1,ROUND((DC187)/DD187,3),1),1)</f>
        <v/>
      </c>
      <c r="DF187" s="1541"/>
      <c r="DG187" s="1541"/>
      <c r="DH187" s="1541"/>
      <c r="DI187" s="1541"/>
      <c r="DJ187" s="1541"/>
      <c r="DK187" s="1541"/>
      <c r="DL187" s="1541"/>
      <c r="DM187" s="1541"/>
      <c r="DN187" s="1541"/>
      <c r="DO187" s="1541"/>
      <c r="DP187" s="1541"/>
      <c r="DQ187" s="1541"/>
      <c r="DR187" s="1541"/>
    </row>
    <row r="188" ht="12.75" x14ac:dyDescent="0.2">
      <c r="A188" s="1541"/>
      <c r="B188" s="1541"/>
      <c r="C188"/>
      <c r="D188" s="130">
        <f>IF(BX$185="Close to Ear","EN 62209-1","EN 62209-2")</f>
        <v/>
      </c>
      <c r="E188" s="130">
        <f>IF(CG188="Close to Ear","2016","2010/A1:2019")</f>
        <v/>
      </c>
      <c r="F188" s="1488" t="inlineStr">
        <is>
          <t>5.1</t>
        </is>
      </c>
      <c r="G188" s="1497"/>
      <c r="H188" s="120">
        <f>BV188</f>
        <v/>
      </c>
      <c r="I188" s="120">
        <f>BW188</f>
        <v/>
      </c>
      <c r="J188" s="687" t="str">
        <f>BT188</f>
        <v>GSM</v>
      </c>
      <c r="K188" s="194">
        <f>BU188</f>
        <v>1800</v>
      </c>
      <c r="L188" s="115"/>
      <c r="M188" s="120">
        <f>BZ188</f>
        <v>0</v>
      </c>
      <c r="N188" s="119"/>
      <c r="O188" s="131"/>
      <c r="P188" s="6597"/>
      <c r="Q188" s="131"/>
      <c r="R188" s="131"/>
      <c r="S188" s="120">
        <f>CG188</f>
        <v>0</v>
      </c>
      <c r="T188" s="120">
        <f>CC188</f>
        <v>698</v>
      </c>
      <c r="U188" s="120">
        <f>CD188</f>
        <v>1747.4</v>
      </c>
      <c r="V188" s="119"/>
      <c r="W188" s="197">
        <f>CK188*100</f>
        <v/>
      </c>
      <c r="X188" s="119"/>
      <c r="Y188" s="119"/>
      <c r="Z188" s="119"/>
      <c r="AA188" s="115"/>
      <c r="AB188" s="115"/>
      <c r="AC188" s="689">
        <f>IF(OR(BX$185="Close to Ear",BX$185="Close to Head"),"Head",IF(BX$185="Extremity","Extremity","Body"))</f>
        <v/>
      </c>
      <c r="AD188" s="690">
        <f>CA188</f>
        <v/>
      </c>
      <c r="AE188" s="688">
        <f>CB188</f>
        <v/>
      </c>
      <c r="AF188" s="115"/>
      <c r="AG188" s="808">
        <f>IF(AZ188="","N/A",IF(CQ188="Pass","P","F"))</f>
        <v/>
      </c>
      <c r="AH188" s="129"/>
      <c r="AI188" s="129"/>
      <c r="AJ188" s="129"/>
      <c r="AK188" s="119"/>
      <c r="AL188" s="115"/>
      <c r="AM188" s="119"/>
      <c r="AN188" s="119"/>
      <c r="AO188" s="692"/>
      <c r="AP188" s="692"/>
      <c r="AQ188" s="692"/>
      <c r="AR188" s="692"/>
      <c r="AS188" s="692"/>
      <c r="AT188" s="691">
        <f>CE188</f>
        <v/>
      </c>
      <c r="AU188" s="691">
        <f>CF188</f>
        <v/>
      </c>
      <c r="AV188" s="813"/>
      <c r="AW188" s="813"/>
      <c r="AX188" s="197">
        <f>CZ188</f>
        <v/>
      </c>
      <c r="AY188" s="197">
        <f>DE188</f>
        <v/>
      </c>
      <c r="AZ188" s="3379">
        <f>CO188</f>
        <v/>
      </c>
      <c r="BA188" s="3380"/>
      <c r="BB188" s="197">
        <f>CP188</f>
        <v/>
      </c>
      <c r="BC188" s="813"/>
      <c r="BD188" s="197">
        <f>CR188</f>
        <v/>
      </c>
      <c r="BE188" s="121">
        <f>CS188</f>
        <v/>
      </c>
      <c r="BF188" s="122">
        <f>CT188*60</f>
        <v/>
      </c>
      <c r="BG188" s="121">
        <f>BE188</f>
        <v/>
      </c>
      <c r="BH188" s="122">
        <f>CU188*60</f>
        <v/>
      </c>
      <c r="BI188" s="122">
        <f>CV188</f>
        <v/>
      </c>
      <c r="BJ188" s="117"/>
      <c r="BK188" s="812">
        <f>Overview!$E$7</f>
        <v/>
      </c>
      <c r="BL188" s="117"/>
      <c r="BM188" s="836">
        <f>CW188</f>
        <v/>
      </c>
      <c r="BN188" s="812">
        <f>Overview!$P$153</f>
        <v/>
      </c>
      <c r="BO188" s="117"/>
      <c r="BP188" s="117"/>
      <c r="BQ188" s="115"/>
      <c r="BR188" s="1478" t="inlineStr">
        <is>
          <t>N/A</t>
        </is>
      </c>
      <c r="BS188" s="1548"/>
      <c r="BT188" s="1891" t="inlineStr">
        <is>
          <t>GSM</t>
        </is>
      </c>
      <c r="BU188" s="1891">
        <v>1800</v>
      </c>
      <c r="BV188" s="417">
        <f>Overview!$H$28</f>
        <v/>
      </c>
      <c r="BW188" s="2010"/>
      <c r="BX188" s="1891"/>
      <c r="BY188" s="2072"/>
      <c r="BZ188" s="2072"/>
      <c r="CA188" s="1997" t="inlineStr">
        <is>
          <t>Right Edge</t>
        </is>
      </c>
      <c r="CB188" s="200">
        <v>5</v>
      </c>
      <c r="CC188" s="902">
        <f>'2G-3G'!BX27</f>
        <v>698</v>
      </c>
      <c r="CD188" s="902">
        <f>'2G-3G'!BY27</f>
        <v>1747.4</v>
      </c>
      <c r="CE188" s="1523"/>
      <c r="CF188" s="1523"/>
      <c r="CG188" s="387" t="str">
        <f>IF(OR($BY$167="",$BY$167=""),"",$BY$167)</f>
        <v/>
      </c>
      <c r="CH188" s="387">
        <f>BZ188</f>
        <v/>
      </c>
      <c r="CI188" s="387">
        <f>CA188</f>
        <v/>
      </c>
      <c r="CJ188" s="1527"/>
      <c r="CK188" s="2042"/>
      <c r="CL188" s="206">
        <f>IF(CF188=""," ",IF(ABS(CE188-CF188)&lt;=0.125,"Valid","Not valid"))</f>
        <v/>
      </c>
      <c r="CM188" s="207">
        <f> IF(CE188="","",IF(AND(CE188&lt;&gt;"",CF188=""),IF(CE188&gt;=1,"Medir+Sig Max","No"),IF(CF188&lt;&gt;"",IF(CF188&gt;=1,"Medir+Sig Max","No"),"")))</f>
        <v/>
      </c>
      <c r="CN188" s="1787"/>
      <c r="CO188" s="220">
        <f>IF(CK188="",IF(AND(CE188="",CF188=""),"",IF(CF188="",IF(DE188&gt;1,ROUND(DE188*CE188,3),CE188),IF(DE188&gt;1,ROUND(DE188*CF188,3),CF188))),IF(AND(CE188="",CF188=""),"",IF(CF188="",IF(DE188&gt;1,ROUND(DE188*CE188*(1/(CK188)),3),CE188*(1/(CK188))),IF(DE188&gt;1,ROUND(DE188*CF188*(1/(CK188)),3),CF188*(1/(CK188))))))</f>
        <v/>
      </c>
      <c r="CP188" s="2043">
        <f>$CP$3</f>
        <v/>
      </c>
      <c r="CQ188" s="1472">
        <f>IF(CO188="","",IF(CO188&gt;CP188,"Fail","Pass"))</f>
        <v/>
      </c>
      <c r="CR188" s="1481">
        <f>IF(AND(MAX(CO185:CO192)=CO188,CO188&lt;&gt;0),COUNT($CR$3:CR187)+1,"")</f>
        <v/>
      </c>
      <c r="CS188" s="1565">
        <f>MyTimestamp(CO188)</f>
        <v/>
      </c>
      <c r="CT188" s="1531">
        <f>IF(CE188="",0,15)+IF(CF188="",0,15)</f>
        <v/>
      </c>
      <c r="CU188" s="1532">
        <f>IF(CT188=0,0,2)</f>
        <v/>
      </c>
      <c r="CV188" s="859" t="inlineStr">
        <is>
          <t>S/02</t>
        </is>
      </c>
      <c r="CW188" s="859" t="inlineStr">
        <is>
          <t>Dasy6</t>
        </is>
      </c>
      <c r="CX188" s="2038"/>
      <c r="CY188" s="2044"/>
      <c r="CZ188" s="1543">
        <f>10^(CJ188/20)*100-100</f>
        <v/>
      </c>
      <c r="DA188" s="1325">
        <f>IF('Tune-Up'!$H$21="","",'Tune-Up'!$H$21)</f>
        <v/>
      </c>
      <c r="DB188" s="701">
        <f>'2G-3G'!BZ27</f>
        <v/>
      </c>
      <c r="DC188" s="769">
        <f>IF(DA188="","",10^(DA188/10))</f>
        <v/>
      </c>
      <c r="DD188" s="1369">
        <f>IF(ISNUMBER(DB188)=FALSE,"",10^(DB188/10))</f>
        <v/>
      </c>
      <c r="DE188" s="1543">
        <f>IF(AND(ISNUMBER(DC188),ISNUMBER(DD188)),IF(DC188/DD188&gt;1,ROUND((DC188)/DD188,3),1),1)</f>
        <v/>
      </c>
      <c r="DF188" s="1541"/>
      <c r="DG188" s="1541"/>
      <c r="DH188" s="1541"/>
      <c r="DI188" s="1541"/>
      <c r="DJ188" s="1541"/>
      <c r="DK188" s="1541"/>
      <c r="DL188" s="1541"/>
      <c r="DM188" s="1541"/>
      <c r="DN188" s="1541"/>
      <c r="DO188" s="1541"/>
      <c r="DP188" s="1541"/>
      <c r="DQ188" s="1541"/>
      <c r="DR188" s="1541"/>
    </row>
    <row r="189" ht="12.75" x14ac:dyDescent="0.2">
      <c r="A189" s="1541"/>
      <c r="B189" s="1541"/>
      <c r="C189"/>
      <c r="D189" s="130">
        <f>IF(BX$185="Close to Ear","EN 62209-1","EN 62209-2")</f>
        <v/>
      </c>
      <c r="E189" s="130">
        <f>IF(CG189="Close to Ear","2016","2010/A1:2019")</f>
        <v/>
      </c>
      <c r="F189" s="1488" t="inlineStr">
        <is>
          <t>5.1</t>
        </is>
      </c>
      <c r="G189" s="1497"/>
      <c r="H189" s="120">
        <f>BV189</f>
        <v/>
      </c>
      <c r="I189" s="120">
        <f>BW189</f>
        <v/>
      </c>
      <c r="J189" s="687" t="str">
        <f>BT189</f>
        <v>GSM</v>
      </c>
      <c r="K189" s="194">
        <f>BU189</f>
        <v>1800</v>
      </c>
      <c r="L189" s="115"/>
      <c r="M189" s="120">
        <f>BZ189</f>
        <v>0</v>
      </c>
      <c r="N189" s="119"/>
      <c r="O189" s="131"/>
      <c r="P189" s="6597"/>
      <c r="Q189" s="131"/>
      <c r="R189" s="131"/>
      <c r="S189" s="120">
        <f>CG189</f>
        <v>0</v>
      </c>
      <c r="T189" s="120">
        <f>CC189</f>
        <v>698</v>
      </c>
      <c r="U189" s="120">
        <f>CD189</f>
        <v>1747.4</v>
      </c>
      <c r="V189" s="119"/>
      <c r="W189" s="197">
        <f>CK189*100</f>
        <v/>
      </c>
      <c r="X189" s="119"/>
      <c r="Y189" s="119"/>
      <c r="Z189" s="119"/>
      <c r="AA189" s="115"/>
      <c r="AB189" s="115"/>
      <c r="AC189" s="689">
        <f>IF(OR(BX$185="Close to Ear",BX$185="Close to Head"),"Head",IF(BX$185="Extremity","Extremity","Body"))</f>
        <v/>
      </c>
      <c r="AD189" s="690">
        <f>CA189</f>
        <v/>
      </c>
      <c r="AE189" s="688">
        <f>CB189</f>
        <v/>
      </c>
      <c r="AF189" s="115"/>
      <c r="AG189" s="808">
        <f>IF(AZ189="","N/A",IF(CQ189="Pass","P","F"))</f>
        <v/>
      </c>
      <c r="AH189" s="129"/>
      <c r="AI189" s="129"/>
      <c r="AJ189" s="129"/>
      <c r="AK189" s="119"/>
      <c r="AL189" s="115"/>
      <c r="AM189" s="119"/>
      <c r="AN189" s="119"/>
      <c r="AO189" s="692"/>
      <c r="AP189" s="692"/>
      <c r="AQ189" s="692"/>
      <c r="AR189" s="692"/>
      <c r="AS189" s="692"/>
      <c r="AT189" s="691">
        <f>CE189</f>
        <v/>
      </c>
      <c r="AU189" s="691">
        <f>CF189</f>
        <v/>
      </c>
      <c r="AV189" s="813"/>
      <c r="AW189" s="813"/>
      <c r="AX189" s="197">
        <f>CZ189</f>
        <v/>
      </c>
      <c r="AY189" s="197">
        <f>DE189</f>
        <v/>
      </c>
      <c r="AZ189" s="3379">
        <f>CO189</f>
        <v/>
      </c>
      <c r="BA189" s="3380"/>
      <c r="BB189" s="197">
        <f>CP189</f>
        <v/>
      </c>
      <c r="BC189" s="813"/>
      <c r="BD189" s="197">
        <f>CR189</f>
        <v/>
      </c>
      <c r="BE189" s="121">
        <f>CS189</f>
        <v/>
      </c>
      <c r="BF189" s="122">
        <f>CT189*60</f>
        <v/>
      </c>
      <c r="BG189" s="121">
        <f>BE189</f>
        <v/>
      </c>
      <c r="BH189" s="122">
        <f>CU189*60</f>
        <v/>
      </c>
      <c r="BI189" s="122">
        <f>CV189</f>
        <v/>
      </c>
      <c r="BJ189" s="117"/>
      <c r="BK189" s="812">
        <f>Overview!$E$7</f>
        <v/>
      </c>
      <c r="BL189" s="117"/>
      <c r="BM189" s="836">
        <f>CW189</f>
        <v/>
      </c>
      <c r="BN189" s="812">
        <f>Overview!$P$153</f>
        <v/>
      </c>
      <c r="BO189" s="117"/>
      <c r="BP189" s="117"/>
      <c r="BQ189" s="115"/>
      <c r="BR189" s="1478" t="inlineStr">
        <is>
          <t>N/A</t>
        </is>
      </c>
      <c r="BS189" s="1548"/>
      <c r="BT189" s="2071" t="inlineStr">
        <is>
          <t>GSM</t>
        </is>
      </c>
      <c r="BU189" s="2071">
        <v>1800</v>
      </c>
      <c r="BV189" s="415">
        <f>Overview!$H$28</f>
        <v/>
      </c>
      <c r="BW189" s="2010"/>
      <c r="BX189" s="2071"/>
      <c r="BY189" s="2072"/>
      <c r="BZ189" s="2072"/>
      <c r="CA189" s="1997" t="inlineStr">
        <is>
          <t>Top Edge</t>
        </is>
      </c>
      <c r="CB189" s="200">
        <v>5</v>
      </c>
      <c r="CC189" s="902">
        <f>'2G-3G'!BX27</f>
        <v>698</v>
      </c>
      <c r="CD189" s="902">
        <f>'2G-3G'!BY27</f>
        <v>1747.4</v>
      </c>
      <c r="CE189" s="1523"/>
      <c r="CF189" s="1523"/>
      <c r="CG189" s="387" t="str">
        <f>IF(OR($BY$167="",$BY$167=""),"",$BY$167)</f>
        <v/>
      </c>
      <c r="CH189" s="387">
        <f>BZ189</f>
        <v/>
      </c>
      <c r="CI189" s="387">
        <f>CA189</f>
        <v/>
      </c>
      <c r="CJ189" s="1527"/>
      <c r="CK189" s="2042"/>
      <c r="CL189" s="206">
        <f>IF(CF189=""," ",IF(ABS(CE189-CF189)&lt;=0.125,"Valid","Not valid"))</f>
        <v/>
      </c>
      <c r="CM189" s="207">
        <f> IF(CE189="","",IF(AND(CE189&lt;&gt;"",CF189=""),IF(CE189&gt;=1,"Medir+Sig Max","No"),IF(CF189&lt;&gt;"",IF(CF189&gt;=1,"Medir+Sig Max","No"),"")))</f>
        <v/>
      </c>
      <c r="CN189" s="1787"/>
      <c r="CO189" s="220">
        <f>IF(CK189="",IF(AND(CE189="",CF189=""),"",IF(CF189="",IF(DE189&gt;1,ROUND(DE189*CE189,3),CE189),IF(DE189&gt;1,ROUND(DE189*CF189,3),CF189))),IF(AND(CE189="",CF189=""),"",IF(CF189="",IF(DE189&gt;1,ROUND(DE189*CE189*(1/(CK189)),3),CE189*(1/(CK189))),IF(DE189&gt;1,ROUND(DE189*CF189*(1/(CK189)),3),CF189*(1/(CK189))))))</f>
        <v/>
      </c>
      <c r="CP189" s="2043">
        <f>$CP$3</f>
        <v/>
      </c>
      <c r="CQ189" s="1472">
        <f>IF(CO189="","",IF(CO189&gt;CP189,"Fail","Pass"))</f>
        <v/>
      </c>
      <c r="CR189" s="1481">
        <f>IF(AND(MAX(CO185:CO192)=CO189,CO189&lt;&gt;0),COUNT($CR$3:CR188)+1,"")</f>
        <v/>
      </c>
      <c r="CS189" s="1565">
        <f>MyTimestamp(CO189)</f>
        <v/>
      </c>
      <c r="CT189" s="1531">
        <f>IF(CE189="",0,15)+IF(CF189="",0,15)</f>
        <v/>
      </c>
      <c r="CU189" s="1532">
        <f>IF(CT189=0,0,2)</f>
        <v/>
      </c>
      <c r="CV189" s="859" t="inlineStr">
        <is>
          <t>S/02</t>
        </is>
      </c>
      <c r="CW189" s="859" t="inlineStr">
        <is>
          <t>Dasy6</t>
        </is>
      </c>
      <c r="CX189" s="2038"/>
      <c r="CY189" s="2044"/>
      <c r="CZ189" s="1543">
        <f>10^(CJ189/20)*100-100</f>
        <v/>
      </c>
      <c r="DA189" s="1325">
        <f>IF('Tune-Up'!$H$21="","",'Tune-Up'!$H$21)</f>
        <v/>
      </c>
      <c r="DB189" s="701">
        <f>'2G-3G'!BZ27</f>
        <v/>
      </c>
      <c r="DC189" s="769">
        <f>IF(DA189="","",10^(DA189/10))</f>
        <v/>
      </c>
      <c r="DD189" s="1369">
        <f>IF(ISNUMBER(DB189)=FALSE,"",10^(DB189/10))</f>
        <v/>
      </c>
      <c r="DE189" s="1543">
        <f>IF(AND(ISNUMBER(DC189),ISNUMBER(DD189)),IF(DC189/DD189&gt;1,ROUND((DC189)/DD189,3),1),1)</f>
        <v/>
      </c>
      <c r="DF189" s="1541"/>
      <c r="DG189" s="1541"/>
      <c r="DH189" s="1541"/>
      <c r="DI189" s="1541"/>
      <c r="DJ189" s="1541"/>
      <c r="DK189" s="1541"/>
      <c r="DL189" s="1541"/>
      <c r="DM189" s="1541"/>
      <c r="DN189" s="1541"/>
      <c r="DO189" s="1541"/>
      <c r="DP189" s="1541"/>
      <c r="DQ189" s="1541"/>
      <c r="DR189" s="1541"/>
    </row>
    <row r="190" ht="12.75" x14ac:dyDescent="0.2">
      <c r="A190" s="1541"/>
      <c r="B190" s="1541"/>
      <c r="C190"/>
      <c r="D190" s="130">
        <f>IF(BX$185="Close to Ear","EN 62209-1","EN 62209-2")</f>
        <v/>
      </c>
      <c r="E190" s="130">
        <f>IF(CG190="Close to Ear","2016","2010/A1:2019")</f>
        <v/>
      </c>
      <c r="F190" s="1488" t="inlineStr">
        <is>
          <t>5.1</t>
        </is>
      </c>
      <c r="G190" s="1497"/>
      <c r="H190" s="120">
        <f>BV190</f>
        <v/>
      </c>
      <c r="I190" s="120">
        <f>BW190</f>
        <v/>
      </c>
      <c r="J190" s="687" t="str">
        <f>BT190</f>
        <v>GSM</v>
      </c>
      <c r="K190" s="194">
        <f>BU190</f>
        <v>1800</v>
      </c>
      <c r="L190" s="115"/>
      <c r="M190" s="120">
        <f>BZ190</f>
        <v>0</v>
      </c>
      <c r="N190" s="119"/>
      <c r="O190" s="131"/>
      <c r="P190" s="6597"/>
      <c r="Q190" s="131"/>
      <c r="R190" s="131"/>
      <c r="S190" s="120">
        <f>CG190</f>
        <v>0</v>
      </c>
      <c r="T190" s="120">
        <f>CC190</f>
        <v>698</v>
      </c>
      <c r="U190" s="120">
        <f>CD190</f>
        <v>1747.4</v>
      </c>
      <c r="V190" s="119"/>
      <c r="W190" s="197">
        <f>CK190*100</f>
        <v/>
      </c>
      <c r="X190" s="119"/>
      <c r="Y190" s="119"/>
      <c r="Z190" s="119"/>
      <c r="AA190" s="115"/>
      <c r="AB190" s="115"/>
      <c r="AC190" s="689">
        <f>IF(OR(BX$185="Close to Ear",BX$185="Close to Head"),"Head",IF(BX$185="Extremity","Extremity","Body"))</f>
        <v/>
      </c>
      <c r="AD190" s="690">
        <f>CA190</f>
        <v/>
      </c>
      <c r="AE190" s="688">
        <f>CB190</f>
        <v/>
      </c>
      <c r="AF190" s="115"/>
      <c r="AG190" s="808">
        <f>IF(AZ190="","N/A",IF(CQ190="Pass","P","F"))</f>
        <v/>
      </c>
      <c r="AH190" s="129"/>
      <c r="AI190" s="129"/>
      <c r="AJ190" s="129"/>
      <c r="AK190" s="119"/>
      <c r="AL190" s="115"/>
      <c r="AM190" s="119"/>
      <c r="AN190" s="119"/>
      <c r="AO190" s="692"/>
      <c r="AP190" s="692"/>
      <c r="AQ190" s="692"/>
      <c r="AR190" s="692"/>
      <c r="AS190" s="692"/>
      <c r="AT190" s="691">
        <f>CE190</f>
        <v/>
      </c>
      <c r="AU190" s="691">
        <f>CF190</f>
        <v/>
      </c>
      <c r="AV190" s="813"/>
      <c r="AW190" s="813"/>
      <c r="AX190" s="197">
        <f>CZ190</f>
        <v/>
      </c>
      <c r="AY190" s="197">
        <f>DE190</f>
        <v/>
      </c>
      <c r="AZ190" s="3379">
        <f>CO190</f>
        <v/>
      </c>
      <c r="BA190" s="3380"/>
      <c r="BB190" s="197">
        <f>CP190</f>
        <v/>
      </c>
      <c r="BC190" s="813"/>
      <c r="BD190" s="197">
        <f>CR190</f>
        <v/>
      </c>
      <c r="BE190" s="121">
        <f>CS190</f>
        <v/>
      </c>
      <c r="BF190" s="122">
        <f>CT190*60</f>
        <v/>
      </c>
      <c r="BG190" s="121">
        <f>BE190</f>
        <v/>
      </c>
      <c r="BH190" s="122">
        <f>CU190*60</f>
        <v/>
      </c>
      <c r="BI190" s="122">
        <f>CV190</f>
        <v/>
      </c>
      <c r="BJ190" s="117"/>
      <c r="BK190" s="812">
        <f>Overview!$E$7</f>
        <v/>
      </c>
      <c r="BL190" s="117"/>
      <c r="BM190" s="836">
        <f>CW190</f>
        <v/>
      </c>
      <c r="BN190" s="812">
        <f>Overview!$P$153</f>
        <v/>
      </c>
      <c r="BO190" s="117"/>
      <c r="BP190" s="117"/>
      <c r="BQ190" s="115"/>
      <c r="BR190" s="1478" t="inlineStr">
        <is>
          <t>N/A</t>
        </is>
      </c>
      <c r="BS190" s="1548"/>
      <c r="BT190" s="2071" t="inlineStr">
        <is>
          <t>GSM</t>
        </is>
      </c>
      <c r="BU190" s="2071">
        <v>1800</v>
      </c>
      <c r="BV190" s="415">
        <f>Overview!$H$28</f>
        <v/>
      </c>
      <c r="BW190" s="2010"/>
      <c r="BX190" s="2071"/>
      <c r="BY190" s="2072"/>
      <c r="BZ190" s="2072"/>
      <c r="CA190" s="1997" t="inlineStr">
        <is>
          <t>Bottom Edge</t>
        </is>
      </c>
      <c r="CB190" s="200">
        <v>5</v>
      </c>
      <c r="CC190" s="902">
        <f>'2G-3G'!BX27</f>
        <v>698</v>
      </c>
      <c r="CD190" s="902">
        <f>'2G-3G'!BY27</f>
        <v>1747.4</v>
      </c>
      <c r="CE190" s="1523"/>
      <c r="CF190" s="1523"/>
      <c r="CG190" s="387" t="str">
        <f>IF(OR($BY$167="",$BY$167=""),"",$BY$167)</f>
        <v/>
      </c>
      <c r="CH190" s="387">
        <f>BZ190</f>
        <v/>
      </c>
      <c r="CI190" s="387">
        <f>CA190</f>
        <v/>
      </c>
      <c r="CJ190" s="1527"/>
      <c r="CK190" s="2042"/>
      <c r="CL190" s="206">
        <f>IF(CF190=""," ",IF(ABS(CE190-CF190)&lt;=0.125,"Valid","Not valid"))</f>
        <v/>
      </c>
      <c r="CM190" s="207">
        <f> IF(CE190="","",IF(AND(CE190&lt;&gt;"",CF190=""),IF(CE190&gt;=1,"Medir+Sig Max","No"),IF(CF190&lt;&gt;"",IF(CF190&gt;=1,"Medir+Sig Max","No"),"")))</f>
        <v/>
      </c>
      <c r="CN190" s="1787"/>
      <c r="CO190" s="220">
        <f>IF(CK190="",IF(AND(CE190="",CF190=""),"",IF(CF190="",IF(DE190&gt;1,ROUND(DE190*CE190,3),CE190),IF(DE190&gt;1,ROUND(DE190*CF190,3),CF190))),IF(AND(CE190="",CF190=""),"",IF(CF190="",IF(DE190&gt;1,ROUND(DE190*CE190*(1/(CK190)),3),CE190*(1/(CK190))),IF(DE190&gt;1,ROUND(DE190*CF190*(1/(CK190)),3),CF190*(1/(CK190))))))</f>
        <v/>
      </c>
      <c r="CP190" s="2043">
        <f>$CP$3</f>
        <v/>
      </c>
      <c r="CQ190" s="1472">
        <f>IF(CO190="","",IF(CO190&gt;CP190,"Fail","Pass"))</f>
        <v/>
      </c>
      <c r="CR190" s="1481">
        <f>IF(AND(MAX(CO185:CO192)=CO190,CO190&lt;&gt;0),COUNT($CR$3:CR189)+1,"")</f>
        <v/>
      </c>
      <c r="CS190" s="1565">
        <f>MyTimestamp(CO190)</f>
        <v/>
      </c>
      <c r="CT190" s="1531">
        <f>IF(CE190="",0,15)+IF(CF190="",0,15)</f>
        <v/>
      </c>
      <c r="CU190" s="1532">
        <f>IF(CT190=0,0,2)</f>
        <v/>
      </c>
      <c r="CV190" s="859" t="inlineStr">
        <is>
          <t>S/02</t>
        </is>
      </c>
      <c r="CW190" s="859" t="inlineStr">
        <is>
          <t>Dasy6</t>
        </is>
      </c>
      <c r="CX190" s="2038"/>
      <c r="CY190" s="2044"/>
      <c r="CZ190" s="1543">
        <f>10^(CJ190/20)*100-100</f>
        <v/>
      </c>
      <c r="DA190" s="1325">
        <f>IF('Tune-Up'!$H$21="","",'Tune-Up'!$H$21)</f>
        <v/>
      </c>
      <c r="DB190" s="701">
        <f>'2G-3G'!BZ27</f>
        <v/>
      </c>
      <c r="DC190" s="769">
        <f>IF(DA190="","",10^(DA190/10))</f>
        <v/>
      </c>
      <c r="DD190" s="1369">
        <f>IF(ISNUMBER(DB190)=FALSE,"",10^(DB190/10))</f>
        <v/>
      </c>
      <c r="DE190" s="1543">
        <f>IF(AND(ISNUMBER(DC190),ISNUMBER(DD190)),IF(DC190/DD190&gt;1,ROUND((DC190)/DD190,3),1),1)</f>
        <v/>
      </c>
      <c r="DF190" s="1541"/>
      <c r="DG190" s="1541"/>
      <c r="DH190" s="1541"/>
      <c r="DI190" s="1541"/>
      <c r="DJ190" s="1541"/>
      <c r="DK190" s="1541"/>
      <c r="DL190" s="1541"/>
      <c r="DM190" s="1541"/>
      <c r="DN190" s="1541"/>
      <c r="DO190" s="1541"/>
      <c r="DP190" s="1541"/>
      <c r="DQ190" s="1541"/>
      <c r="DR190" s="1541"/>
    </row>
    <row r="191" ht="12.75" x14ac:dyDescent="0.2">
      <c r="A191" s="1541"/>
      <c r="B191" s="1541"/>
      <c r="C191"/>
      <c r="D191" s="130">
        <f>IF(BX$185="Close to Ear","EN 62209-1","EN 62209-2")</f>
        <v/>
      </c>
      <c r="E191" s="130">
        <f>IF(CG191="Close to Ear","2016","2010/A1:2019")</f>
        <v/>
      </c>
      <c r="F191" s="1488" t="inlineStr">
        <is>
          <t>5.1</t>
        </is>
      </c>
      <c r="G191" s="1497"/>
      <c r="H191" s="120">
        <f>BV191</f>
        <v/>
      </c>
      <c r="I191" s="120">
        <f>BW191</f>
        <v/>
      </c>
      <c r="J191" s="687" t="str">
        <f>BT191</f>
        <v>GSM</v>
      </c>
      <c r="K191" s="194">
        <f>BU191</f>
        <v>1800</v>
      </c>
      <c r="L191" s="115"/>
      <c r="M191" s="120">
        <f>BZ191</f>
        <v>0</v>
      </c>
      <c r="N191" s="119"/>
      <c r="O191" s="131"/>
      <c r="P191" s="6597"/>
      <c r="Q191" s="131"/>
      <c r="R191" s="131"/>
      <c r="S191" s="120">
        <f>CG191</f>
        <v>0</v>
      </c>
      <c r="T191" s="120">
        <f>CC191</f>
        <v>512</v>
      </c>
      <c r="U191" s="120">
        <f>CD191</f>
        <v>1710.2</v>
      </c>
      <c r="V191" s="119"/>
      <c r="W191" s="197">
        <f>CK191*100</f>
        <v/>
      </c>
      <c r="X191" s="119"/>
      <c r="Y191" s="119"/>
      <c r="Z191" s="119"/>
      <c r="AA191" s="115"/>
      <c r="AB191" s="115"/>
      <c r="AC191" s="689">
        <f>IF(OR(BX$185="Close to Ear",BX$185="Close to Head"),"Head",IF(BX$185="Extremity","Extremity","Body"))</f>
        <v/>
      </c>
      <c r="AD191" s="690">
        <f>CA191</f>
        <v/>
      </c>
      <c r="AE191" s="688">
        <f>CB191</f>
        <v/>
      </c>
      <c r="AF191" s="115"/>
      <c r="AG191" s="808">
        <f>IF(AZ191="","N/A",IF(CQ191="Pass","P","F"))</f>
        <v/>
      </c>
      <c r="AH191" s="129"/>
      <c r="AI191" s="129"/>
      <c r="AJ191" s="129"/>
      <c r="AK191" s="119"/>
      <c r="AL191" s="115"/>
      <c r="AM191" s="119"/>
      <c r="AN191" s="119"/>
      <c r="AO191" s="692"/>
      <c r="AP191" s="692"/>
      <c r="AQ191" s="692"/>
      <c r="AR191" s="692"/>
      <c r="AS191" s="692"/>
      <c r="AT191" s="691">
        <f>CE191</f>
        <v/>
      </c>
      <c r="AU191" s="691">
        <f>CF191</f>
        <v/>
      </c>
      <c r="AV191" s="813"/>
      <c r="AW191" s="813"/>
      <c r="AX191" s="197">
        <f>CZ191</f>
        <v/>
      </c>
      <c r="AY191" s="197">
        <f>DE191</f>
        <v/>
      </c>
      <c r="AZ191" s="3379">
        <f>CO191</f>
        <v/>
      </c>
      <c r="BA191" s="3380"/>
      <c r="BB191" s="197">
        <f>CP191</f>
        <v/>
      </c>
      <c r="BC191" s="813"/>
      <c r="BD191" s="197">
        <f>CR191</f>
        <v/>
      </c>
      <c r="BE191" s="121">
        <f>CS191</f>
        <v/>
      </c>
      <c r="BF191" s="122">
        <f>CT191*60</f>
        <v/>
      </c>
      <c r="BG191" s="121">
        <f>BE191</f>
        <v/>
      </c>
      <c r="BH191" s="122">
        <f>CU191*60</f>
        <v/>
      </c>
      <c r="BI191" s="122">
        <f>CV191</f>
        <v/>
      </c>
      <c r="BJ191" s="117"/>
      <c r="BK191" s="812">
        <f>Overview!$E$7</f>
        <v/>
      </c>
      <c r="BL191" s="117"/>
      <c r="BM191" s="836">
        <f>CW191</f>
        <v/>
      </c>
      <c r="BN191" s="812">
        <f>Overview!$P$153</f>
        <v/>
      </c>
      <c r="BO191" s="117"/>
      <c r="BP191" s="117"/>
      <c r="BQ191" s="115"/>
      <c r="BR191" s="1478" t="inlineStr">
        <is>
          <t>N/A</t>
        </is>
      </c>
      <c r="BS191" s="1548"/>
      <c r="BT191" s="2071" t="inlineStr">
        <is>
          <t>GSM</t>
        </is>
      </c>
      <c r="BU191" s="2071">
        <v>1800</v>
      </c>
      <c r="BV191" s="415">
        <f>Overview!$H$28</f>
        <v/>
      </c>
      <c r="BW191" s="2010"/>
      <c r="BX191" s="2071"/>
      <c r="BY191" s="2072"/>
      <c r="BZ191" s="2072"/>
      <c r="CA191" s="416" t="str">
        <f>IF(COUNT(CF185:CF190)=0,IF(COUNT(CE185:CE190)=0,"TBD",VLOOKUP(MAX(CE185:CE190),CE185:CI190,5,FALSE)),VLOOKUP(MAX(CF185:CF190),CF185:CI190,4,FALSE))</f>
        <v>TBD</v>
      </c>
      <c r="CB191" s="200">
        <v>5</v>
      </c>
      <c r="CC191" s="902">
        <f>'2G-3G'!BX28</f>
        <v>512</v>
      </c>
      <c r="CD191" s="902">
        <f>'2G-3G'!BY28</f>
        <v>1710.2</v>
      </c>
      <c r="CE191" s="1523"/>
      <c r="CF191" s="1523"/>
      <c r="CG191" s="387" t="str">
        <f>IF(OR($BY$167="",$BY$167=""),"",$BY$167)</f>
        <v/>
      </c>
      <c r="CH191" s="387">
        <f>BZ191</f>
        <v/>
      </c>
      <c r="CI191" s="387">
        <f>CA191</f>
        <v/>
      </c>
      <c r="CJ191" s="1527"/>
      <c r="CK191" s="2042"/>
      <c r="CL191" s="206">
        <f>IF(CF191=""," ",IF(ABS(CE191-CF191)&lt;=0.125,"Valid","Not valid"))</f>
        <v/>
      </c>
      <c r="CM191" s="207">
        <f> IF(CE191="","",IF(AND(CE191&lt;&gt;"",CF191=""),IF(CE191&gt;=1,"Medir+Sig Max","No"),IF(CF191&lt;&gt;"",IF(CF191&gt;=1,"Medir+Sig Max","No"),"")))</f>
        <v/>
      </c>
      <c r="CN191" s="1787"/>
      <c r="CO191" s="220">
        <f>IF(CK191="",IF(AND(CE191="",CF191=""),"",IF(CF191="",IF(DE191&gt;1,ROUND(DE191*CE191,3),CE191),IF(DE191&gt;1,ROUND(DE191*CF191,3),CF191))),IF(AND(CE191="",CF191=""),"",IF(CF191="",IF(DE191&gt;1,ROUND(DE191*CE191*(1/(CK191)),3),CE191*(1/(CK191))),IF(DE191&gt;1,ROUND(DE191*CF191*(1/(CK191)),3),CF191*(1/(CK191))))))</f>
        <v/>
      </c>
      <c r="CP191" s="2043">
        <f>$CP$3</f>
        <v/>
      </c>
      <c r="CQ191" s="1472">
        <f>IF(CO191="","",IF(CO191&gt;CP191,"Fail","Pass"))</f>
        <v/>
      </c>
      <c r="CR191" s="1481">
        <f>IF(AND(MAX(CO185:CO192)=CO191,CO191&lt;&gt;0),COUNT($CR$3:CR190)+1,"")</f>
        <v/>
      </c>
      <c r="CS191" s="1565">
        <f>MyTimestamp(CO191)</f>
        <v/>
      </c>
      <c r="CT191" s="1531">
        <f>IF(CE191="",0,15)+IF(CF191="",0,15)</f>
        <v/>
      </c>
      <c r="CU191" s="1532">
        <f>IF(CT191=0,0,2)</f>
        <v/>
      </c>
      <c r="CV191" s="859" t="inlineStr">
        <is>
          <t>S/02</t>
        </is>
      </c>
      <c r="CW191" s="859" t="inlineStr">
        <is>
          <t>Dasy6</t>
        </is>
      </c>
      <c r="CX191" s="2038"/>
      <c r="CY191" s="2044"/>
      <c r="CZ191" s="1543">
        <f>10^(CJ191/20)*100-100</f>
        <v/>
      </c>
      <c r="DA191" s="1325">
        <f>IF('Tune-Up'!$H$21="","",'Tune-Up'!$H$21)</f>
        <v/>
      </c>
      <c r="DB191" s="701">
        <f>'2G-3G'!BZ28</f>
        <v/>
      </c>
      <c r="DC191" s="769">
        <f>IF(DA191="","",10^(DA191/10))</f>
        <v/>
      </c>
      <c r="DD191" s="1369">
        <f>IF(ISNUMBER(DB191)=FALSE,"",10^(DB191/10))</f>
        <v/>
      </c>
      <c r="DE191" s="1543">
        <f>IF(AND(ISNUMBER(DC191),ISNUMBER(DD191)),IF(DC191/DD191&gt;1,ROUND((DC191)/DD191,3),1),1)</f>
        <v/>
      </c>
      <c r="DF191" s="1541"/>
      <c r="DG191" s="1541"/>
      <c r="DH191" s="1541"/>
      <c r="DI191" s="1541"/>
      <c r="DJ191" s="1541"/>
      <c r="DK191" s="1541"/>
      <c r="DL191" s="1541"/>
      <c r="DM191" s="1541"/>
      <c r="DN191" s="1541"/>
      <c r="DO191" s="1541"/>
      <c r="DP191" s="1541"/>
      <c r="DQ191" s="1541"/>
      <c r="DR191" s="1541"/>
    </row>
    <row r="192" ht="12.75" x14ac:dyDescent="0.2">
      <c r="A192" s="1541"/>
      <c r="B192" s="1541"/>
      <c r="C192"/>
      <c r="D192" s="130">
        <f>IF(BX$185="Close to Ear","EN 62209-1","EN 62209-2")</f>
        <v/>
      </c>
      <c r="E192" s="130">
        <f>IF(CG192="Close to Ear","2016","2010/A1:2019")</f>
        <v/>
      </c>
      <c r="F192" s="1488" t="inlineStr">
        <is>
          <t>5.1</t>
        </is>
      </c>
      <c r="G192" s="1497"/>
      <c r="H192" s="120">
        <f>BV192</f>
        <v/>
      </c>
      <c r="I192" s="120">
        <f>BW192</f>
        <v/>
      </c>
      <c r="J192" s="687" t="str">
        <f>BT192</f>
        <v>GSM</v>
      </c>
      <c r="K192" s="194">
        <f>BU192</f>
        <v>1800</v>
      </c>
      <c r="L192" s="115"/>
      <c r="M192" s="120">
        <f>BZ192</f>
        <v>0</v>
      </c>
      <c r="N192" s="119"/>
      <c r="O192" s="131"/>
      <c r="P192" s="6597"/>
      <c r="Q192" s="131"/>
      <c r="R192" s="131"/>
      <c r="S192" s="120">
        <f>CG192</f>
        <v>0</v>
      </c>
      <c r="T192" s="120">
        <f>CC192</f>
        <v>885</v>
      </c>
      <c r="U192" s="120">
        <f>CD192</f>
        <v>1784.8</v>
      </c>
      <c r="V192" s="119"/>
      <c r="W192" s="197">
        <f>CK192*100</f>
        <v/>
      </c>
      <c r="X192" s="119"/>
      <c r="Y192" s="119"/>
      <c r="Z192" s="119"/>
      <c r="AA192" s="115"/>
      <c r="AB192" s="115"/>
      <c r="AC192" s="689">
        <f>IF(OR(BX$185="Close to Ear",BX$185="Close to Head"),"Head",IF(BX$185="Extremity","Extremity","Body"))</f>
        <v/>
      </c>
      <c r="AD192" s="690">
        <f>CA192</f>
        <v/>
      </c>
      <c r="AE192" s="688">
        <f>CB192</f>
        <v/>
      </c>
      <c r="AF192" s="115"/>
      <c r="AG192" s="808">
        <f>IF(AZ192="","N/A",IF(CQ192="Pass","P","F"))</f>
        <v/>
      </c>
      <c r="AH192" s="129"/>
      <c r="AI192" s="129"/>
      <c r="AJ192" s="129"/>
      <c r="AK192" s="119"/>
      <c r="AL192" s="115"/>
      <c r="AM192" s="119"/>
      <c r="AN192" s="119"/>
      <c r="AO192" s="692"/>
      <c r="AP192" s="692"/>
      <c r="AQ192" s="692"/>
      <c r="AR192" s="692"/>
      <c r="AS192" s="692"/>
      <c r="AT192" s="691">
        <f>CE192</f>
        <v/>
      </c>
      <c r="AU192" s="691">
        <f>CF192</f>
        <v/>
      </c>
      <c r="AV192" s="813"/>
      <c r="AW192" s="813"/>
      <c r="AX192" s="197">
        <f>CZ192</f>
        <v/>
      </c>
      <c r="AY192" s="197">
        <f>DE192</f>
        <v/>
      </c>
      <c r="AZ192" s="3379">
        <f>CO192</f>
        <v/>
      </c>
      <c r="BA192" s="3380"/>
      <c r="BB192" s="197">
        <f>CP192</f>
        <v/>
      </c>
      <c r="BC192" s="813"/>
      <c r="BD192" s="197">
        <f>CR192</f>
        <v/>
      </c>
      <c r="BE192" s="121">
        <f>CS192</f>
        <v/>
      </c>
      <c r="BF192" s="122">
        <f>CT192*60</f>
        <v/>
      </c>
      <c r="BG192" s="121">
        <f>BE192</f>
        <v/>
      </c>
      <c r="BH192" s="122">
        <f>CU192*60</f>
        <v/>
      </c>
      <c r="BI192" s="122">
        <f>CV192</f>
        <v/>
      </c>
      <c r="BJ192" s="117"/>
      <c r="BK192" s="812">
        <f>Overview!$E$7</f>
        <v/>
      </c>
      <c r="BL192" s="117"/>
      <c r="BM192" s="836">
        <f>CW192</f>
        <v/>
      </c>
      <c r="BN192" s="812">
        <f>Overview!$P$153</f>
        <v/>
      </c>
      <c r="BO192" s="117"/>
      <c r="BP192" s="117"/>
      <c r="BQ192" s="115"/>
      <c r="BR192" s="1478" t="inlineStr">
        <is>
          <t>N/A</t>
        </is>
      </c>
      <c r="BS192" s="1548"/>
      <c r="BT192" s="2071" t="inlineStr">
        <is>
          <t>GSM</t>
        </is>
      </c>
      <c r="BU192" s="2071">
        <v>1800</v>
      </c>
      <c r="BV192" s="415">
        <f>Overview!$H$28</f>
        <v/>
      </c>
      <c r="BW192" s="2010"/>
      <c r="BX192" s="2075"/>
      <c r="BY192" s="2072"/>
      <c r="BZ192" s="2072"/>
      <c r="CA192" s="418" t="str">
        <f>IF(COUNT(CF185:CF190)=0,IF(COUNT(CE185:CE190)=0,"TBD",VLOOKUP(MAX(CE185:CE190),CE185:CI190,5,FALSE)),VLOOKUP(MAX(CF185:CF190),CF185:CI190,4,FALSE))</f>
        <v>TBD</v>
      </c>
      <c r="CB192" s="201">
        <v>5</v>
      </c>
      <c r="CC192" s="857">
        <f>'2G-3G'!BX29</f>
        <v>885</v>
      </c>
      <c r="CD192" s="857">
        <f>'2G-3G'!BY29</f>
        <v>1784.8</v>
      </c>
      <c r="CE192" s="1874"/>
      <c r="CF192" s="1874"/>
      <c r="CG192" s="388" t="str">
        <f>IF(OR($BY$167="",$BY$167=""),"",$BY$167)</f>
        <v/>
      </c>
      <c r="CH192" s="388">
        <f>BZ192</f>
        <v/>
      </c>
      <c r="CI192" s="388">
        <f>CA192</f>
        <v/>
      </c>
      <c r="CJ192" s="2046"/>
      <c r="CK192" s="2047"/>
      <c r="CL192" s="212">
        <f>IF(CF192=""," ",IF(ABS(CE192-CF192)&lt;=0.125,"Valid","Not valid"))</f>
        <v/>
      </c>
      <c r="CM192" s="213">
        <f> IF(CE192="","",IF(AND(CE192&lt;&gt;"",CF192=""),IF(CE192&gt;=1,"Medir+Sig Max","No"),IF(CF192&lt;&gt;"",IF(CF192&gt;=1,"Medir+Sig Max","No"),"")))</f>
        <v/>
      </c>
      <c r="CN192" s="1794"/>
      <c r="CO192" s="221">
        <f>IF(CK192="",IF(AND(CE192="",CF192=""),"",IF(CF192="",IF(DE192&gt;1,ROUND(DE192*CE192,3),CE192),IF(DE192&gt;1,ROUND(DE192*CF192,3),CF192))),IF(AND(CE192="",CF192=""),"",IF(CF192="",IF(DE192&gt;1,ROUND(DE192*CE192*(1/(CK192)),3),CE192*(1/(CK192))),IF(DE192&gt;1,ROUND(DE192*CF192*(1/(CK192)),3),CF192*(1/(CK192))))))</f>
        <v/>
      </c>
      <c r="CP192" s="2048">
        <f>$CP$3</f>
        <v/>
      </c>
      <c r="CQ192" s="1473">
        <f>IF(CO192="","",IF(CO192&gt;CP192,"Fail","Pass"))</f>
        <v/>
      </c>
      <c r="CR192" s="1482">
        <f>IF(AND(MAX(CO185:CO192)=CO192,CO192&lt;&gt;0),COUNT($CR$3:CR191)+1,"")</f>
        <v/>
      </c>
      <c r="CS192" s="1566">
        <f>MyTimestamp(CO192)</f>
        <v/>
      </c>
      <c r="CT192" s="1535">
        <f>IF(CE192="",0,15)+IF(CF192="",0,15)</f>
        <v/>
      </c>
      <c r="CU192" s="1536">
        <f>IF(CT192=0,0,2)</f>
        <v/>
      </c>
      <c r="CV192" s="861" t="inlineStr">
        <is>
          <t>S/02</t>
        </is>
      </c>
      <c r="CW192" s="861" t="inlineStr">
        <is>
          <t>Dasy6</t>
        </is>
      </c>
      <c r="CX192" s="2038"/>
      <c r="CY192" s="2050"/>
      <c r="CZ192" s="1545">
        <f>10^(CJ192/20)*100-100</f>
        <v/>
      </c>
      <c r="DA192" s="1327">
        <f>IF('Tune-Up'!$H$21="","",'Tune-Up'!$H$21)</f>
        <v/>
      </c>
      <c r="DB192" s="703">
        <f>'2G-3G'!BZ29</f>
        <v/>
      </c>
      <c r="DC192" s="771">
        <f>IF(DA192="","",10^(DA192/10))</f>
        <v/>
      </c>
      <c r="DD192" s="1371">
        <f>IF(ISNUMBER(DB192)=FALSE,"",10^(DB192/10))</f>
        <v/>
      </c>
      <c r="DE192" s="1545">
        <f>IF(AND(ISNUMBER(DC192),ISNUMBER(DD192)),IF(DC192/DD192&gt;1,ROUND((DC192)/DD192,3),1),1)</f>
        <v/>
      </c>
      <c r="DF192" s="1541"/>
      <c r="DG192" s="1541"/>
      <c r="DH192" s="1541"/>
      <c r="DI192" s="1541"/>
      <c r="DJ192" s="1541"/>
      <c r="DK192" s="1541"/>
      <c r="DL192" s="1541"/>
      <c r="DM192" s="1541"/>
      <c r="DN192" s="1541"/>
      <c r="DO192" s="1541"/>
      <c r="DP192" s="1541"/>
      <c r="DQ192" s="1541"/>
      <c r="DR192" s="1541"/>
    </row>
    <row r="193" ht="12.75" x14ac:dyDescent="0.2">
      <c r="A193" s="1541"/>
      <c r="B193" s="1541"/>
      <c r="C193"/>
      <c r="D193" s="130">
        <f>IF(BX$185="Close to Ear","EN 62209-1","EN 62209-2")</f>
        <v/>
      </c>
      <c r="E193" s="130">
        <f>IF(CG193="Close to Ear","2016","2010/A1:2019")</f>
        <v/>
      </c>
      <c r="F193" s="1488" t="inlineStr">
        <is>
          <t>5.1</t>
        </is>
      </c>
      <c r="G193" s="1497"/>
      <c r="H193" s="120">
        <f>BV193</f>
        <v/>
      </c>
      <c r="I193" s="120">
        <f>BW193</f>
        <v/>
      </c>
      <c r="J193" s="687">
        <f>BT193</f>
        <v/>
      </c>
      <c r="K193" s="194">
        <f>BU193</f>
        <v/>
      </c>
      <c r="L193" s="115"/>
      <c r="M193" s="120">
        <f>BZ193</f>
        <v/>
      </c>
      <c r="N193" s="119"/>
      <c r="O193" s="131"/>
      <c r="P193" s="6597"/>
      <c r="Q193" s="131"/>
      <c r="R193" s="131"/>
      <c r="S193" s="120">
        <f>CG193</f>
        <v/>
      </c>
      <c r="T193" s="120">
        <f>CC193</f>
        <v/>
      </c>
      <c r="U193" s="120">
        <f>CD193</f>
        <v/>
      </c>
      <c r="V193" s="119"/>
      <c r="W193" s="197">
        <f>CK193*100</f>
        <v/>
      </c>
      <c r="X193" s="119"/>
      <c r="Y193" s="119"/>
      <c r="Z193" s="119"/>
      <c r="AA193" s="115"/>
      <c r="AB193" s="115"/>
      <c r="AC193" s="689">
        <f>IF(OR(BX$185="Close to Ear",BX$185="Close to Head"),"Head",IF(BX$185="Extremity","Extremity","Body"))</f>
        <v/>
      </c>
      <c r="AD193" s="690">
        <f>CA193</f>
        <v/>
      </c>
      <c r="AE193" s="688">
        <f>CB193</f>
        <v/>
      </c>
      <c r="AF193" s="115"/>
      <c r="AG193" s="808">
        <f>IF(AZ193="","N/A",IF(CQ193="Pass","P","F"))</f>
        <v/>
      </c>
      <c r="AH193" s="129"/>
      <c r="AI193" s="129"/>
      <c r="AJ193" s="129"/>
      <c r="AK193" s="119"/>
      <c r="AL193" s="115"/>
      <c r="AM193" s="119"/>
      <c r="AN193" s="119"/>
      <c r="AO193" s="692"/>
      <c r="AP193" s="692"/>
      <c r="AQ193" s="692"/>
      <c r="AR193" s="692"/>
      <c r="AS193" s="692"/>
      <c r="AT193" s="691">
        <f>CE193</f>
        <v/>
      </c>
      <c r="AU193" s="691">
        <f>CF193</f>
        <v/>
      </c>
      <c r="AV193" s="813"/>
      <c r="AW193" s="813"/>
      <c r="AX193" s="197">
        <f>CZ193</f>
        <v/>
      </c>
      <c r="AY193" s="197">
        <f>DE193</f>
        <v/>
      </c>
      <c r="AZ193" s="3379">
        <f>CO193</f>
        <v/>
      </c>
      <c r="BA193" s="3380"/>
      <c r="BB193" s="197">
        <f>CP193</f>
        <v/>
      </c>
      <c r="BC193" s="813"/>
      <c r="BD193" s="197">
        <f>CR193</f>
        <v/>
      </c>
      <c r="BE193" s="121">
        <f>CS193</f>
        <v/>
      </c>
      <c r="BF193" s="122">
        <f>CT193*60</f>
        <v/>
      </c>
      <c r="BG193" s="121">
        <f>BE193</f>
        <v/>
      </c>
      <c r="BH193" s="122">
        <f>CU193*60</f>
        <v/>
      </c>
      <c r="BI193" s="122">
        <f>CV193</f>
        <v/>
      </c>
      <c r="BJ193" s="117"/>
      <c r="BK193" s="812">
        <f>Overview!$E$7</f>
        <v/>
      </c>
      <c r="BL193" s="117"/>
      <c r="BM193" s="836">
        <f>CW193</f>
        <v/>
      </c>
      <c r="BN193" s="812">
        <f>Overview!$P$153</f>
        <v/>
      </c>
      <c r="BO193" s="117"/>
      <c r="BP193" s="117"/>
      <c r="BQ193" s="115"/>
      <c r="BR193" s="1478" t="inlineStr">
        <is>
          <t>N/A</t>
        </is>
      </c>
      <c r="BS193" s="1548"/>
      <c r="BT193" s="2071" t="inlineStr">
        <is>
          <t>GSM</t>
        </is>
      </c>
      <c r="BU193" s="2071">
        <v>1800</v>
      </c>
      <c r="BV193" s="415">
        <f>Overview!$H$28</f>
        <v/>
      </c>
      <c r="BW193" s="2010"/>
      <c r="BX193" s="2075"/>
      <c r="BY193" s="2072"/>
      <c r="BZ193" s="2072"/>
      <c r="CA193" s="418" t="str">
        <f>CONCATENATE(CA191," - Battery check 1")</f>
        <v>TBD - Battery check 1</v>
      </c>
      <c r="CB193" s="201">
        <v>5</v>
      </c>
      <c r="CC193" s="857">
        <f>IF(COUNT($CO$185:$CO$192)=0,"N/A",INDEX($CC$185:$CC$192,MATCH(MAX($CO$185:$CO$192),$CO$185:$CO$192,0)))</f>
        <v/>
      </c>
      <c r="CD193" s="857">
        <f>IF(COUNT($CO$185:$CO$192)=0,"N/A",INDEX($CD$185:$CD$192,MATCH(MAX($CO$185:$CO$192),$CO$185:$CO$192,0)))</f>
        <v/>
      </c>
      <c r="CE193" s="1874"/>
      <c r="CF193" s="1874"/>
      <c r="CG193" s="388" t="inlineStr">
        <is>
          <t>N/A</t>
        </is>
      </c>
      <c r="CH193" s="388">
        <f>BZ193</f>
        <v/>
      </c>
      <c r="CI193" s="388">
        <f>CA193</f>
        <v/>
      </c>
      <c r="CJ193" s="2046"/>
      <c r="CK193" s="2047"/>
      <c r="CL193" s="212">
        <f>IF(CF193=""," ",IF(ABS(CE193-CF193)&lt;=0.125,"Valid","Not valid"))</f>
        <v/>
      </c>
      <c r="CM193" s="213">
        <f> IF(CE193="","",IF(AND(CE193&lt;&gt;"",CF193=""),IF(CE193&gt;=1,"Medir+Sig Max","No"),IF(CF193&lt;&gt;"",IF(CF193&gt;=1,"Medir+Sig Max","No"),"")))</f>
        <v/>
      </c>
      <c r="CN193" s="1794"/>
      <c r="CO193" s="221">
        <f>IF(CK193="",IF(AND(CE193="",CF193=""),"",IF(CF193="",IF(DE193&gt;1,ROUND(DE193*CE193,3),CE193),IF(DE193&gt;1,ROUND(DE193*CF193,3),CF193))),IF(AND(CE193="",CF193=""),"",IF(CF193="",IF(DE193&gt;1,ROUND(DE193*CE193*(1/(CK193)),3),CE193*(1/(CK193))),IF(DE193&gt;1,ROUND(DE193*CF193*(1/(CK193)),3),CF193*(1/(CK193))))))</f>
        <v/>
      </c>
      <c r="CP193" s="2048">
        <f>$CP$3</f>
        <v/>
      </c>
      <c r="CQ193" s="1473">
        <f>IF(CO193="","",IF(CO193&gt;CP193,"Fail","Pass"))</f>
        <v/>
      </c>
      <c r="CR193" s="1482">
        <f>IF(CO193&lt;&gt;"",MAX($CR$3:CR192)+1,"")</f>
        <v/>
      </c>
      <c r="CS193" s="1566">
        <f>MyTimestamp(CQ193)</f>
        <v/>
      </c>
      <c r="CT193" s="1535">
        <f>IF(COUNT(CE193:CF193)=1,15,IF(COUNT(CE193:CF193)=0,0,30))</f>
        <v/>
      </c>
      <c r="CU193" s="1536">
        <f>IF(CT193=0,0,2)</f>
        <v/>
      </c>
      <c r="CV193" s="861" t="inlineStr">
        <is>
          <t>S/02</t>
        </is>
      </c>
      <c r="CW193" s="861" t="inlineStr">
        <is>
          <t>Dasy6</t>
        </is>
      </c>
      <c r="CX193" s="2038"/>
      <c r="CY193" s="2050"/>
      <c r="CZ193" s="1545">
        <f>10^(CJ193/20)*100-100</f>
        <v/>
      </c>
      <c r="DA193" s="1327">
        <f>IF('Tune-Up'!$H$21="","",'Tune-Up'!$H$21)</f>
        <v/>
      </c>
      <c r="DB193" s="703">
        <f>IF(COUNT($CO$185:$CO$192)=0,"N/A",IFERROR(INDEX($DB$185:$DB$192,MATCH(MAX($CO$185:$CO$192),$CO$185:$CO$192,0)),"N/A"))</f>
        <v/>
      </c>
      <c r="DC193" s="771">
        <f>IF(DA193="","",10^(DA193/10))</f>
        <v/>
      </c>
      <c r="DD193" s="1371">
        <f>IF(ISNUMBER(DB193)=FALSE,"N/A",10^(DB193/10))</f>
        <v/>
      </c>
      <c r="DE193" s="1545">
        <f>IF(AND(ISNUMBER(DC193),ISNUMBER(DD193)),IF(DC193/DD193&gt;1,ROUND((DC193)/DD193,3),1),1)</f>
        <v/>
      </c>
      <c r="DF193" s="1541"/>
      <c r="DG193" s="1541"/>
      <c r="DH193" s="1541"/>
      <c r="DI193" s="1541"/>
      <c r="DJ193" s="1541"/>
      <c r="DK193" s="1541"/>
      <c r="DL193" s="1541"/>
      <c r="DM193" s="1541"/>
      <c r="DN193" s="1541"/>
      <c r="DO193" s="1541"/>
      <c r="DP193" s="1541"/>
      <c r="DQ193" s="1541"/>
      <c r="DR193" s="1541"/>
    </row>
    <row r="194" ht="12.75" x14ac:dyDescent="0.2">
      <c r="A194" s="1541"/>
      <c r="B194" s="1541"/>
      <c r="C194"/>
      <c r="D194" s="130">
        <f>IF(BX$185="Close to Ear","EN 62209-1","EN 62209-2")</f>
        <v/>
      </c>
      <c r="E194" s="130">
        <f>IF(CG194="Close to Ear","2016","2010/A1:2019")</f>
        <v/>
      </c>
      <c r="F194" s="1488" t="inlineStr">
        <is>
          <t>5.1</t>
        </is>
      </c>
      <c r="G194" s="1497"/>
      <c r="H194" s="120">
        <f>BV194</f>
        <v/>
      </c>
      <c r="I194" s="120">
        <f>BW194</f>
        <v/>
      </c>
      <c r="J194" s="687">
        <f>BT194</f>
        <v/>
      </c>
      <c r="K194" s="194">
        <f>BU194</f>
        <v/>
      </c>
      <c r="L194" s="115"/>
      <c r="M194" s="120">
        <f>BZ194</f>
        <v/>
      </c>
      <c r="N194" s="119"/>
      <c r="O194" s="131"/>
      <c r="P194" s="6597"/>
      <c r="Q194" s="131"/>
      <c r="R194" s="131"/>
      <c r="S194" s="120">
        <f>CG194</f>
        <v/>
      </c>
      <c r="T194" s="120">
        <f>CC194</f>
        <v/>
      </c>
      <c r="U194" s="120">
        <f>CD194</f>
        <v/>
      </c>
      <c r="V194" s="119"/>
      <c r="W194" s="197">
        <f>CK194*100</f>
        <v/>
      </c>
      <c r="X194" s="119"/>
      <c r="Y194" s="119"/>
      <c r="Z194" s="119"/>
      <c r="AA194" s="115"/>
      <c r="AB194" s="115"/>
      <c r="AC194" s="689">
        <f>IF(OR(BX$185="Close to Ear",BX$185="Close to Head"),"Head",IF(BX$185="Extremity","Extremity","Body"))</f>
        <v/>
      </c>
      <c r="AD194" s="690">
        <f>CA194</f>
        <v/>
      </c>
      <c r="AE194" s="688">
        <f>CB194</f>
        <v/>
      </c>
      <c r="AF194" s="115"/>
      <c r="AG194" s="808">
        <f>IF(AZ194="","N/A",IF(CQ194="Pass","P","F"))</f>
        <v/>
      </c>
      <c r="AH194" s="129"/>
      <c r="AI194" s="129"/>
      <c r="AJ194" s="129"/>
      <c r="AK194" s="119"/>
      <c r="AL194" s="115"/>
      <c r="AM194" s="119"/>
      <c r="AN194" s="119"/>
      <c r="AO194" s="692"/>
      <c r="AP194" s="692"/>
      <c r="AQ194" s="692"/>
      <c r="AR194" s="692"/>
      <c r="AS194" s="692"/>
      <c r="AT194" s="691">
        <f>CE194</f>
        <v/>
      </c>
      <c r="AU194" s="691">
        <f>CF194</f>
        <v/>
      </c>
      <c r="AV194" s="813"/>
      <c r="AW194" s="813"/>
      <c r="AX194" s="197">
        <f>CZ194</f>
        <v/>
      </c>
      <c r="AY194" s="197">
        <f>DE194</f>
        <v/>
      </c>
      <c r="AZ194" s="3379">
        <f>CO194</f>
        <v/>
      </c>
      <c r="BA194" s="3380"/>
      <c r="BB194" s="197">
        <f>CP194</f>
        <v/>
      </c>
      <c r="BC194" s="813"/>
      <c r="BD194" s="197">
        <f>CR194</f>
        <v/>
      </c>
      <c r="BE194" s="121">
        <f>CS194</f>
        <v/>
      </c>
      <c r="BF194" s="122">
        <f>CT194*60</f>
        <v/>
      </c>
      <c r="BG194" s="121">
        <f>BE194</f>
        <v/>
      </c>
      <c r="BH194" s="122">
        <f>CU194*60</f>
        <v/>
      </c>
      <c r="BI194" s="122">
        <f>CV194</f>
        <v/>
      </c>
      <c r="BJ194" s="117"/>
      <c r="BK194" s="812">
        <f>Overview!$E$7</f>
        <v/>
      </c>
      <c r="BL194" s="117"/>
      <c r="BM194" s="836">
        <f>CW194</f>
        <v/>
      </c>
      <c r="BN194" s="812">
        <f>Overview!$P$153</f>
        <v/>
      </c>
      <c r="BO194" s="117"/>
      <c r="BP194" s="117"/>
      <c r="BQ194" s="115"/>
      <c r="BR194" s="1478" t="inlineStr">
        <is>
          <t>N/A</t>
        </is>
      </c>
      <c r="BS194" s="1548"/>
      <c r="BT194" s="2071" t="inlineStr">
        <is>
          <t>GSM</t>
        </is>
      </c>
      <c r="BU194" s="2071">
        <v>1800</v>
      </c>
      <c r="BV194" s="415">
        <f>Overview!$H$28</f>
        <v/>
      </c>
      <c r="BW194" s="2010"/>
      <c r="BX194" s="2075"/>
      <c r="BY194" s="2072"/>
      <c r="BZ194" s="2072"/>
      <c r="CA194" s="418" t="str">
        <f>CONCATENATE(CA192," - Battery check 2")</f>
        <v>TBD - Battery check 2</v>
      </c>
      <c r="CB194" s="201">
        <v>5</v>
      </c>
      <c r="CC194" s="857">
        <f>IF(COUNT($CO$185:$CO$192)=0,"N/A",INDEX($CC$185:$CC$192,MATCH(MAX($CO$185:$CO$192),$CO$185:$CO$192,0)))</f>
        <v/>
      </c>
      <c r="CD194" s="857">
        <f>IF(COUNT($CO$185:$CO$192)=0,"N/A",INDEX($CD$185:$CD$192,MATCH(MAX($CO$185:$CO$192),$CO$185:$CO$192,0)))</f>
        <v/>
      </c>
      <c r="CE194" s="1874"/>
      <c r="CF194" s="1874"/>
      <c r="CG194" s="388" t="inlineStr">
        <is>
          <t>N/A</t>
        </is>
      </c>
      <c r="CH194" s="388">
        <f>BZ194</f>
        <v/>
      </c>
      <c r="CI194" s="388">
        <f>CA194</f>
        <v/>
      </c>
      <c r="CJ194" s="2046"/>
      <c r="CK194" s="2047"/>
      <c r="CL194" s="212">
        <f>IF(CF194=""," ",IF(ABS(CE194-CF194)&lt;=0.125,"Valid","Not valid"))</f>
        <v/>
      </c>
      <c r="CM194" s="213">
        <f> IF(CE194="","",IF(AND(CE194&lt;&gt;"",CF194=""),IF(CE194&gt;=1,"Medir+Sig Max","No"),IF(CF194&lt;&gt;"",IF(CF194&gt;=1,"Medir+Sig Max","No"),"")))</f>
        <v/>
      </c>
      <c r="CN194" s="1794"/>
      <c r="CO194" s="221">
        <f>IF(CK194="",IF(AND(CE194="",CF194=""),"",IF(CF194="",IF(DE194&gt;1,ROUND(DE194*CE194,3),CE194),IF(DE194&gt;1,ROUND(DE194*CF194,3),CF194))),IF(AND(CE194="",CF194=""),"",IF(CF194="",IF(DE194&gt;1,ROUND(DE194*CE194*(1/(CK194)),3),CE194*(1/(CK194))),IF(DE194&gt;1,ROUND(DE194*CF194*(1/(CK194)),3),CF194*(1/(CK194))))))</f>
        <v/>
      </c>
      <c r="CP194" s="2048">
        <f>$CP$3</f>
        <v/>
      </c>
      <c r="CQ194" s="1473">
        <f>IF(CO194="","",IF(CO194&gt;CP194,"Fail","Pass"))</f>
        <v/>
      </c>
      <c r="CR194" s="1482">
        <f>IF(CO194&lt;&gt;"",MAX($CR$3:CR193)+1,"")</f>
        <v/>
      </c>
      <c r="CS194" s="1566">
        <f>MyTimestamp(CQ194)</f>
        <v/>
      </c>
      <c r="CT194" s="1535">
        <f>IF(COUNT(CE194:CF194)=1,15,IF(COUNT(CE194:CF194)=0,0,30))</f>
        <v/>
      </c>
      <c r="CU194" s="1536">
        <f>IF(CT194=0,0,2)</f>
        <v/>
      </c>
      <c r="CV194" s="861" t="inlineStr">
        <is>
          <t>S/02</t>
        </is>
      </c>
      <c r="CW194" s="861" t="inlineStr">
        <is>
          <t>Dasy6</t>
        </is>
      </c>
      <c r="CX194" s="2038"/>
      <c r="CY194" s="2050"/>
      <c r="CZ194" s="1545">
        <f>10^(CJ194/20)*100-100</f>
        <v/>
      </c>
      <c r="DA194" s="1327">
        <f>IF('Tune-Up'!$H$21="","",'Tune-Up'!$H$21)</f>
        <v/>
      </c>
      <c r="DB194" s="703">
        <f>IF(COUNT($CO$185:$CO$192)=0,"N/A",IFERROR(INDEX($DB$185:$DB$192,MATCH(MAX($CO$185:$CO$192),$CO$185:$CO$192,0)),"N/A"))</f>
        <v/>
      </c>
      <c r="DC194" s="771">
        <f>IF(DA194="","",10^(DA194/10))</f>
        <v/>
      </c>
      <c r="DD194" s="1371">
        <f>IF(ISNUMBER(DB194)=FALSE,"N/A",10^(DB194/10))</f>
        <v/>
      </c>
      <c r="DE194" s="1545">
        <f>IF(AND(ISNUMBER(DC194),ISNUMBER(DD194)),IF(DC194/DD194&gt;1,ROUND((DC194)/DD194,3),1),1)</f>
        <v/>
      </c>
      <c r="DF194" s="1541"/>
      <c r="DG194" s="1541"/>
      <c r="DH194" s="1541"/>
      <c r="DI194" s="1541"/>
      <c r="DJ194" s="1541"/>
      <c r="DK194" s="1541"/>
      <c r="DL194" s="1541"/>
      <c r="DM194" s="1541"/>
      <c r="DN194" s="1541"/>
      <c r="DO194" s="1541"/>
      <c r="DP194" s="1541"/>
      <c r="DQ194" s="1541"/>
      <c r="DR194" s="1541"/>
    </row>
    <row r="195" ht="12.75" x14ac:dyDescent="0.2">
      <c r="A195" s="1541"/>
      <c r="B195" s="1541"/>
      <c r="C195"/>
      <c r="D195" s="130">
        <f>IF(BX$185="Close to Ear","EN 62209-1","EN 62209-2")</f>
        <v/>
      </c>
      <c r="E195" s="130">
        <f>IF(CG195="Close to Ear","2016","2010/A1:2019")</f>
        <v/>
      </c>
      <c r="F195" s="1488" t="inlineStr">
        <is>
          <t>5.1</t>
        </is>
      </c>
      <c r="G195" s="1497"/>
      <c r="H195" s="120">
        <f>BV195</f>
        <v/>
      </c>
      <c r="I195" s="120">
        <f>BW195</f>
        <v/>
      </c>
      <c r="J195" s="687">
        <f>BT195</f>
        <v/>
      </c>
      <c r="K195" s="194">
        <f>BU195</f>
        <v/>
      </c>
      <c r="L195" s="115"/>
      <c r="M195" s="120">
        <f>BZ195</f>
        <v/>
      </c>
      <c r="N195" s="119"/>
      <c r="O195" s="131"/>
      <c r="P195" s="6597"/>
      <c r="Q195" s="131"/>
      <c r="R195" s="131"/>
      <c r="S195" s="120">
        <f>CG195</f>
        <v/>
      </c>
      <c r="T195" s="120">
        <f>CC195</f>
        <v/>
      </c>
      <c r="U195" s="120">
        <f>CD195</f>
        <v/>
      </c>
      <c r="V195" s="119"/>
      <c r="W195" s="197">
        <f>CK195*100</f>
        <v/>
      </c>
      <c r="X195" s="119"/>
      <c r="Y195" s="119"/>
      <c r="Z195" s="119"/>
      <c r="AA195" s="115"/>
      <c r="AB195" s="115"/>
      <c r="AC195" s="689">
        <f>IF(OR(BX$185="Close to Ear",BX$185="Close to Head"),"Head",IF(BX$185="Extremity","Extremity","Body"))</f>
        <v/>
      </c>
      <c r="AD195" s="690">
        <f>CA195</f>
        <v/>
      </c>
      <c r="AE195" s="688">
        <f>CB195</f>
        <v/>
      </c>
      <c r="AF195" s="115"/>
      <c r="AG195" s="808">
        <f>IF(AZ195="","N/A",IF(CQ195="Pass","P","F"))</f>
        <v/>
      </c>
      <c r="AH195" s="129"/>
      <c r="AI195" s="129"/>
      <c r="AJ195" s="129"/>
      <c r="AK195" s="119"/>
      <c r="AL195" s="115"/>
      <c r="AM195" s="119"/>
      <c r="AN195" s="119"/>
      <c r="AO195" s="692"/>
      <c r="AP195" s="692"/>
      <c r="AQ195" s="692"/>
      <c r="AR195" s="692"/>
      <c r="AS195" s="692"/>
      <c r="AT195" s="691">
        <f>CE195</f>
        <v/>
      </c>
      <c r="AU195" s="691">
        <f>CF195</f>
        <v/>
      </c>
      <c r="AV195" s="813"/>
      <c r="AW195" s="813"/>
      <c r="AX195" s="197">
        <f>CZ195</f>
        <v/>
      </c>
      <c r="AY195" s="197">
        <f>DE195</f>
        <v/>
      </c>
      <c r="AZ195" s="3379">
        <f>CO195</f>
        <v/>
      </c>
      <c r="BA195" s="3380"/>
      <c r="BB195" s="197">
        <f>CP195</f>
        <v/>
      </c>
      <c r="BC195" s="813"/>
      <c r="BD195" s="197">
        <f>CR195</f>
        <v/>
      </c>
      <c r="BE195" s="121">
        <f>CS195</f>
        <v/>
      </c>
      <c r="BF195" s="122">
        <f>CT195*60</f>
        <v/>
      </c>
      <c r="BG195" s="121">
        <f>BE195</f>
        <v/>
      </c>
      <c r="BH195" s="122">
        <f>CU195*60</f>
        <v/>
      </c>
      <c r="BI195" s="122">
        <f>CV195</f>
        <v/>
      </c>
      <c r="BJ195" s="117"/>
      <c r="BK195" s="812">
        <f>Overview!$E$7</f>
        <v/>
      </c>
      <c r="BL195" s="117"/>
      <c r="BM195" s="836">
        <f>CW195</f>
        <v/>
      </c>
      <c r="BN195" s="812">
        <f>Overview!$P$153</f>
        <v/>
      </c>
      <c r="BO195" s="117"/>
      <c r="BP195" s="117"/>
      <c r="BQ195" s="115"/>
      <c r="BR195" s="1478" t="inlineStr">
        <is>
          <t>N/A</t>
        </is>
      </c>
      <c r="BS195" s="1548"/>
      <c r="BT195" s="2071" t="inlineStr">
        <is>
          <t>GSM</t>
        </is>
      </c>
      <c r="BU195" s="2071">
        <v>1800</v>
      </c>
      <c r="BV195" s="415">
        <f>Overview!$H$28</f>
        <v/>
      </c>
      <c r="BW195" s="2010"/>
      <c r="BX195" s="2075"/>
      <c r="BY195" s="2072"/>
      <c r="BZ195" s="2072"/>
      <c r="CA195" s="418" t="inlineStr">
        <is>
          <t>Front Face</t>
        </is>
      </c>
      <c r="CB195" s="201">
        <v>25</v>
      </c>
      <c r="CC195" s="857">
        <f>IF(COUNT($CO$185:$CO$192)=0,"N/A",INDEX($CC$185:$CC$192,MATCH(MAX($CO$185:$CO$192),$CO$185:$CO$192,0)))</f>
        <v/>
      </c>
      <c r="CD195" s="857">
        <f>IF(COUNT($CO$185:$CO$192)=0,"N/A",INDEX($CD$185:$CD$192,MATCH(MAX($CO$185:$CO$192),$CO$185:$CO$192,0)))</f>
        <v/>
      </c>
      <c r="CE195" s="1874"/>
      <c r="CF195" s="1874"/>
      <c r="CG195" s="388" t="inlineStr">
        <is>
          <t>N/A</t>
        </is>
      </c>
      <c r="CH195" s="388">
        <f>BZ195</f>
        <v/>
      </c>
      <c r="CI195" s="388">
        <f>CA195</f>
        <v/>
      </c>
      <c r="CJ195" s="2046"/>
      <c r="CK195" s="2047"/>
      <c r="CL195" s="212">
        <f>IF(CF195=""," ",IF(ABS(CE195-CF195)&lt;=0.125,"Valid","Not valid"))</f>
        <v/>
      </c>
      <c r="CM195" s="213">
        <f> IF(CE195="","",IF(AND(CE195&lt;&gt;"",CF195=""),IF(CE195&gt;=1,"Medir+Sig Max","No"),IF(CF195&lt;&gt;"",IF(CF195&gt;=1,"Medir+Sig Max","No"),"")))</f>
        <v/>
      </c>
      <c r="CN195" s="1794"/>
      <c r="CO195" s="221">
        <f>IF(CK195="",IF(AND(CE195="",CF195=""),"",IF(CF195="",IF(DE195&gt;1,ROUND(DE195*CE195,3),CE195),IF(DE195&gt;1,ROUND(DE195*CF195,3),CF195))),IF(AND(CE195="",CF195=""),"",IF(CF195="",IF(DE195&gt;1,ROUND(DE195*CE195*(1/(CK195)),3),CE195*(1/(CK195))),IF(DE195&gt;1,ROUND(DE195*CF195*(1/(CK195)),3),CF195*(1/(CK195))))))</f>
        <v/>
      </c>
      <c r="CP195" s="2048">
        <f>$CP$3</f>
        <v/>
      </c>
      <c r="CQ195" s="1473">
        <f>IF(CO195="","",IF(CO195&gt;CP195,"Fail","Pass"))</f>
        <v/>
      </c>
      <c r="CR195" s="1482">
        <f>IF(CO195&lt;&gt;"",MAX($CR$3:CR194)+1,"")</f>
        <v/>
      </c>
      <c r="CS195" s="1566">
        <f>MyTimestamp(CQ195)</f>
        <v/>
      </c>
      <c r="CT195" s="1535">
        <f>IF(COUNT(CE195:CF195)=1,15,IF(COUNT(CE195:CF195)=0,0,30))</f>
        <v/>
      </c>
      <c r="CU195" s="1536">
        <f>IF(CT195=0,0,2)</f>
        <v/>
      </c>
      <c r="CV195" s="861" t="inlineStr">
        <is>
          <t>S/02</t>
        </is>
      </c>
      <c r="CW195" s="861" t="inlineStr">
        <is>
          <t>Dasy6</t>
        </is>
      </c>
      <c r="CX195" s="2038"/>
      <c r="CY195" s="2050"/>
      <c r="CZ195" s="1545">
        <f>10^(CJ195/20)*100-100</f>
        <v/>
      </c>
      <c r="DA195" s="1327">
        <f>IF('Tune-Up'!$H$21="","",'Tune-Up'!$H$21)</f>
        <v/>
      </c>
      <c r="DB195" s="703">
        <f>IF(COUNT($CO$185:$CO$192)=0,"N/A",IFERROR(INDEX($DB$185:$DB$192,MATCH(MAX($CO$185:$CO$192),$CO$185:$CO$192,0)),"N/A"))</f>
        <v/>
      </c>
      <c r="DC195" s="771">
        <f>IF(DA195="","",10^(DA195/10))</f>
        <v/>
      </c>
      <c r="DD195" s="1371">
        <f>IF(ISNUMBER(DB195)=FALSE,"N/A",10^(DB195/10))</f>
        <v/>
      </c>
      <c r="DE195" s="1545">
        <f>IF(AND(ISNUMBER(DC195),ISNUMBER(DD195)),IF(DC195/DD195&gt;1,ROUND((DC195)/DD195,3),1),1)</f>
        <v/>
      </c>
      <c r="DF195" s="1541"/>
      <c r="DG195" s="1541"/>
      <c r="DH195" s="1541"/>
      <c r="DI195" s="1541"/>
      <c r="DJ195" s="1541"/>
      <c r="DK195" s="1541"/>
      <c r="DL195" s="1541"/>
      <c r="DM195" s="1541"/>
      <c r="DN195" s="1541"/>
      <c r="DO195" s="1541"/>
      <c r="DP195" s="1541"/>
      <c r="DQ195" s="1541"/>
      <c r="DR195" s="1541"/>
    </row>
    <row r="196" ht="12.75" x14ac:dyDescent="0.2">
      <c r="A196" s="1541"/>
      <c r="B196" s="1541"/>
      <c r="C196"/>
      <c r="D196" s="130">
        <f>IF(BX$185="Close to Ear","EN 62209-1","EN 62209-2")</f>
        <v/>
      </c>
      <c r="E196" s="130">
        <f>IF(CG196="Close to Ear","2016","2010/A1:2019")</f>
        <v/>
      </c>
      <c r="F196" s="1488" t="inlineStr">
        <is>
          <t>5.1</t>
        </is>
      </c>
      <c r="G196" s="1497"/>
      <c r="H196" s="120">
        <f>BV196</f>
        <v/>
      </c>
      <c r="I196" s="120">
        <f>BW196</f>
        <v/>
      </c>
      <c r="J196" s="687">
        <f>BT196</f>
        <v/>
      </c>
      <c r="K196" s="194">
        <f>BU196</f>
        <v/>
      </c>
      <c r="L196" s="115"/>
      <c r="M196" s="120">
        <f>BZ196</f>
        <v/>
      </c>
      <c r="N196" s="119"/>
      <c r="O196" s="131"/>
      <c r="P196" s="6597"/>
      <c r="Q196" s="131"/>
      <c r="R196" s="131"/>
      <c r="S196" s="120">
        <f>CG196</f>
        <v/>
      </c>
      <c r="T196" s="120">
        <f>CC196</f>
        <v/>
      </c>
      <c r="U196" s="120">
        <f>CD196</f>
        <v/>
      </c>
      <c r="V196" s="119"/>
      <c r="W196" s="197">
        <f>CK196*100</f>
        <v/>
      </c>
      <c r="X196" s="119"/>
      <c r="Y196" s="119"/>
      <c r="Z196" s="119"/>
      <c r="AA196" s="115"/>
      <c r="AB196" s="115"/>
      <c r="AC196" s="689">
        <f>IF(OR(BX$185="Close to Ear",BX$185="Close to Head"),"Head",IF(BX$185="Extremity","Extremity","Body"))</f>
        <v/>
      </c>
      <c r="AD196" s="690">
        <f>CA196</f>
        <v/>
      </c>
      <c r="AE196" s="688">
        <f>CB196</f>
        <v/>
      </c>
      <c r="AF196" s="115"/>
      <c r="AG196" s="808">
        <f>IF(AZ196="","N/A",IF(CQ196="Pass","P","F"))</f>
        <v/>
      </c>
      <c r="AH196" s="129"/>
      <c r="AI196" s="129"/>
      <c r="AJ196" s="129"/>
      <c r="AK196" s="119"/>
      <c r="AL196" s="115"/>
      <c r="AM196" s="119"/>
      <c r="AN196" s="119"/>
      <c r="AO196" s="692"/>
      <c r="AP196" s="692"/>
      <c r="AQ196" s="692"/>
      <c r="AR196" s="692"/>
      <c r="AS196" s="692"/>
      <c r="AT196" s="691">
        <f>CE196</f>
        <v/>
      </c>
      <c r="AU196" s="691">
        <f>CF196</f>
        <v/>
      </c>
      <c r="AV196" s="813"/>
      <c r="AW196" s="813"/>
      <c r="AX196" s="197">
        <f>CZ196</f>
        <v/>
      </c>
      <c r="AY196" s="197">
        <f>DE196</f>
        <v/>
      </c>
      <c r="AZ196" s="3379">
        <f>CO196</f>
        <v/>
      </c>
      <c r="BA196" s="3380"/>
      <c r="BB196" s="197">
        <f>CP196</f>
        <v/>
      </c>
      <c r="BC196" s="813"/>
      <c r="BD196" s="197">
        <f>CR196</f>
        <v/>
      </c>
      <c r="BE196" s="121">
        <f>CS196</f>
        <v/>
      </c>
      <c r="BF196" s="122">
        <f>CT196*60</f>
        <v/>
      </c>
      <c r="BG196" s="121">
        <f>BE196</f>
        <v/>
      </c>
      <c r="BH196" s="122">
        <f>CU196*60</f>
        <v/>
      </c>
      <c r="BI196" s="122">
        <f>CV196</f>
        <v/>
      </c>
      <c r="BJ196" s="117"/>
      <c r="BK196" s="812">
        <f>Overview!$E$7</f>
        <v/>
      </c>
      <c r="BL196" s="117"/>
      <c r="BM196" s="836">
        <f>CW196</f>
        <v/>
      </c>
      <c r="BN196" s="812">
        <f>Overview!$P$153</f>
        <v/>
      </c>
      <c r="BO196" s="117"/>
      <c r="BP196" s="117"/>
      <c r="BQ196" s="115"/>
      <c r="BR196" s="1478" t="inlineStr">
        <is>
          <t>N/A</t>
        </is>
      </c>
      <c r="BS196" s="1548"/>
      <c r="BT196" s="2071" t="inlineStr">
        <is>
          <t>GSM</t>
        </is>
      </c>
      <c r="BU196" s="2071">
        <v>1800</v>
      </c>
      <c r="BV196" s="415">
        <f>Overview!$H$28</f>
        <v/>
      </c>
      <c r="BW196" s="2010"/>
      <c r="BX196" s="2075"/>
      <c r="BY196" s="2072"/>
      <c r="BZ196" s="2072"/>
      <c r="CA196" s="418" t="inlineStr">
        <is>
          <t>Accesorio 1: Funda</t>
        </is>
      </c>
      <c r="CB196" s="201">
        <v>0</v>
      </c>
      <c r="CC196" s="857">
        <f>IF(COUNT($CO$185:$CO$192)=0,"N/A",INDEX($CC$185:$CC$192,MATCH(MAX($CO$185:$CO$192),$CO$185:$CO$192,0)))</f>
        <v/>
      </c>
      <c r="CD196" s="857">
        <f>IF(COUNT($CO$185:$CO$192)=0,"N/A",INDEX($CD$185:$CD$192,MATCH(MAX($CO$185:$CO$192),$CO$185:$CO$192,0)))</f>
        <v/>
      </c>
      <c r="CE196" s="1874"/>
      <c r="CF196" s="1874"/>
      <c r="CG196" s="388" t="inlineStr">
        <is>
          <t>N/A</t>
        </is>
      </c>
      <c r="CH196" s="388">
        <f>BZ196</f>
        <v/>
      </c>
      <c r="CI196" s="388">
        <f>CA196</f>
        <v/>
      </c>
      <c r="CJ196" s="2046"/>
      <c r="CK196" s="2047"/>
      <c r="CL196" s="212">
        <f>IF(CF196=""," ",IF(ABS(CE196-CF196)&lt;=0.125,"Valid","Not valid"))</f>
        <v/>
      </c>
      <c r="CM196" s="213">
        <f> IF(CE196="","",IF(AND(CE196&lt;&gt;"",CF196=""),IF(CE196&gt;=1,"Medir+Sig Max","No"),IF(CF196&lt;&gt;"",IF(CF196&gt;=1,"Medir+Sig Max","No"),"")))</f>
        <v/>
      </c>
      <c r="CN196" s="1794"/>
      <c r="CO196" s="221">
        <f>IF(CK196="",IF(AND(CE196="",CF196=""),"",IF(CF196="",IF(DE196&gt;1,ROUND(DE196*CE196,3),CE196),IF(DE196&gt;1,ROUND(DE196*CF196,3),CF196))),IF(AND(CE196="",CF196=""),"",IF(CF196="",IF(DE196&gt;1,ROUND(DE196*CE196*(1/(CK196)),3),CE196*(1/(CK196))),IF(DE196&gt;1,ROUND(DE196*CF196*(1/(CK196)),3),CF196*(1/(CK196))))))</f>
        <v/>
      </c>
      <c r="CP196" s="2048">
        <f>$CP$3</f>
        <v/>
      </c>
      <c r="CQ196" s="1473">
        <f>IF(CO196="","",IF(CO196&gt;CP196,"Fail","Pass"))</f>
        <v/>
      </c>
      <c r="CR196" s="1482">
        <f>IF(CO196&lt;&gt;"",MAX($CR$3:CR195)+1,"")</f>
        <v/>
      </c>
      <c r="CS196" s="1566">
        <f>MyTimestamp(CQ196)</f>
        <v/>
      </c>
      <c r="CT196" s="1535">
        <f>IF(COUNT(CE196:CF196)=1,15,IF(COUNT(CE196:CF196)=0,0,30))</f>
        <v/>
      </c>
      <c r="CU196" s="1536">
        <f>IF(CT196=0,0,2)</f>
        <v/>
      </c>
      <c r="CV196" s="861" t="inlineStr">
        <is>
          <t>S/02</t>
        </is>
      </c>
      <c r="CW196" s="861" t="inlineStr">
        <is>
          <t>Dasy6</t>
        </is>
      </c>
      <c r="CX196" s="2038"/>
      <c r="CY196" s="2050"/>
      <c r="CZ196" s="1545">
        <f>10^(CJ196/20)*100-100</f>
        <v/>
      </c>
      <c r="DA196" s="1327">
        <f>IF('Tune-Up'!$H$21="","",'Tune-Up'!$H$21)</f>
        <v/>
      </c>
      <c r="DB196" s="703">
        <f>IF(COUNT($CO$185:$CO$192)=0,"N/A",IFERROR(INDEX($DB$185:$DB$192,MATCH(MAX($CO$185:$CO$192),$CO$185:$CO$192,0)),"N/A"))</f>
        <v/>
      </c>
      <c r="DC196" s="771">
        <f>IF(DA196="","",10^(DA196/10))</f>
        <v/>
      </c>
      <c r="DD196" s="1371">
        <f>IF(ISNUMBER(DB196)=FALSE,"N/A",10^(DB196/10))</f>
        <v/>
      </c>
      <c r="DE196" s="1545">
        <f>IF(AND(ISNUMBER(DC196),ISNUMBER(DD196)),IF(DC196/DD196&gt;1,ROUND((DC196)/DD196,3),1),1)</f>
        <v/>
      </c>
      <c r="DF196" s="1541"/>
      <c r="DG196" s="1541"/>
      <c r="DH196" s="1541"/>
      <c r="DI196" s="1541"/>
      <c r="DJ196" s="1541"/>
      <c r="DK196" s="1541"/>
      <c r="DL196" s="1541"/>
      <c r="DM196" s="1541"/>
      <c r="DN196" s="1541"/>
      <c r="DO196" s="1541"/>
      <c r="DP196" s="1541"/>
      <c r="DQ196" s="1541"/>
      <c r="DR196" s="1541"/>
    </row>
    <row r="197" ht="12.75" x14ac:dyDescent="0.2">
      <c r="A197" s="1541"/>
      <c r="B197" s="1541"/>
      <c r="C197"/>
      <c r="D197" s="130">
        <f>IF(BX$185="Close to Ear","EN 62209-1","EN 62209-2")</f>
        <v/>
      </c>
      <c r="E197" s="130">
        <f>IF(CG197="Close to Ear","2016","2010/A1:2019")</f>
        <v/>
      </c>
      <c r="F197" s="1488" t="inlineStr">
        <is>
          <t>5.1</t>
        </is>
      </c>
      <c r="G197" s="1497"/>
      <c r="H197" s="120">
        <f>BV197</f>
        <v/>
      </c>
      <c r="I197" s="120">
        <f>BW197</f>
        <v/>
      </c>
      <c r="J197" s="687">
        <f>BT197</f>
        <v/>
      </c>
      <c r="K197" s="194">
        <f>BU197</f>
        <v/>
      </c>
      <c r="L197" s="115"/>
      <c r="M197" s="120">
        <f>BZ197</f>
        <v/>
      </c>
      <c r="N197" s="119"/>
      <c r="O197" s="131"/>
      <c r="P197" s="6597"/>
      <c r="Q197" s="131"/>
      <c r="R197" s="131"/>
      <c r="S197" s="120">
        <f>CG197</f>
        <v/>
      </c>
      <c r="T197" s="120">
        <f>CC197</f>
        <v/>
      </c>
      <c r="U197" s="120">
        <f>CD197</f>
        <v/>
      </c>
      <c r="V197" s="119"/>
      <c r="W197" s="197">
        <f>CK197*100</f>
        <v/>
      </c>
      <c r="X197" s="119"/>
      <c r="Y197" s="119"/>
      <c r="Z197" s="119"/>
      <c r="AA197" s="115"/>
      <c r="AB197" s="115"/>
      <c r="AC197" s="689">
        <f>IF(OR(BX$185="Close to Ear",BX$185="Close to Head"),"Head",IF(BX$185="Extremity","Extremity","Body"))</f>
        <v/>
      </c>
      <c r="AD197" s="690">
        <f>CA197</f>
        <v/>
      </c>
      <c r="AE197" s="688">
        <f>CB197</f>
        <v/>
      </c>
      <c r="AF197" s="115"/>
      <c r="AG197" s="808">
        <f>IF(AZ197="","N/A",IF(CQ197="Pass","P","F"))</f>
        <v/>
      </c>
      <c r="AH197" s="129"/>
      <c r="AI197" s="129"/>
      <c r="AJ197" s="129"/>
      <c r="AK197" s="119"/>
      <c r="AL197" s="115"/>
      <c r="AM197" s="119"/>
      <c r="AN197" s="119"/>
      <c r="AO197" s="692"/>
      <c r="AP197" s="692"/>
      <c r="AQ197" s="692"/>
      <c r="AR197" s="692"/>
      <c r="AS197" s="692"/>
      <c r="AT197" s="691">
        <f>CE197</f>
        <v/>
      </c>
      <c r="AU197" s="691">
        <f>CF197</f>
        <v/>
      </c>
      <c r="AV197" s="813"/>
      <c r="AW197" s="813"/>
      <c r="AX197" s="197">
        <f>CZ197</f>
        <v/>
      </c>
      <c r="AY197" s="197">
        <f>DE197</f>
        <v/>
      </c>
      <c r="AZ197" s="3379">
        <f>CO197</f>
        <v/>
      </c>
      <c r="BA197" s="3380"/>
      <c r="BB197" s="197">
        <f>CP197</f>
        <v/>
      </c>
      <c r="BC197" s="813"/>
      <c r="BD197" s="197">
        <f>CR197</f>
        <v/>
      </c>
      <c r="BE197" s="121">
        <f>CS197</f>
        <v/>
      </c>
      <c r="BF197" s="122">
        <f>CT197*60</f>
        <v/>
      </c>
      <c r="BG197" s="121">
        <f>BE197</f>
        <v/>
      </c>
      <c r="BH197" s="122">
        <f>CU197*60</f>
        <v/>
      </c>
      <c r="BI197" s="122">
        <f>CV197</f>
        <v/>
      </c>
      <c r="BJ197" s="117"/>
      <c r="BK197" s="812">
        <f>Overview!$E$7</f>
        <v/>
      </c>
      <c r="BL197" s="117"/>
      <c r="BM197" s="836">
        <f>CW197</f>
        <v/>
      </c>
      <c r="BN197" s="812">
        <f>Overview!$P$153</f>
        <v/>
      </c>
      <c r="BO197" s="117"/>
      <c r="BP197" s="117"/>
      <c r="BQ197" s="115"/>
      <c r="BR197" s="1478" t="inlineStr">
        <is>
          <t>N/A</t>
        </is>
      </c>
      <c r="BS197" s="1548"/>
      <c r="BT197" s="2071" t="inlineStr">
        <is>
          <t>GSM</t>
        </is>
      </c>
      <c r="BU197" s="2071">
        <v>1800</v>
      </c>
      <c r="BV197" s="415">
        <f>Overview!$H$28</f>
        <v/>
      </c>
      <c r="BW197" s="2010"/>
      <c r="BX197" s="2075"/>
      <c r="BY197" s="2072"/>
      <c r="BZ197" s="2072"/>
      <c r="CA197" s="418" t="inlineStr">
        <is>
          <t>Accesorio 2: Clip</t>
        </is>
      </c>
      <c r="CB197" s="201">
        <v>0</v>
      </c>
      <c r="CC197" s="857">
        <f>IF(COUNT($CO$185:$CO$192)=0,"N/A",INDEX($CC$185:$CC$192,MATCH(MAX($CO$185:$CO$192),$CO$185:$CO$192,0)))</f>
        <v/>
      </c>
      <c r="CD197" s="857">
        <f>IF(COUNT($CO$185:$CO$192)=0,"N/A",INDEX($CD$185:$CD$192,MATCH(MAX($CO$185:$CO$192),$CO$185:$CO$192,0)))</f>
        <v/>
      </c>
      <c r="CE197" s="1874"/>
      <c r="CF197" s="1874"/>
      <c r="CG197" s="388" t="inlineStr">
        <is>
          <t>N/A</t>
        </is>
      </c>
      <c r="CH197" s="388">
        <f>BZ197</f>
        <v/>
      </c>
      <c r="CI197" s="388">
        <f>CA197</f>
        <v/>
      </c>
      <c r="CJ197" s="2046"/>
      <c r="CK197" s="2047"/>
      <c r="CL197" s="212">
        <f>IF(CF197=""," ",IF(ABS(CE197-CF197)&lt;=0.125,"Valid","Not valid"))</f>
        <v/>
      </c>
      <c r="CM197" s="213">
        <f> IF(CE197="","",IF(AND(CE197&lt;&gt;"",CF197=""),IF(CE197&gt;=1,"Medir+Sig Max","No"),IF(CF197&lt;&gt;"",IF(CF197&gt;=1,"Medir+Sig Max","No"),"")))</f>
        <v/>
      </c>
      <c r="CN197" s="1794"/>
      <c r="CO197" s="221">
        <f>IF(CK197="",IF(AND(CE197="",CF197=""),"",IF(CF197="",IF(DE197&gt;1,ROUND(DE197*CE197,3),CE197),IF(DE197&gt;1,ROUND(DE197*CF197,3),CF197))),IF(AND(CE197="",CF197=""),"",IF(CF197="",IF(DE197&gt;1,ROUND(DE197*CE197*(1/(CK197)),3),CE197*(1/(CK197))),IF(DE197&gt;1,ROUND(DE197*CF197*(1/(CK197)),3),CF197*(1/(CK197))))))</f>
        <v/>
      </c>
      <c r="CP197" s="2048">
        <f>$CP$3</f>
        <v/>
      </c>
      <c r="CQ197" s="1473">
        <f>IF(CO197="","",IF(CO197&gt;CP197,"Fail","Pass"))</f>
        <v/>
      </c>
      <c r="CR197" s="1482">
        <f>IF(CO197&lt;&gt;"",MAX($CR$3:CR196)+1,"")</f>
        <v/>
      </c>
      <c r="CS197" s="1566">
        <f>MyTimestamp(CQ197)</f>
        <v/>
      </c>
      <c r="CT197" s="1535">
        <f>IF(COUNT(CE197:CF197)=1,15,IF(COUNT(CE197:CF197)=0,0,30))</f>
        <v/>
      </c>
      <c r="CU197" s="1536">
        <f>IF(CT197=0,0,2)</f>
        <v/>
      </c>
      <c r="CV197" s="861" t="inlineStr">
        <is>
          <t>S/02</t>
        </is>
      </c>
      <c r="CW197" s="861" t="inlineStr">
        <is>
          <t>Dasy6</t>
        </is>
      </c>
      <c r="CX197" s="2038"/>
      <c r="CY197" s="2050"/>
      <c r="CZ197" s="1545">
        <f>10^(CJ197/20)*100-100</f>
        <v/>
      </c>
      <c r="DA197" s="1327">
        <f>IF('Tune-Up'!$H$21="","",'Tune-Up'!$H$21)</f>
        <v/>
      </c>
      <c r="DB197" s="703">
        <f>IF(COUNT($CO$185:$CO$192)=0,"N/A",IFERROR(INDEX($DB$185:$DB$192,MATCH(MAX($CO$185:$CO$192),$CO$185:$CO$192,0)),"N/A"))</f>
        <v/>
      </c>
      <c r="DC197" s="771">
        <f>IF(DA197="","",10^(DA197/10))</f>
        <v/>
      </c>
      <c r="DD197" s="1371">
        <f>IF(ISNUMBER(DB197)=FALSE,"N/A",10^(DB197/10))</f>
        <v/>
      </c>
      <c r="DE197" s="1545">
        <f>IF(AND(ISNUMBER(DC197),ISNUMBER(DD197)),IF(DC197/DD197&gt;1,ROUND((DC197)/DD197,3),1),1)</f>
        <v/>
      </c>
      <c r="DF197" s="1541"/>
      <c r="DG197" s="1541"/>
      <c r="DH197" s="1541"/>
      <c r="DI197" s="1541"/>
      <c r="DJ197" s="1541"/>
      <c r="DK197" s="1541"/>
      <c r="DL197" s="1541"/>
      <c r="DM197" s="1541"/>
      <c r="DN197" s="1541"/>
      <c r="DO197" s="1541"/>
      <c r="DP197" s="1541"/>
      <c r="DQ197" s="1541"/>
      <c r="DR197" s="1541"/>
    </row>
    <row r="198" ht="12.75" x14ac:dyDescent="0.2">
      <c r="A198" s="1541"/>
      <c r="B198" s="1541"/>
      <c r="C198"/>
      <c r="D198" s="130">
        <f>IF(BX$198="Close to Ear","EN 62209-1","EN 62209-2")</f>
        <v/>
      </c>
      <c r="E198" s="130">
        <f>IF(CG198="Close to Ear","2016","2010/A1:2019")</f>
        <v/>
      </c>
      <c r="F198" s="1488" t="inlineStr">
        <is>
          <t>5.1</t>
        </is>
      </c>
      <c r="G198" s="1497"/>
      <c r="H198" s="120">
        <f>BV198</f>
        <v/>
      </c>
      <c r="I198" s="120">
        <f>BW198</f>
        <v/>
      </c>
      <c r="J198" s="687" t="str">
        <f>BT198</f>
        <v>GSM</v>
      </c>
      <c r="K198" s="194">
        <f>BU198</f>
        <v>1800</v>
      </c>
      <c r="L198" s="115"/>
      <c r="M198" s="120">
        <f>BZ198</f>
        <v>0</v>
      </c>
      <c r="N198" s="119"/>
      <c r="O198" s="131"/>
      <c r="P198" s="6597"/>
      <c r="Q198" s="131"/>
      <c r="R198" s="131"/>
      <c r="S198" s="120">
        <f>CG198</f>
        <v>0</v>
      </c>
      <c r="T198" s="120">
        <f>CC198</f>
        <v>698</v>
      </c>
      <c r="U198" s="120">
        <f>CD198</f>
        <v>1747.4</v>
      </c>
      <c r="V198" s="119"/>
      <c r="W198" s="197">
        <f>CK198*100</f>
        <v/>
      </c>
      <c r="X198" s="119"/>
      <c r="Y198" s="119"/>
      <c r="Z198" s="119"/>
      <c r="AA198" s="115"/>
      <c r="AB198" s="115"/>
      <c r="AC198" s="689">
        <f>IF(OR(BX$198="Close to Ear",BX$198="Close to Head"),"Head",IF(BX$198="Extremity","Extremity","Body"))</f>
        <v/>
      </c>
      <c r="AD198" s="690">
        <f>CA198</f>
        <v/>
      </c>
      <c r="AE198" s="688">
        <f>CB198</f>
        <v/>
      </c>
      <c r="AF198" s="115"/>
      <c r="AG198" s="808">
        <f>IF(AZ198="","N/A",IF(CQ198="Pass","P","F"))</f>
        <v/>
      </c>
      <c r="AH198" s="129"/>
      <c r="AI198" s="129"/>
      <c r="AJ198" s="129"/>
      <c r="AK198" s="119"/>
      <c r="AL198" s="115"/>
      <c r="AM198" s="119"/>
      <c r="AN198" s="119"/>
      <c r="AO198" s="692"/>
      <c r="AP198" s="692"/>
      <c r="AQ198" s="692"/>
      <c r="AR198" s="692"/>
      <c r="AS198" s="692"/>
      <c r="AT198" s="691">
        <f>CE198</f>
        <v/>
      </c>
      <c r="AU198" s="691">
        <f>CF198</f>
        <v/>
      </c>
      <c r="AV198" s="813"/>
      <c r="AW198" s="813"/>
      <c r="AX198" s="197">
        <f>CZ198</f>
        <v/>
      </c>
      <c r="AY198" s="197">
        <f>DE198</f>
        <v/>
      </c>
      <c r="AZ198" s="3379">
        <f>CO198</f>
        <v/>
      </c>
      <c r="BA198" s="3380"/>
      <c r="BB198" s="197">
        <f>CP198</f>
        <v/>
      </c>
      <c r="BC198" s="813"/>
      <c r="BD198" s="197">
        <f>CR198</f>
        <v/>
      </c>
      <c r="BE198" s="121">
        <f>CS198</f>
        <v/>
      </c>
      <c r="BF198" s="122">
        <f>CT198*60</f>
        <v/>
      </c>
      <c r="BG198" s="121">
        <f>BE198</f>
        <v/>
      </c>
      <c r="BH198" s="122">
        <f>CU198*60</f>
        <v/>
      </c>
      <c r="BI198" s="122">
        <f>CV198</f>
        <v/>
      </c>
      <c r="BJ198" s="117"/>
      <c r="BK198" s="812">
        <f>Overview!$E$7</f>
        <v/>
      </c>
      <c r="BL198" s="117"/>
      <c r="BM198" s="836">
        <f>CW198</f>
        <v/>
      </c>
      <c r="BN198" s="812">
        <f>Overview!$P$153</f>
        <v/>
      </c>
      <c r="BO198" s="117"/>
      <c r="BP198" s="117"/>
      <c r="BQ198" s="115"/>
      <c r="BR198" s="1478" t="inlineStr">
        <is>
          <t>N/A</t>
        </is>
      </c>
      <c r="BS198" s="1548"/>
      <c r="BT198" s="2071" t="inlineStr">
        <is>
          <t>GSM</t>
        </is>
      </c>
      <c r="BU198" s="2071">
        <v>1800</v>
      </c>
      <c r="BV198" s="415">
        <f>Overview!$H$28</f>
        <v/>
      </c>
      <c r="BW198" s="2010"/>
      <c r="BX198" s="7675" t="inlineStr">
        <is>
          <t>Extremity</t>
        </is>
      </c>
      <c r="BY198" s="2072"/>
      <c r="BZ198" s="2072"/>
      <c r="CA198" s="1996" t="inlineStr">
        <is>
          <t>Front Face</t>
        </is>
      </c>
      <c r="CB198" s="200">
        <v>5</v>
      </c>
      <c r="CC198" s="856">
        <f>'2G-3G'!BX27</f>
        <v>698</v>
      </c>
      <c r="CD198" s="856">
        <f>'2G-3G'!BY27</f>
        <v>1747.4</v>
      </c>
      <c r="CE198" s="2051"/>
      <c r="CF198" s="2051"/>
      <c r="CG198" s="389" t="str">
        <f>IF(OR($BY$167="",$BY$167=""),"",$BY$167)</f>
        <v/>
      </c>
      <c r="CH198" s="389">
        <f>BZ198</f>
        <v/>
      </c>
      <c r="CI198" s="389">
        <f>CA198</f>
        <v/>
      </c>
      <c r="CJ198" s="2052"/>
      <c r="CK198" s="2070"/>
      <c r="CL198" s="203">
        <f>IF(CF198=""," ",IF(ABS(CE198-CF198)&lt;=0.25,"Valid","Not valid"))</f>
        <v/>
      </c>
      <c r="CM198" s="204">
        <f> IF(CE198="","",IF(AND(CE198&lt;&gt;"",CF198=""),IF(CE198&gt;=2,"Medir+Sig Max","No"),IF(CF198&lt;&gt;"",IF(CF198&gt;=2,"Medir+Sig Max","No"),"")))</f>
        <v/>
      </c>
      <c r="CN198" s="1798"/>
      <c r="CO198" s="222">
        <f>IF(CK198="",IF(AND(CE198="",CF198=""),"",IF(CF198="",IF(DE198&gt;1,ROUND(DE198*CE198,3),CE198),IF(DE198&gt;1,ROUND(DE198*CF198,3),CF198))),IF(AND(CE198="",CF198=""),"",IF(CF198="",IF(DE198&gt;1,ROUND(DE198*CE198*(1/(CK198)),3),CE198*(1/(CK198))),IF(DE198&gt;1,ROUND(DE198*CF198*(1/(CK198)),3),CF198*(1/(CK198))))))</f>
        <v/>
      </c>
      <c r="CP198" s="2053">
        <f>$CP$34</f>
        <v/>
      </c>
      <c r="CQ198" s="1474">
        <f>IF(CO198="","",IF(CO198&gt;CP198,"Fail","Pass"))</f>
        <v/>
      </c>
      <c r="CR198" s="1480">
        <f>IF(AND(MAX(CO198:CO205)=CO198,CO198&lt;&gt;0),COUNT($CR$3:CR192)+1,"")</f>
        <v/>
      </c>
      <c r="CS198" s="2054">
        <f>MyTimestamp(CO198)</f>
        <v/>
      </c>
      <c r="CT198" s="1537">
        <f>IF(CE198="",0,15)+IF(CF198="",0,15)</f>
        <v/>
      </c>
      <c r="CU198" s="1538">
        <f>IF(CT198=0,0,2)</f>
        <v/>
      </c>
      <c r="CV198" s="2055" t="inlineStr">
        <is>
          <t>S/02</t>
        </is>
      </c>
      <c r="CW198" s="2055" t="inlineStr">
        <is>
          <t>Dasy6</t>
        </is>
      </c>
      <c r="CX198" s="2038"/>
      <c r="CY198" s="2056"/>
      <c r="CZ198" s="1546">
        <f>10^(CJ198/20)*100-100</f>
        <v/>
      </c>
      <c r="DA198" s="1324">
        <f>IF('Tune-Up'!$H$21="","",'Tune-Up'!$H$21)</f>
        <v/>
      </c>
      <c r="DB198" s="700">
        <f>'2G-3G'!BZ27</f>
        <v/>
      </c>
      <c r="DC198" s="768">
        <f>IF(DA198="","",10^(DA198/10))</f>
        <v/>
      </c>
      <c r="DD198" s="1368">
        <f>IF(ISNUMBER(DB198)=FALSE,"",10^(DB198/10))</f>
        <v/>
      </c>
      <c r="DE198" s="1546">
        <f>IF(AND(ISNUMBER(DC198),ISNUMBER(DD198)),IF(DC198/DD198&gt;1,ROUND((DC198)/DD198,3),1),1)</f>
        <v/>
      </c>
      <c r="DF198" s="1541"/>
      <c r="DG198" s="1541"/>
      <c r="DH198" s="1541"/>
      <c r="DI198" s="1541"/>
      <c r="DJ198" s="1541"/>
      <c r="DK198" s="1541"/>
      <c r="DL198" s="1541"/>
      <c r="DM198" s="1541"/>
      <c r="DN198" s="1541"/>
      <c r="DO198" s="1541"/>
      <c r="DP198" s="1541"/>
      <c r="DQ198" s="1541"/>
      <c r="DR198" s="1541"/>
    </row>
    <row r="199" ht="12.75" x14ac:dyDescent="0.2">
      <c r="A199" s="1541"/>
      <c r="B199" s="1541"/>
      <c r="C199"/>
      <c r="D199" s="130">
        <f>IF(BX$198="Close to Ear","EN 62209-1","EN 62209-2")</f>
        <v/>
      </c>
      <c r="E199" s="130">
        <f>IF(CG199="Close to Ear","2016","2010/A1:2019")</f>
        <v/>
      </c>
      <c r="F199" s="1488" t="inlineStr">
        <is>
          <t>5.1</t>
        </is>
      </c>
      <c r="G199" s="1497"/>
      <c r="H199" s="120">
        <f>BV199</f>
        <v/>
      </c>
      <c r="I199" s="120">
        <f>BW199</f>
        <v/>
      </c>
      <c r="J199" s="687" t="str">
        <f>BT199</f>
        <v>GSM</v>
      </c>
      <c r="K199" s="194">
        <f>BU199</f>
        <v>1800</v>
      </c>
      <c r="L199" s="115"/>
      <c r="M199" s="120">
        <f>BZ199</f>
        <v>0</v>
      </c>
      <c r="N199" s="119"/>
      <c r="O199" s="131"/>
      <c r="P199" s="6597"/>
      <c r="Q199" s="131"/>
      <c r="R199" s="131"/>
      <c r="S199" s="120">
        <f>CG199</f>
        <v>0</v>
      </c>
      <c r="T199" s="120">
        <f>CC199</f>
        <v>698</v>
      </c>
      <c r="U199" s="120">
        <f>CD199</f>
        <v>1747.4</v>
      </c>
      <c r="V199" s="119"/>
      <c r="W199" s="197">
        <f>CK199*100</f>
        <v/>
      </c>
      <c r="X199" s="119"/>
      <c r="Y199" s="119"/>
      <c r="Z199" s="119"/>
      <c r="AA199" s="115"/>
      <c r="AB199" s="115"/>
      <c r="AC199" s="689">
        <f>IF(OR(BX$198="Close to Ear",BX$198="Close to Head"),"Head",IF(BX$198="Extremity","Extremity","Body"))</f>
        <v/>
      </c>
      <c r="AD199" s="690">
        <f>CA199</f>
        <v/>
      </c>
      <c r="AE199" s="688">
        <f>CB199</f>
        <v/>
      </c>
      <c r="AF199" s="115"/>
      <c r="AG199" s="808">
        <f>IF(AZ199="","N/A",IF(CQ199="Pass","P","F"))</f>
        <v/>
      </c>
      <c r="AH199" s="129"/>
      <c r="AI199" s="129"/>
      <c r="AJ199" s="129"/>
      <c r="AK199" s="119"/>
      <c r="AL199" s="115"/>
      <c r="AM199" s="119"/>
      <c r="AN199" s="119"/>
      <c r="AO199" s="692"/>
      <c r="AP199" s="692"/>
      <c r="AQ199" s="692"/>
      <c r="AR199" s="692"/>
      <c r="AS199" s="692"/>
      <c r="AT199" s="691">
        <f>CE199</f>
        <v/>
      </c>
      <c r="AU199" s="691">
        <f>CF199</f>
        <v/>
      </c>
      <c r="AV199" s="813"/>
      <c r="AW199" s="813"/>
      <c r="AX199" s="197">
        <f>CZ199</f>
        <v/>
      </c>
      <c r="AY199" s="197">
        <f>DE199</f>
        <v/>
      </c>
      <c r="AZ199" s="3379">
        <f>CO199</f>
        <v/>
      </c>
      <c r="BA199" s="3380"/>
      <c r="BB199" s="197">
        <f>CP199</f>
        <v/>
      </c>
      <c r="BC199" s="813"/>
      <c r="BD199" s="197">
        <f>CR199</f>
        <v/>
      </c>
      <c r="BE199" s="121">
        <f>CS199</f>
        <v/>
      </c>
      <c r="BF199" s="122">
        <f>CT199*60</f>
        <v/>
      </c>
      <c r="BG199" s="121">
        <f>BE199</f>
        <v/>
      </c>
      <c r="BH199" s="122">
        <f>CU199*60</f>
        <v/>
      </c>
      <c r="BI199" s="122">
        <f>CV199</f>
        <v/>
      </c>
      <c r="BJ199" s="117"/>
      <c r="BK199" s="812">
        <f>Overview!$E$7</f>
        <v/>
      </c>
      <c r="BL199" s="117"/>
      <c r="BM199" s="836">
        <f>CW199</f>
        <v/>
      </c>
      <c r="BN199" s="812">
        <f>Overview!$P$153</f>
        <v/>
      </c>
      <c r="BO199" s="117"/>
      <c r="BP199" s="117"/>
      <c r="BQ199" s="115"/>
      <c r="BR199" s="1478" t="inlineStr">
        <is>
          <t>N/A</t>
        </is>
      </c>
      <c r="BS199" s="1548"/>
      <c r="BT199" s="2071" t="inlineStr">
        <is>
          <t>GSM</t>
        </is>
      </c>
      <c r="BU199" s="2071">
        <v>1800</v>
      </c>
      <c r="BV199" s="415">
        <f>Overview!$H$28</f>
        <v/>
      </c>
      <c r="BW199" s="2010"/>
      <c r="BX199" s="2071"/>
      <c r="BY199" s="2072"/>
      <c r="BZ199" s="2072"/>
      <c r="CA199" s="1997" t="inlineStr">
        <is>
          <t>Back Face</t>
        </is>
      </c>
      <c r="CB199" s="200">
        <v>5</v>
      </c>
      <c r="CC199" s="902">
        <f>'2G-3G'!BX27</f>
        <v>698</v>
      </c>
      <c r="CD199" s="902">
        <f>'2G-3G'!BY27</f>
        <v>1747.4</v>
      </c>
      <c r="CE199" s="1523"/>
      <c r="CF199" s="1523"/>
      <c r="CG199" s="387" t="str">
        <f>IF(OR($BY$167="",$BY$167=""),"",$BY$167)</f>
        <v/>
      </c>
      <c r="CH199" s="387">
        <f>BZ199</f>
        <v/>
      </c>
      <c r="CI199" s="387">
        <f>CA199</f>
        <v/>
      </c>
      <c r="CJ199" s="1527"/>
      <c r="CK199" s="2042"/>
      <c r="CL199" s="206">
        <f>IF(CF199=""," ",IF(ABS(CE199-CF199)&lt;=0.25,"Valid","Not valid"))</f>
        <v/>
      </c>
      <c r="CM199" s="207">
        <f> IF(CE199="","",IF(AND(CE199&lt;&gt;"",CF199=""),IF(CE199&gt;=2,"Medir+Sig Max","No"),IF(CF199&lt;&gt;"",IF(CF199&gt;=2,"Medir+Sig Max","No"),"")))</f>
        <v/>
      </c>
      <c r="CN199" s="1787"/>
      <c r="CO199" s="220">
        <f>IF(CK199="",IF(AND(CE199="",CF199=""),"",IF(CF199="",IF(DE199&gt;1,ROUND(DE199*CE199,3),CE199),IF(DE199&gt;1,ROUND(DE199*CF199,3),CF199))),IF(AND(CE199="",CF199=""),"",IF(CF199="",IF(DE199&gt;1,ROUND(DE199*CE199*(1/(CK199)),3),CE199*(1/(CK199))),IF(DE199&gt;1,ROUND(DE199*CF199*(1/(CK199)),3),CF199*(1/(CK199))))))</f>
        <v/>
      </c>
      <c r="CP199" s="2043">
        <f>$CP$34</f>
        <v/>
      </c>
      <c r="CQ199" s="1472">
        <f>IF(CO199="","",IF(CO199&gt;CP199,"Fail","Pass"))</f>
        <v/>
      </c>
      <c r="CR199" s="1481">
        <f>IF(AND(MAX(CO198:CO205)=CO199,CO199&lt;&gt;0),COUNT($CR$3:CR198)+1,"")</f>
        <v/>
      </c>
      <c r="CS199" s="1565">
        <f>MyTimestamp(CO199)</f>
        <v/>
      </c>
      <c r="CT199" s="1531">
        <f>IF(CE199="",0,15)+IF(CF199="",0,15)</f>
        <v/>
      </c>
      <c r="CU199" s="1532">
        <f>IF(CT199=0,0,2)</f>
        <v/>
      </c>
      <c r="CV199" s="859" t="inlineStr">
        <is>
          <t>S/02</t>
        </is>
      </c>
      <c r="CW199" s="859" t="inlineStr">
        <is>
          <t>Dasy6</t>
        </is>
      </c>
      <c r="CX199" s="2038"/>
      <c r="CY199" s="2044"/>
      <c r="CZ199" s="1543">
        <f>10^(CJ199/20)*100-100</f>
        <v/>
      </c>
      <c r="DA199" s="1325">
        <f>IF('Tune-Up'!$H$21="","",'Tune-Up'!$H$21)</f>
        <v/>
      </c>
      <c r="DB199" s="701">
        <f>'2G-3G'!BZ27</f>
        <v/>
      </c>
      <c r="DC199" s="769">
        <f>IF(DA199="","",10^(DA199/10))</f>
        <v/>
      </c>
      <c r="DD199" s="1369">
        <f>IF(ISNUMBER(DB199)=FALSE,"",10^(DB199/10))</f>
        <v/>
      </c>
      <c r="DE199" s="1543">
        <f>IF(AND(ISNUMBER(DC199),ISNUMBER(DD199)),IF(DC199/DD199&gt;1,ROUND((DC199)/DD199,3),1),1)</f>
        <v/>
      </c>
      <c r="DF199" s="1541"/>
      <c r="DG199" s="1541"/>
      <c r="DH199" s="1541"/>
      <c r="DI199" s="1541"/>
      <c r="DJ199" s="1541"/>
      <c r="DK199" s="1541"/>
      <c r="DL199" s="1541"/>
      <c r="DM199" s="1541"/>
      <c r="DN199" s="1541"/>
      <c r="DO199" s="1541"/>
      <c r="DP199" s="1541"/>
      <c r="DQ199" s="1541"/>
      <c r="DR199" s="1541"/>
    </row>
    <row r="200" ht="12.75" x14ac:dyDescent="0.2">
      <c r="A200" s="1541"/>
      <c r="B200" s="1541"/>
      <c r="C200"/>
      <c r="D200" s="130">
        <f>IF(BX$198="Close to Ear","EN 62209-1","EN 62209-2")</f>
        <v/>
      </c>
      <c r="E200" s="130">
        <f>IF(CG200="Close to Ear","2016","2010/A1:2019")</f>
        <v/>
      </c>
      <c r="F200" s="1488" t="inlineStr">
        <is>
          <t>5.1</t>
        </is>
      </c>
      <c r="G200" s="1497"/>
      <c r="H200" s="120">
        <f>BV200</f>
        <v/>
      </c>
      <c r="I200" s="120">
        <f>BW200</f>
        <v/>
      </c>
      <c r="J200" s="687" t="str">
        <f>BT200</f>
        <v>GSM</v>
      </c>
      <c r="K200" s="194">
        <f>BU200</f>
        <v>1800</v>
      </c>
      <c r="L200" s="115"/>
      <c r="M200" s="120">
        <f>BZ200</f>
        <v>0</v>
      </c>
      <c r="N200" s="119"/>
      <c r="O200" s="131"/>
      <c r="P200" s="6597"/>
      <c r="Q200" s="131"/>
      <c r="R200" s="131"/>
      <c r="S200" s="120">
        <f>CG200</f>
        <v>0</v>
      </c>
      <c r="T200" s="120">
        <f>CC200</f>
        <v>698</v>
      </c>
      <c r="U200" s="120">
        <f>CD200</f>
        <v>1747.4</v>
      </c>
      <c r="V200" s="119"/>
      <c r="W200" s="197">
        <f>CK200*100</f>
        <v/>
      </c>
      <c r="X200" s="119"/>
      <c r="Y200" s="119"/>
      <c r="Z200" s="119"/>
      <c r="AA200" s="115"/>
      <c r="AB200" s="115"/>
      <c r="AC200" s="689">
        <f>IF(OR(BX$198="Close to Ear",BX$198="Close to Head"),"Head",IF(BX$198="Extremity","Extremity","Body"))</f>
        <v/>
      </c>
      <c r="AD200" s="690">
        <f>CA200</f>
        <v/>
      </c>
      <c r="AE200" s="688">
        <f>CB200</f>
        <v/>
      </c>
      <c r="AF200" s="115"/>
      <c r="AG200" s="808">
        <f>IF(AZ200="","N/A",IF(CQ200="Pass","P","F"))</f>
        <v/>
      </c>
      <c r="AH200" s="129"/>
      <c r="AI200" s="129"/>
      <c r="AJ200" s="129"/>
      <c r="AK200" s="119"/>
      <c r="AL200" s="115"/>
      <c r="AM200" s="119"/>
      <c r="AN200" s="119"/>
      <c r="AO200" s="692"/>
      <c r="AP200" s="692"/>
      <c r="AQ200" s="692"/>
      <c r="AR200" s="692"/>
      <c r="AS200" s="692"/>
      <c r="AT200" s="691">
        <f>CE200</f>
        <v/>
      </c>
      <c r="AU200" s="691">
        <f>CF200</f>
        <v/>
      </c>
      <c r="AV200" s="813"/>
      <c r="AW200" s="813"/>
      <c r="AX200" s="197">
        <f>CZ200</f>
        <v/>
      </c>
      <c r="AY200" s="197">
        <f>DE200</f>
        <v/>
      </c>
      <c r="AZ200" s="3379">
        <f>CO200</f>
        <v/>
      </c>
      <c r="BA200" s="3380"/>
      <c r="BB200" s="197">
        <f>CP200</f>
        <v/>
      </c>
      <c r="BC200" s="813"/>
      <c r="BD200" s="197">
        <f>CR200</f>
        <v/>
      </c>
      <c r="BE200" s="121">
        <f>CS200</f>
        <v/>
      </c>
      <c r="BF200" s="122">
        <f>CT200*60</f>
        <v/>
      </c>
      <c r="BG200" s="121">
        <f>BE200</f>
        <v/>
      </c>
      <c r="BH200" s="122">
        <f>CU200*60</f>
        <v/>
      </c>
      <c r="BI200" s="122">
        <f>CV200</f>
        <v/>
      </c>
      <c r="BJ200" s="117"/>
      <c r="BK200" s="812">
        <f>Overview!$E$7</f>
        <v/>
      </c>
      <c r="BL200" s="117"/>
      <c r="BM200" s="836">
        <f>CW200</f>
        <v/>
      </c>
      <c r="BN200" s="812">
        <f>Overview!$P$153</f>
        <v/>
      </c>
      <c r="BO200" s="117"/>
      <c r="BP200" s="117"/>
      <c r="BQ200" s="115"/>
      <c r="BR200" s="1478" t="inlineStr">
        <is>
          <t>N/A</t>
        </is>
      </c>
      <c r="BS200" s="1548"/>
      <c r="BT200" s="2071" t="inlineStr">
        <is>
          <t>GSM</t>
        </is>
      </c>
      <c r="BU200" s="2071">
        <v>1800</v>
      </c>
      <c r="BV200" s="415">
        <f>Overview!$H$28</f>
        <v/>
      </c>
      <c r="BW200" s="2010"/>
      <c r="BX200" s="2071"/>
      <c r="BY200" s="2072"/>
      <c r="BZ200" s="2072"/>
      <c r="CA200" s="1997" t="inlineStr">
        <is>
          <t>Left Edge</t>
        </is>
      </c>
      <c r="CB200" s="200">
        <v>5</v>
      </c>
      <c r="CC200" s="902">
        <f>'2G-3G'!BX27</f>
        <v>698</v>
      </c>
      <c r="CD200" s="902">
        <f>'2G-3G'!BY27</f>
        <v>1747.4</v>
      </c>
      <c r="CE200" s="1523"/>
      <c r="CF200" s="1523"/>
      <c r="CG200" s="387" t="str">
        <f>IF(OR($BY$167="",$BY$167=""),"",$BY$167)</f>
        <v/>
      </c>
      <c r="CH200" s="387">
        <f>BZ200</f>
        <v/>
      </c>
      <c r="CI200" s="387">
        <f>CA200</f>
        <v/>
      </c>
      <c r="CJ200" s="1527"/>
      <c r="CK200" s="2042"/>
      <c r="CL200" s="206">
        <f>IF(CF200=""," ",IF(ABS(CE200-CF200)&lt;=0.25,"Valid","Not valid"))</f>
        <v/>
      </c>
      <c r="CM200" s="207">
        <f> IF(CE200="","",IF(AND(CE200&lt;&gt;"",CF200=""),IF(CE200&gt;=2,"Medir+Sig Max","No"),IF(CF200&lt;&gt;"",IF(CF200&gt;=2,"Medir+Sig Max","No"),"")))</f>
        <v/>
      </c>
      <c r="CN200" s="1787"/>
      <c r="CO200" s="220">
        <f>IF(CK200="",IF(AND(CE200="",CF200=""),"",IF(CF200="",IF(DE200&gt;1,ROUND(DE200*CE200,3),CE200),IF(DE200&gt;1,ROUND(DE200*CF200,3),CF200))),IF(AND(CE200="",CF200=""),"",IF(CF200="",IF(DE200&gt;1,ROUND(DE200*CE200*(1/(CK200)),3),CE200*(1/(CK200))),IF(DE200&gt;1,ROUND(DE200*CF200*(1/(CK200)),3),CF200*(1/(CK200))))))</f>
        <v/>
      </c>
      <c r="CP200" s="2043">
        <f>$CP$34</f>
        <v/>
      </c>
      <c r="CQ200" s="1472">
        <f>IF(CO200="","",IF(CO200&gt;CP200,"Fail","Pass"))</f>
        <v/>
      </c>
      <c r="CR200" s="1481">
        <f>IF(AND(MAX(CO198:CO205)=CO200,CO200&lt;&gt;0),COUNT($CR$3:CR199)+1,"")</f>
        <v/>
      </c>
      <c r="CS200" s="1565">
        <f>MyTimestamp(CO200)</f>
        <v/>
      </c>
      <c r="CT200" s="1531">
        <f>IF(CE200="",0,15)+IF(CF200="",0,15)</f>
        <v/>
      </c>
      <c r="CU200" s="1532">
        <f>IF(CT200=0,0,2)</f>
        <v/>
      </c>
      <c r="CV200" s="859" t="inlineStr">
        <is>
          <t>S/02</t>
        </is>
      </c>
      <c r="CW200" s="859" t="inlineStr">
        <is>
          <t>Dasy6</t>
        </is>
      </c>
      <c r="CX200" s="2038"/>
      <c r="CY200" s="2044"/>
      <c r="CZ200" s="1543">
        <f>10^(CJ200/20)*100-100</f>
        <v/>
      </c>
      <c r="DA200" s="1325">
        <f>IF('Tune-Up'!$H$21="","",'Tune-Up'!$H$21)</f>
        <v/>
      </c>
      <c r="DB200" s="701">
        <f>'2G-3G'!BZ27</f>
        <v/>
      </c>
      <c r="DC200" s="769">
        <f>IF(DA200="","",10^(DA200/10))</f>
        <v/>
      </c>
      <c r="DD200" s="1369">
        <f>IF(ISNUMBER(DB200)=FALSE,"",10^(DB200/10))</f>
        <v/>
      </c>
      <c r="DE200" s="1543">
        <f>IF(AND(ISNUMBER(DC200),ISNUMBER(DD200)),IF(DC200/DD200&gt;1,ROUND((DC200)/DD200,3),1),1)</f>
        <v/>
      </c>
      <c r="DF200" s="1541"/>
      <c r="DG200" s="1541"/>
      <c r="DH200" s="1541"/>
      <c r="DI200" s="1541"/>
      <c r="DJ200" s="1541"/>
      <c r="DK200" s="1541"/>
      <c r="DL200" s="1541"/>
      <c r="DM200" s="1541"/>
      <c r="DN200" s="1541"/>
      <c r="DO200" s="1541"/>
      <c r="DP200" s="1541"/>
      <c r="DQ200" s="1541"/>
      <c r="DR200" s="1541"/>
    </row>
    <row r="201" ht="12.75" x14ac:dyDescent="0.2">
      <c r="A201" s="1541"/>
      <c r="B201" s="1541"/>
      <c r="C201"/>
      <c r="D201" s="130">
        <f>IF(BX$198="Close to Ear","EN 62209-1","EN 62209-2")</f>
        <v/>
      </c>
      <c r="E201" s="130">
        <f>IF(CG201="Close to Ear","2016","2010/A1:2019")</f>
        <v/>
      </c>
      <c r="F201" s="1488" t="inlineStr">
        <is>
          <t>5.1</t>
        </is>
      </c>
      <c r="G201" s="1497"/>
      <c r="H201" s="120">
        <f>BV201</f>
        <v/>
      </c>
      <c r="I201" s="120">
        <f>BW201</f>
        <v/>
      </c>
      <c r="J201" s="687" t="str">
        <f>BT201</f>
        <v>GSM</v>
      </c>
      <c r="K201" s="194">
        <f>BU201</f>
        <v>1800</v>
      </c>
      <c r="L201" s="115"/>
      <c r="M201" s="120">
        <f>BZ201</f>
        <v>0</v>
      </c>
      <c r="N201" s="119"/>
      <c r="O201" s="131"/>
      <c r="P201" s="6597"/>
      <c r="Q201" s="131"/>
      <c r="R201" s="131"/>
      <c r="S201" s="120">
        <f>CG201</f>
        <v>0</v>
      </c>
      <c r="T201" s="120">
        <f>CC201</f>
        <v>698</v>
      </c>
      <c r="U201" s="120">
        <f>CD201</f>
        <v>1747.4</v>
      </c>
      <c r="V201" s="119"/>
      <c r="W201" s="197">
        <f>CK201*100</f>
        <v/>
      </c>
      <c r="X201" s="119"/>
      <c r="Y201" s="119"/>
      <c r="Z201" s="119"/>
      <c r="AA201" s="115"/>
      <c r="AB201" s="115"/>
      <c r="AC201" s="689">
        <f>IF(OR(BX$198="Close to Ear",BX$198="Close to Head"),"Head",IF(BX$198="Extremity","Extremity","Body"))</f>
        <v/>
      </c>
      <c r="AD201" s="690">
        <f>CA201</f>
        <v/>
      </c>
      <c r="AE201" s="688">
        <f>CB201</f>
        <v/>
      </c>
      <c r="AF201" s="115"/>
      <c r="AG201" s="808">
        <f>IF(AZ201="","N/A",IF(CQ201="Pass","P","F"))</f>
        <v/>
      </c>
      <c r="AH201" s="129"/>
      <c r="AI201" s="129"/>
      <c r="AJ201" s="129"/>
      <c r="AK201" s="119"/>
      <c r="AL201" s="115"/>
      <c r="AM201" s="119"/>
      <c r="AN201" s="119"/>
      <c r="AO201" s="692"/>
      <c r="AP201" s="692"/>
      <c r="AQ201" s="692"/>
      <c r="AR201" s="692"/>
      <c r="AS201" s="692"/>
      <c r="AT201" s="691">
        <f>CE201</f>
        <v/>
      </c>
      <c r="AU201" s="691">
        <f>CF201</f>
        <v/>
      </c>
      <c r="AV201" s="813"/>
      <c r="AW201" s="813"/>
      <c r="AX201" s="197">
        <f>CZ201</f>
        <v/>
      </c>
      <c r="AY201" s="197">
        <f>DE201</f>
        <v/>
      </c>
      <c r="AZ201" s="3379">
        <f>CO201</f>
        <v/>
      </c>
      <c r="BA201" s="3380"/>
      <c r="BB201" s="197">
        <f>CP201</f>
        <v/>
      </c>
      <c r="BC201" s="813"/>
      <c r="BD201" s="197">
        <f>CR201</f>
        <v/>
      </c>
      <c r="BE201" s="121">
        <f>CS201</f>
        <v/>
      </c>
      <c r="BF201" s="122">
        <f>CT201*60</f>
        <v/>
      </c>
      <c r="BG201" s="121">
        <f>BE201</f>
        <v/>
      </c>
      <c r="BH201" s="122">
        <f>CU201*60</f>
        <v/>
      </c>
      <c r="BI201" s="122">
        <f>CV201</f>
        <v/>
      </c>
      <c r="BJ201" s="117"/>
      <c r="BK201" s="812">
        <f>Overview!$E$7</f>
        <v/>
      </c>
      <c r="BL201" s="117"/>
      <c r="BM201" s="836">
        <f>CW201</f>
        <v/>
      </c>
      <c r="BN201" s="812">
        <f>Overview!$P$153</f>
        <v/>
      </c>
      <c r="BO201" s="117"/>
      <c r="BP201" s="117"/>
      <c r="BQ201" s="115"/>
      <c r="BR201" s="1478" t="inlineStr">
        <is>
          <t>N/A</t>
        </is>
      </c>
      <c r="BS201" s="1548"/>
      <c r="BT201" s="1891" t="inlineStr">
        <is>
          <t>GSM</t>
        </is>
      </c>
      <c r="BU201" s="1891">
        <v>1800</v>
      </c>
      <c r="BV201" s="417">
        <f>Overview!$H$28</f>
        <v/>
      </c>
      <c r="BW201" s="2010"/>
      <c r="BX201" s="1891"/>
      <c r="BY201" s="2072"/>
      <c r="BZ201" s="2072"/>
      <c r="CA201" s="1997" t="inlineStr">
        <is>
          <t>Right Edge</t>
        </is>
      </c>
      <c r="CB201" s="200">
        <v>5</v>
      </c>
      <c r="CC201" s="902">
        <f>'2G-3G'!BX27</f>
        <v>698</v>
      </c>
      <c r="CD201" s="902">
        <f>'2G-3G'!BY27</f>
        <v>1747.4</v>
      </c>
      <c r="CE201" s="1523"/>
      <c r="CF201" s="1523"/>
      <c r="CG201" s="387" t="str">
        <f>IF(OR($BY$167="",$BY$167=""),"",$BY$167)</f>
        <v/>
      </c>
      <c r="CH201" s="387">
        <f>BZ201</f>
        <v/>
      </c>
      <c r="CI201" s="387">
        <f>CA201</f>
        <v/>
      </c>
      <c r="CJ201" s="1527"/>
      <c r="CK201" s="2042"/>
      <c r="CL201" s="206">
        <f>IF(CF201=""," ",IF(ABS(CE201-CF201)&lt;=0.25,"Valid","Not valid"))</f>
        <v/>
      </c>
      <c r="CM201" s="207">
        <f> IF(CE201="","",IF(AND(CE201&lt;&gt;"",CF201=""),IF(CE201&gt;=2,"Medir+Sig Max","No"),IF(CF201&lt;&gt;"",IF(CF201&gt;=2,"Medir+Sig Max","No"),"")))</f>
        <v/>
      </c>
      <c r="CN201" s="1787"/>
      <c r="CO201" s="220">
        <f>IF(CK201="",IF(AND(CE201="",CF201=""),"",IF(CF201="",IF(DE201&gt;1,ROUND(DE201*CE201,3),CE201),IF(DE201&gt;1,ROUND(DE201*CF201,3),CF201))),IF(AND(CE201="",CF201=""),"",IF(CF201="",IF(DE201&gt;1,ROUND(DE201*CE201*(1/(CK201)),3),CE201*(1/(CK201))),IF(DE201&gt;1,ROUND(DE201*CF201*(1/(CK201)),3),CF201*(1/(CK201))))))</f>
        <v/>
      </c>
      <c r="CP201" s="2043">
        <f>$CP$34</f>
        <v/>
      </c>
      <c r="CQ201" s="1472">
        <f>IF(CO201="","",IF(CO201&gt;CP201,"Fail","Pass"))</f>
        <v/>
      </c>
      <c r="CR201" s="1481">
        <f>IF(AND(MAX(CO198:CO205)=CO201,CO201&lt;&gt;0),COUNT($CR$3:CR200)+1,"")</f>
        <v/>
      </c>
      <c r="CS201" s="1565">
        <f>MyTimestamp(CO201)</f>
        <v/>
      </c>
      <c r="CT201" s="1531">
        <f>IF(CE201="",0,15)+IF(CF201="",0,15)</f>
        <v/>
      </c>
      <c r="CU201" s="1532">
        <f>IF(CT201=0,0,2)</f>
        <v/>
      </c>
      <c r="CV201" s="859" t="inlineStr">
        <is>
          <t>S/02</t>
        </is>
      </c>
      <c r="CW201" s="859" t="inlineStr">
        <is>
          <t>Dasy6</t>
        </is>
      </c>
      <c r="CX201" s="2038"/>
      <c r="CY201" s="2044"/>
      <c r="CZ201" s="1543">
        <f>10^(CJ201/20)*100-100</f>
        <v/>
      </c>
      <c r="DA201" s="1325">
        <f>IF('Tune-Up'!$H$21="","",'Tune-Up'!$H$21)</f>
        <v/>
      </c>
      <c r="DB201" s="701">
        <f>'2G-3G'!BZ27</f>
        <v/>
      </c>
      <c r="DC201" s="769">
        <f>IF(DA201="","",10^(DA201/10))</f>
        <v/>
      </c>
      <c r="DD201" s="1369">
        <f>IF(ISNUMBER(DB201)=FALSE,"",10^(DB201/10))</f>
        <v/>
      </c>
      <c r="DE201" s="1543">
        <f>IF(AND(ISNUMBER(DC201),ISNUMBER(DD201)),IF(DC201/DD201&gt;1,ROUND((DC201)/DD201,3),1),1)</f>
        <v/>
      </c>
      <c r="DF201" s="1541"/>
      <c r="DG201" s="1541"/>
      <c r="DH201" s="1541"/>
      <c r="DI201" s="1541"/>
      <c r="DJ201" s="1541"/>
      <c r="DK201" s="1541"/>
      <c r="DL201" s="1541"/>
      <c r="DM201" s="1541"/>
      <c r="DN201" s="1541"/>
      <c r="DO201" s="1541"/>
      <c r="DP201" s="1541"/>
      <c r="DQ201" s="1541"/>
      <c r="DR201" s="1541"/>
    </row>
    <row r="202" ht="12.75" x14ac:dyDescent="0.2">
      <c r="A202" s="1541"/>
      <c r="B202" s="1541"/>
      <c r="C202"/>
      <c r="D202" s="130">
        <f>IF(BX$198="Close to Ear","EN 62209-1","EN 62209-2")</f>
        <v/>
      </c>
      <c r="E202" s="130">
        <f>IF(CG202="Close to Ear","2016","2010/A1:2019")</f>
        <v/>
      </c>
      <c r="F202" s="1488" t="inlineStr">
        <is>
          <t>5.1</t>
        </is>
      </c>
      <c r="G202" s="1497"/>
      <c r="H202" s="120">
        <f>BV202</f>
        <v/>
      </c>
      <c r="I202" s="120">
        <f>BW202</f>
        <v/>
      </c>
      <c r="J202" s="687" t="str">
        <f>BT202</f>
        <v>GSM</v>
      </c>
      <c r="K202" s="194">
        <f>BU202</f>
        <v>1800</v>
      </c>
      <c r="L202" s="115"/>
      <c r="M202" s="120">
        <f>BZ202</f>
        <v>0</v>
      </c>
      <c r="N202" s="119"/>
      <c r="O202" s="131"/>
      <c r="P202" s="6597"/>
      <c r="Q202" s="131"/>
      <c r="R202" s="131"/>
      <c r="S202" s="120">
        <f>CG202</f>
        <v>0</v>
      </c>
      <c r="T202" s="120">
        <f>CC202</f>
        <v>698</v>
      </c>
      <c r="U202" s="120">
        <f>CD202</f>
        <v>1747.4</v>
      </c>
      <c r="V202" s="119"/>
      <c r="W202" s="197">
        <f>CK202*100</f>
        <v/>
      </c>
      <c r="X202" s="119"/>
      <c r="Y202" s="119"/>
      <c r="Z202" s="119"/>
      <c r="AA202" s="115"/>
      <c r="AB202" s="115"/>
      <c r="AC202" s="689">
        <f>IF(OR(BX$198="Close to Ear",BX$198="Close to Head"),"Head",IF(BX$198="Extremity","Extremity","Body"))</f>
        <v/>
      </c>
      <c r="AD202" s="690">
        <f>CA202</f>
        <v/>
      </c>
      <c r="AE202" s="688">
        <f>CB202</f>
        <v/>
      </c>
      <c r="AF202" s="115"/>
      <c r="AG202" s="808">
        <f>IF(AZ202="","N/A",IF(CQ202="Pass","P","F"))</f>
        <v/>
      </c>
      <c r="AH202" s="129"/>
      <c r="AI202" s="129"/>
      <c r="AJ202" s="129"/>
      <c r="AK202" s="119"/>
      <c r="AL202" s="115"/>
      <c r="AM202" s="119"/>
      <c r="AN202" s="119"/>
      <c r="AO202" s="692"/>
      <c r="AP202" s="692"/>
      <c r="AQ202" s="692"/>
      <c r="AR202" s="692"/>
      <c r="AS202" s="692"/>
      <c r="AT202" s="691">
        <f>CE202</f>
        <v/>
      </c>
      <c r="AU202" s="691">
        <f>CF202</f>
        <v/>
      </c>
      <c r="AV202" s="813"/>
      <c r="AW202" s="813"/>
      <c r="AX202" s="197">
        <f>CZ202</f>
        <v/>
      </c>
      <c r="AY202" s="197">
        <f>DE202</f>
        <v/>
      </c>
      <c r="AZ202" s="3379">
        <f>CO202</f>
        <v/>
      </c>
      <c r="BA202" s="3380"/>
      <c r="BB202" s="197">
        <f>CP202</f>
        <v/>
      </c>
      <c r="BC202" s="813"/>
      <c r="BD202" s="197">
        <f>CR202</f>
        <v/>
      </c>
      <c r="BE202" s="121">
        <f>CS202</f>
        <v/>
      </c>
      <c r="BF202" s="122">
        <f>CT202*60</f>
        <v/>
      </c>
      <c r="BG202" s="121">
        <f>BE202</f>
        <v/>
      </c>
      <c r="BH202" s="122">
        <f>CU202*60</f>
        <v/>
      </c>
      <c r="BI202" s="122">
        <f>CV202</f>
        <v/>
      </c>
      <c r="BJ202" s="117"/>
      <c r="BK202" s="812">
        <f>Overview!$E$7</f>
        <v/>
      </c>
      <c r="BL202" s="117"/>
      <c r="BM202" s="836">
        <f>CW202</f>
        <v/>
      </c>
      <c r="BN202" s="812">
        <f>Overview!$P$153</f>
        <v/>
      </c>
      <c r="BO202" s="117"/>
      <c r="BP202" s="117"/>
      <c r="BQ202" s="115"/>
      <c r="BR202" s="1478" t="inlineStr">
        <is>
          <t>N/A</t>
        </is>
      </c>
      <c r="BS202" s="1548"/>
      <c r="BT202" s="2071" t="inlineStr">
        <is>
          <t>GSM</t>
        </is>
      </c>
      <c r="BU202" s="2071">
        <v>1800</v>
      </c>
      <c r="BV202" s="415">
        <f>Overview!$H$28</f>
        <v/>
      </c>
      <c r="BW202" s="2010"/>
      <c r="BX202" s="2071"/>
      <c r="BY202" s="2072"/>
      <c r="BZ202" s="2072"/>
      <c r="CA202" s="1997" t="inlineStr">
        <is>
          <t>Top Edge</t>
        </is>
      </c>
      <c r="CB202" s="200">
        <v>5</v>
      </c>
      <c r="CC202" s="902">
        <f>'2G-3G'!BX27</f>
        <v>698</v>
      </c>
      <c r="CD202" s="902">
        <f>'2G-3G'!BY27</f>
        <v>1747.4</v>
      </c>
      <c r="CE202" s="1523"/>
      <c r="CF202" s="1523"/>
      <c r="CG202" s="387" t="str">
        <f>IF(OR($BY$167="",$BY$167=""),"",$BY$167)</f>
        <v/>
      </c>
      <c r="CH202" s="387">
        <f>BZ202</f>
        <v/>
      </c>
      <c r="CI202" s="387">
        <f>CA202</f>
        <v/>
      </c>
      <c r="CJ202" s="1527"/>
      <c r="CK202" s="2042"/>
      <c r="CL202" s="206">
        <f>IF(CF202=""," ",IF(ABS(CE202-CF202)&lt;=0.25,"Valid","Not valid"))</f>
        <v/>
      </c>
      <c r="CM202" s="207">
        <f> IF(CE202="","",IF(AND(CE202&lt;&gt;"",CF202=""),IF(CE202&gt;=2,"Medir+Sig Max","No"),IF(CF202&lt;&gt;"",IF(CF202&gt;=2,"Medir+Sig Max","No"),"")))</f>
        <v/>
      </c>
      <c r="CN202" s="1787"/>
      <c r="CO202" s="220">
        <f>IF(CK202="",IF(AND(CE202="",CF202=""),"",IF(CF202="",IF(DE202&gt;1,ROUND(DE202*CE202,3),CE202),IF(DE202&gt;1,ROUND(DE202*CF202,3),CF202))),IF(AND(CE202="",CF202=""),"",IF(CF202="",IF(DE202&gt;1,ROUND(DE202*CE202*(1/(CK202)),3),CE202*(1/(CK202))),IF(DE202&gt;1,ROUND(DE202*CF202*(1/(CK202)),3),CF202*(1/(CK202))))))</f>
        <v/>
      </c>
      <c r="CP202" s="2043">
        <f>$CP$34</f>
        <v/>
      </c>
      <c r="CQ202" s="1472">
        <f>IF(CO202="","",IF(CO202&gt;CP202,"Fail","Pass"))</f>
        <v/>
      </c>
      <c r="CR202" s="1481">
        <f>IF(AND(MAX(CO198:CO205)=CO202,CO202&lt;&gt;0),COUNT($CR$3:CR201)+1,"")</f>
        <v/>
      </c>
      <c r="CS202" s="1565">
        <f>MyTimestamp(CO202)</f>
        <v/>
      </c>
      <c r="CT202" s="1531">
        <f>IF(CE202="",0,15)+IF(CF202="",0,15)</f>
        <v/>
      </c>
      <c r="CU202" s="1532">
        <f>IF(CT202=0,0,2)</f>
        <v/>
      </c>
      <c r="CV202" s="859" t="inlineStr">
        <is>
          <t>S/02</t>
        </is>
      </c>
      <c r="CW202" s="859" t="inlineStr">
        <is>
          <t>Dasy6</t>
        </is>
      </c>
      <c r="CX202" s="2038"/>
      <c r="CY202" s="2044"/>
      <c r="CZ202" s="1543">
        <f>10^(CJ202/20)*100-100</f>
        <v/>
      </c>
      <c r="DA202" s="1325">
        <f>IF('Tune-Up'!$H$21="","",'Tune-Up'!$H$21)</f>
        <v/>
      </c>
      <c r="DB202" s="701">
        <f>'2G-3G'!BZ27</f>
        <v/>
      </c>
      <c r="DC202" s="769">
        <f>IF(DA202="","",10^(DA202/10))</f>
        <v/>
      </c>
      <c r="DD202" s="1369">
        <f>IF(ISNUMBER(DB202)=FALSE,"",10^(DB202/10))</f>
        <v/>
      </c>
      <c r="DE202" s="1543">
        <f>IF(AND(ISNUMBER(DC202),ISNUMBER(DD202)),IF(DC202/DD202&gt;1,ROUND((DC202)/DD202,3),1),1)</f>
        <v/>
      </c>
      <c r="DF202" s="1541"/>
      <c r="DG202" s="1541"/>
      <c r="DH202" s="1541"/>
      <c r="DI202" s="1541"/>
      <c r="DJ202" s="1541"/>
      <c r="DK202" s="1541"/>
      <c r="DL202" s="1541"/>
      <c r="DM202" s="1541"/>
      <c r="DN202" s="1541"/>
      <c r="DO202" s="1541"/>
      <c r="DP202" s="1541"/>
      <c r="DQ202" s="1541"/>
      <c r="DR202" s="1541"/>
    </row>
    <row r="203" ht="12.75" x14ac:dyDescent="0.2">
      <c r="A203" s="1541"/>
      <c r="B203" s="1541"/>
      <c r="C203"/>
      <c r="D203" s="130">
        <f>IF(BX$198="Close to Ear","EN 62209-1","EN 62209-2")</f>
        <v/>
      </c>
      <c r="E203" s="130">
        <f>IF(CG203="Close to Ear","2016","2010/A1:2019")</f>
        <v/>
      </c>
      <c r="F203" s="1488" t="inlineStr">
        <is>
          <t>5.1</t>
        </is>
      </c>
      <c r="G203" s="1497"/>
      <c r="H203" s="120">
        <f>BV203</f>
        <v/>
      </c>
      <c r="I203" s="120">
        <f>BW203</f>
        <v/>
      </c>
      <c r="J203" s="687" t="str">
        <f>BT203</f>
        <v>GSM</v>
      </c>
      <c r="K203" s="194">
        <f>BU203</f>
        <v>1800</v>
      </c>
      <c r="L203" s="115"/>
      <c r="M203" s="120">
        <f>BZ203</f>
        <v>0</v>
      </c>
      <c r="N203" s="119"/>
      <c r="O203" s="131"/>
      <c r="P203" s="6597"/>
      <c r="Q203" s="131"/>
      <c r="R203" s="131"/>
      <c r="S203" s="120">
        <f>CG203</f>
        <v>0</v>
      </c>
      <c r="T203" s="120">
        <f>CC203</f>
        <v>698</v>
      </c>
      <c r="U203" s="120">
        <f>CD203</f>
        <v>1747.4</v>
      </c>
      <c r="V203" s="119"/>
      <c r="W203" s="197">
        <f>CK203*100</f>
        <v/>
      </c>
      <c r="X203" s="119"/>
      <c r="Y203" s="119"/>
      <c r="Z203" s="119"/>
      <c r="AA203" s="115"/>
      <c r="AB203" s="115"/>
      <c r="AC203" s="689">
        <f>IF(OR(BX$198="Close to Ear",BX$198="Close to Head"),"Head",IF(BX$198="Extremity","Extremity","Body"))</f>
        <v/>
      </c>
      <c r="AD203" s="690">
        <f>CA203</f>
        <v/>
      </c>
      <c r="AE203" s="688">
        <f>CB203</f>
        <v/>
      </c>
      <c r="AF203" s="115"/>
      <c r="AG203" s="808">
        <f>IF(AZ203="","N/A",IF(CQ203="Pass","P","F"))</f>
        <v/>
      </c>
      <c r="AH203" s="129"/>
      <c r="AI203" s="129"/>
      <c r="AJ203" s="129"/>
      <c r="AK203" s="119"/>
      <c r="AL203" s="115"/>
      <c r="AM203" s="119"/>
      <c r="AN203" s="119"/>
      <c r="AO203" s="692"/>
      <c r="AP203" s="692"/>
      <c r="AQ203" s="692"/>
      <c r="AR203" s="692"/>
      <c r="AS203" s="692"/>
      <c r="AT203" s="691">
        <f>CE203</f>
        <v/>
      </c>
      <c r="AU203" s="691">
        <f>CF203</f>
        <v/>
      </c>
      <c r="AV203" s="813"/>
      <c r="AW203" s="813"/>
      <c r="AX203" s="197">
        <f>CZ203</f>
        <v/>
      </c>
      <c r="AY203" s="197">
        <f>DE203</f>
        <v/>
      </c>
      <c r="AZ203" s="3379">
        <f>CO203</f>
        <v/>
      </c>
      <c r="BA203" s="3380"/>
      <c r="BB203" s="197">
        <f>CP203</f>
        <v/>
      </c>
      <c r="BC203" s="813"/>
      <c r="BD203" s="197">
        <f>CR203</f>
        <v/>
      </c>
      <c r="BE203" s="121">
        <f>CS203</f>
        <v/>
      </c>
      <c r="BF203" s="122">
        <f>CT203*60</f>
        <v/>
      </c>
      <c r="BG203" s="121">
        <f>BE203</f>
        <v/>
      </c>
      <c r="BH203" s="122">
        <f>CU203*60</f>
        <v/>
      </c>
      <c r="BI203" s="122">
        <f>CV203</f>
        <v/>
      </c>
      <c r="BJ203" s="117"/>
      <c r="BK203" s="812">
        <f>Overview!$E$7</f>
        <v/>
      </c>
      <c r="BL203" s="117"/>
      <c r="BM203" s="836">
        <f>CW203</f>
        <v/>
      </c>
      <c r="BN203" s="812">
        <f>Overview!$P$153</f>
        <v/>
      </c>
      <c r="BO203" s="117"/>
      <c r="BP203" s="117"/>
      <c r="BQ203" s="115"/>
      <c r="BR203" s="1478" t="inlineStr">
        <is>
          <t>N/A</t>
        </is>
      </c>
      <c r="BS203" s="1548"/>
      <c r="BT203" s="2071" t="inlineStr">
        <is>
          <t>GSM</t>
        </is>
      </c>
      <c r="BU203" s="2071">
        <v>1800</v>
      </c>
      <c r="BV203" s="415">
        <f>Overview!$H$28</f>
        <v/>
      </c>
      <c r="BW203" s="2010"/>
      <c r="BX203" s="2071"/>
      <c r="BY203" s="2072"/>
      <c r="BZ203" s="2072"/>
      <c r="CA203" s="1997" t="inlineStr">
        <is>
          <t>Bottom Edge</t>
        </is>
      </c>
      <c r="CB203" s="200">
        <v>5</v>
      </c>
      <c r="CC203" s="902">
        <f>'2G-3G'!BX27</f>
        <v>698</v>
      </c>
      <c r="CD203" s="902">
        <f>'2G-3G'!BY27</f>
        <v>1747.4</v>
      </c>
      <c r="CE203" s="1523"/>
      <c r="CF203" s="1523"/>
      <c r="CG203" s="387" t="str">
        <f>IF(OR($BY$167="",$BY$167=""),"",$BY$167)</f>
        <v/>
      </c>
      <c r="CH203" s="387">
        <f>BZ203</f>
        <v/>
      </c>
      <c r="CI203" s="387">
        <f>CA203</f>
        <v/>
      </c>
      <c r="CJ203" s="1527"/>
      <c r="CK203" s="2042"/>
      <c r="CL203" s="206">
        <f>IF(CF203=""," ",IF(ABS(CE203-CF203)&lt;=0.25,"Valid","Not valid"))</f>
        <v/>
      </c>
      <c r="CM203" s="207">
        <f> IF(CE203="","",IF(AND(CE203&lt;&gt;"",CF203=""),IF(CE203&gt;=2,"Medir+Sig Max","No"),IF(CF203&lt;&gt;"",IF(CF203&gt;=2,"Medir+Sig Max","No"),"")))</f>
        <v/>
      </c>
      <c r="CN203" s="1787"/>
      <c r="CO203" s="220">
        <f>IF(CK203="",IF(AND(CE203="",CF203=""),"",IF(CF203="",IF(DE203&gt;1,ROUND(DE203*CE203,3),CE203),IF(DE203&gt;1,ROUND(DE203*CF203,3),CF203))),IF(AND(CE203="",CF203=""),"",IF(CF203="",IF(DE203&gt;1,ROUND(DE203*CE203*(1/(CK203)),3),CE203*(1/(CK203))),IF(DE203&gt;1,ROUND(DE203*CF203*(1/(CK203)),3),CF203*(1/(CK203))))))</f>
        <v/>
      </c>
      <c r="CP203" s="2043">
        <f>$CP$34</f>
        <v/>
      </c>
      <c r="CQ203" s="1472">
        <f>IF(CO203="","",IF(CO203&gt;CP203,"Fail","Pass"))</f>
        <v/>
      </c>
      <c r="CR203" s="1481">
        <f>IF(AND(MAX(CO198:CO205)=CO203,CO203&lt;&gt;0),COUNT($CR$3:CR202)+1,"")</f>
        <v/>
      </c>
      <c r="CS203" s="1565">
        <f>MyTimestamp(CO203)</f>
        <v/>
      </c>
      <c r="CT203" s="1531">
        <f>IF(CE203="",0,15)+IF(CF203="",0,15)</f>
        <v/>
      </c>
      <c r="CU203" s="1532">
        <f>IF(CT203=0,0,2)</f>
        <v/>
      </c>
      <c r="CV203" s="859" t="inlineStr">
        <is>
          <t>S/02</t>
        </is>
      </c>
      <c r="CW203" s="859" t="inlineStr">
        <is>
          <t>Dasy6</t>
        </is>
      </c>
      <c r="CX203" s="2038"/>
      <c r="CY203" s="2044"/>
      <c r="CZ203" s="1543">
        <f>10^(CJ203/20)*100-100</f>
        <v/>
      </c>
      <c r="DA203" s="1325">
        <f>IF('Tune-Up'!$H$21="","",'Tune-Up'!$H$21)</f>
        <v/>
      </c>
      <c r="DB203" s="701">
        <f>'2G-3G'!BZ27</f>
        <v/>
      </c>
      <c r="DC203" s="769">
        <f>IF(DA203="","",10^(DA203/10))</f>
        <v/>
      </c>
      <c r="DD203" s="1369">
        <f>IF(ISNUMBER(DB203)=FALSE,"",10^(DB203/10))</f>
        <v/>
      </c>
      <c r="DE203" s="1543">
        <f>IF(AND(ISNUMBER(DC203),ISNUMBER(DD203)),IF(DC203/DD203&gt;1,ROUND((DC203)/DD203,3),1),1)</f>
        <v/>
      </c>
      <c r="DF203" s="1541"/>
      <c r="DG203" s="1541"/>
      <c r="DH203" s="1541"/>
      <c r="DI203" s="1541"/>
      <c r="DJ203" s="1541"/>
      <c r="DK203" s="1541"/>
      <c r="DL203" s="1541"/>
      <c r="DM203" s="1541"/>
      <c r="DN203" s="1541"/>
      <c r="DO203" s="1541"/>
      <c r="DP203" s="1541"/>
      <c r="DQ203" s="1541"/>
      <c r="DR203" s="1541"/>
    </row>
    <row r="204" ht="12.75" x14ac:dyDescent="0.2">
      <c r="A204" s="1541"/>
      <c r="B204" s="1541"/>
      <c r="C204"/>
      <c r="D204" s="130">
        <f>IF(BX$198="Close to Ear","EN 62209-1","EN 62209-2")</f>
        <v/>
      </c>
      <c r="E204" s="130">
        <f>IF(CG204="Close to Ear","2016","2010/A1:2019")</f>
        <v/>
      </c>
      <c r="F204" s="1488" t="inlineStr">
        <is>
          <t>5.1</t>
        </is>
      </c>
      <c r="G204" s="1497"/>
      <c r="H204" s="120">
        <f>BV204</f>
        <v/>
      </c>
      <c r="I204" s="120">
        <f>BW204</f>
        <v/>
      </c>
      <c r="J204" s="687" t="str">
        <f>BT204</f>
        <v>GSM</v>
      </c>
      <c r="K204" s="194">
        <f>BU204</f>
        <v>1800</v>
      </c>
      <c r="L204" s="115"/>
      <c r="M204" s="120">
        <f>BZ204</f>
        <v>0</v>
      </c>
      <c r="N204" s="119"/>
      <c r="O204" s="131"/>
      <c r="P204" s="6597"/>
      <c r="Q204" s="131"/>
      <c r="R204" s="131"/>
      <c r="S204" s="120">
        <f>CG204</f>
        <v>0</v>
      </c>
      <c r="T204" s="120">
        <f>CC204</f>
        <v>512</v>
      </c>
      <c r="U204" s="120">
        <f>CD204</f>
        <v>1710.2</v>
      </c>
      <c r="V204" s="119"/>
      <c r="W204" s="197">
        <f>CK204*100</f>
        <v/>
      </c>
      <c r="X204" s="119"/>
      <c r="Y204" s="119"/>
      <c r="Z204" s="119"/>
      <c r="AA204" s="115"/>
      <c r="AB204" s="115"/>
      <c r="AC204" s="689">
        <f>IF(OR(BX$198="Close to Ear",BX$198="Close to Head"),"Head",IF(BX$198="Extremity","Extremity","Body"))</f>
        <v/>
      </c>
      <c r="AD204" s="690">
        <f>CA204</f>
        <v/>
      </c>
      <c r="AE204" s="688">
        <f>CB204</f>
        <v/>
      </c>
      <c r="AF204" s="115"/>
      <c r="AG204" s="808">
        <f>IF(AZ204="","N/A",IF(CQ204="Pass","P","F"))</f>
        <v/>
      </c>
      <c r="AH204" s="129"/>
      <c r="AI204" s="129"/>
      <c r="AJ204" s="129"/>
      <c r="AK204" s="119"/>
      <c r="AL204" s="115"/>
      <c r="AM204" s="119"/>
      <c r="AN204" s="119"/>
      <c r="AO204" s="692"/>
      <c r="AP204" s="692"/>
      <c r="AQ204" s="692"/>
      <c r="AR204" s="692"/>
      <c r="AS204" s="692"/>
      <c r="AT204" s="691">
        <f>CE204</f>
        <v/>
      </c>
      <c r="AU204" s="691">
        <f>CF204</f>
        <v/>
      </c>
      <c r="AV204" s="813"/>
      <c r="AW204" s="813"/>
      <c r="AX204" s="197">
        <f>CZ204</f>
        <v/>
      </c>
      <c r="AY204" s="197">
        <f>DE204</f>
        <v/>
      </c>
      <c r="AZ204" s="3379">
        <f>CO204</f>
        <v/>
      </c>
      <c r="BA204" s="3380"/>
      <c r="BB204" s="197">
        <f>CP204</f>
        <v/>
      </c>
      <c r="BC204" s="813"/>
      <c r="BD204" s="197">
        <f>CR204</f>
        <v/>
      </c>
      <c r="BE204" s="121">
        <f>CS204</f>
        <v/>
      </c>
      <c r="BF204" s="122">
        <f>CT204*60</f>
        <v/>
      </c>
      <c r="BG204" s="121">
        <f>BE204</f>
        <v/>
      </c>
      <c r="BH204" s="122">
        <f>CU204*60</f>
        <v/>
      </c>
      <c r="BI204" s="122">
        <f>CV204</f>
        <v/>
      </c>
      <c r="BJ204" s="117"/>
      <c r="BK204" s="812">
        <f>Overview!$E$7</f>
        <v/>
      </c>
      <c r="BL204" s="117"/>
      <c r="BM204" s="836">
        <f>CW204</f>
        <v/>
      </c>
      <c r="BN204" s="812">
        <f>Overview!$P$153</f>
        <v/>
      </c>
      <c r="BO204" s="117"/>
      <c r="BP204" s="117"/>
      <c r="BQ204" s="115"/>
      <c r="BR204" s="1478" t="inlineStr">
        <is>
          <t>N/A</t>
        </is>
      </c>
      <c r="BS204" s="1548"/>
      <c r="BT204" s="2071" t="inlineStr">
        <is>
          <t>GSM</t>
        </is>
      </c>
      <c r="BU204" s="2071">
        <v>1800</v>
      </c>
      <c r="BV204" s="415">
        <f>Overview!$H$28</f>
        <v/>
      </c>
      <c r="BW204" s="2010"/>
      <c r="BX204" s="2071"/>
      <c r="BY204" s="2072"/>
      <c r="BZ204" s="2072"/>
      <c r="CA204" s="416" t="str">
        <f>IF(COUNT(CF198:CF203)=0,IF(COUNT(CE198:CE203)=0,"TBD",VLOOKUP(MAX(CE198:CE203),CE198:CI203,5,FALSE)),VLOOKUP(MAX(CF198:CF203),CF198:CI203,4,FALSE))</f>
        <v>TBD</v>
      </c>
      <c r="CB204" s="200">
        <v>5</v>
      </c>
      <c r="CC204" s="902">
        <f>'2G-3G'!BX28</f>
        <v>512</v>
      </c>
      <c r="CD204" s="902">
        <f>'2G-3G'!BY28</f>
        <v>1710.2</v>
      </c>
      <c r="CE204" s="1523"/>
      <c r="CF204" s="1523"/>
      <c r="CG204" s="387" t="str">
        <f>IF(OR($BY$167="",$BY$167=""),"",$BY$167)</f>
        <v/>
      </c>
      <c r="CH204" s="387">
        <f>BZ204</f>
        <v/>
      </c>
      <c r="CI204" s="387">
        <f>CA204</f>
        <v/>
      </c>
      <c r="CJ204" s="1527"/>
      <c r="CK204" s="2042"/>
      <c r="CL204" s="206">
        <f>IF(CF204=""," ",IF(ABS(CE204-CF204)&lt;=0.25,"Valid","Not valid"))</f>
        <v/>
      </c>
      <c r="CM204" s="207">
        <f> IF(CE204="","",IF(AND(CE204&lt;&gt;"",CF204=""),IF(CE204&gt;=2,"Medir+Sig Max","No"),IF(CF204&lt;&gt;"",IF(CF204&gt;=2,"Medir+Sig Max","No"),"")))</f>
        <v/>
      </c>
      <c r="CN204" s="1787"/>
      <c r="CO204" s="220">
        <f>IF(CK204="",IF(AND(CE204="",CF204=""),"",IF(CF204="",IF(DE204&gt;1,ROUND(DE204*CE204,3),CE204),IF(DE204&gt;1,ROUND(DE204*CF204,3),CF204))),IF(AND(CE204="",CF204=""),"",IF(CF204="",IF(DE204&gt;1,ROUND(DE204*CE204*(1/(CK204)),3),CE204*(1/(CK204))),IF(DE204&gt;1,ROUND(DE204*CF204*(1/(CK204)),3),CF204*(1/(CK204))))))</f>
        <v/>
      </c>
      <c r="CP204" s="2043">
        <f>$CP$34</f>
        <v/>
      </c>
      <c r="CQ204" s="1472">
        <f>IF(CO204="","",IF(CO204&gt;CP204,"Fail","Pass"))</f>
        <v/>
      </c>
      <c r="CR204" s="1481">
        <f>IF(AND(MAX(CO198:CO205)=CO204,CO204&lt;&gt;0),COUNT($CR$3:CR203)+1,"")</f>
        <v/>
      </c>
      <c r="CS204" s="1565">
        <f>MyTimestamp(CO204)</f>
        <v/>
      </c>
      <c r="CT204" s="1531">
        <f>IF(CE204="",0,15)+IF(CF204="",0,15)</f>
        <v/>
      </c>
      <c r="CU204" s="1532">
        <f>IF(CT204=0,0,2)</f>
        <v/>
      </c>
      <c r="CV204" s="859" t="inlineStr">
        <is>
          <t>S/02</t>
        </is>
      </c>
      <c r="CW204" s="859" t="inlineStr">
        <is>
          <t>Dasy6</t>
        </is>
      </c>
      <c r="CX204" s="2038"/>
      <c r="CY204" s="2044"/>
      <c r="CZ204" s="1543">
        <f>10^(CJ204/20)*100-100</f>
        <v/>
      </c>
      <c r="DA204" s="1325">
        <f>IF('Tune-Up'!$H$21="","",'Tune-Up'!$H$21)</f>
        <v/>
      </c>
      <c r="DB204" s="701">
        <f>'2G-3G'!BZ28</f>
        <v/>
      </c>
      <c r="DC204" s="769">
        <f>IF(DA204="","",10^(DA204/10))</f>
        <v/>
      </c>
      <c r="DD204" s="1369">
        <f>IF(ISNUMBER(DB204)=FALSE,"",10^(DB204/10))</f>
        <v/>
      </c>
      <c r="DE204" s="1543">
        <f>IF(AND(ISNUMBER(DC204),ISNUMBER(DD204)),IF(DC204/DD204&gt;1,ROUND((DC204)/DD204,3),1),1)</f>
        <v/>
      </c>
      <c r="DF204" s="1541"/>
      <c r="DG204" s="1541"/>
      <c r="DH204" s="1541"/>
      <c r="DI204" s="1541"/>
      <c r="DJ204" s="1541"/>
      <c r="DK204" s="1541"/>
      <c r="DL204" s="1541"/>
      <c r="DM204" s="1541"/>
      <c r="DN204" s="1541"/>
      <c r="DO204" s="1541"/>
      <c r="DP204" s="1541"/>
      <c r="DQ204" s="1541"/>
      <c r="DR204" s="1541"/>
    </row>
    <row r="205" ht="12.75" x14ac:dyDescent="0.2">
      <c r="A205" s="1541"/>
      <c r="B205" s="1541"/>
      <c r="C205"/>
      <c r="D205" s="130">
        <f>IF(BX$198="Close to Ear","EN 62209-1","EN 62209-2")</f>
        <v/>
      </c>
      <c r="E205" s="130">
        <f>IF(CG205="Close to Ear","2016","2010/A1:2019")</f>
        <v/>
      </c>
      <c r="F205" s="1488" t="inlineStr">
        <is>
          <t>5.1</t>
        </is>
      </c>
      <c r="G205" s="1497"/>
      <c r="H205" s="120">
        <f>BV205</f>
        <v/>
      </c>
      <c r="I205" s="120">
        <f>BW205</f>
        <v/>
      </c>
      <c r="J205" s="687" t="str">
        <f>BT205</f>
        <v>GSM</v>
      </c>
      <c r="K205" s="194">
        <f>BU205</f>
        <v>1800</v>
      </c>
      <c r="L205" s="115"/>
      <c r="M205" s="120">
        <f>BZ205</f>
        <v>0</v>
      </c>
      <c r="N205" s="119"/>
      <c r="O205" s="131"/>
      <c r="P205" s="6597"/>
      <c r="Q205" s="131"/>
      <c r="R205" s="131"/>
      <c r="S205" s="120">
        <f>CG205</f>
        <v>0</v>
      </c>
      <c r="T205" s="120">
        <f>CC205</f>
        <v>885</v>
      </c>
      <c r="U205" s="120">
        <f>CD205</f>
        <v>1784.8</v>
      </c>
      <c r="V205" s="119"/>
      <c r="W205" s="197">
        <f>CK205*100</f>
        <v/>
      </c>
      <c r="X205" s="119"/>
      <c r="Y205" s="119"/>
      <c r="Z205" s="119"/>
      <c r="AA205" s="115"/>
      <c r="AB205" s="115"/>
      <c r="AC205" s="689">
        <f>IF(OR(BX$198="Close to Ear",BX$198="Close to Head"),"Head",IF(BX$198="Extremity","Extremity","Body"))</f>
        <v/>
      </c>
      <c r="AD205" s="690">
        <f>CA205</f>
        <v/>
      </c>
      <c r="AE205" s="688">
        <f>CB205</f>
        <v/>
      </c>
      <c r="AF205" s="115"/>
      <c r="AG205" s="808">
        <f>IF(AZ205="","N/A",IF(CQ205="Pass","P","F"))</f>
        <v/>
      </c>
      <c r="AH205" s="129"/>
      <c r="AI205" s="129"/>
      <c r="AJ205" s="129"/>
      <c r="AK205" s="119"/>
      <c r="AL205" s="115"/>
      <c r="AM205" s="119"/>
      <c r="AN205" s="119"/>
      <c r="AO205" s="692"/>
      <c r="AP205" s="692"/>
      <c r="AQ205" s="692"/>
      <c r="AR205" s="692"/>
      <c r="AS205" s="692"/>
      <c r="AT205" s="691">
        <f>CE205</f>
        <v/>
      </c>
      <c r="AU205" s="691">
        <f>CF205</f>
        <v/>
      </c>
      <c r="AV205" s="813"/>
      <c r="AW205" s="813"/>
      <c r="AX205" s="197">
        <f>CZ205</f>
        <v/>
      </c>
      <c r="AY205" s="197">
        <f>DE205</f>
        <v/>
      </c>
      <c r="AZ205" s="3379">
        <f>CO205</f>
        <v/>
      </c>
      <c r="BA205" s="3380"/>
      <c r="BB205" s="197">
        <f>CP205</f>
        <v/>
      </c>
      <c r="BC205" s="813"/>
      <c r="BD205" s="197">
        <f>CR205</f>
        <v/>
      </c>
      <c r="BE205" s="121">
        <f>CS205</f>
        <v/>
      </c>
      <c r="BF205" s="122">
        <f>CT205*60</f>
        <v/>
      </c>
      <c r="BG205" s="121">
        <f>BE205</f>
        <v/>
      </c>
      <c r="BH205" s="122">
        <f>CU205*60</f>
        <v/>
      </c>
      <c r="BI205" s="122">
        <f>CV205</f>
        <v/>
      </c>
      <c r="BJ205" s="117"/>
      <c r="BK205" s="812">
        <f>Overview!$E$7</f>
        <v/>
      </c>
      <c r="BL205" s="117"/>
      <c r="BM205" s="836">
        <f>CW205</f>
        <v/>
      </c>
      <c r="BN205" s="812">
        <f>Overview!$P$153</f>
        <v/>
      </c>
      <c r="BO205" s="117"/>
      <c r="BP205" s="117"/>
      <c r="BQ205" s="115"/>
      <c r="BR205" s="1478" t="inlineStr">
        <is>
          <t>N/A</t>
        </is>
      </c>
      <c r="BS205" s="1548"/>
      <c r="BT205" s="2075" t="inlineStr">
        <is>
          <t>GSM</t>
        </is>
      </c>
      <c r="BU205" s="2075">
        <v>1800</v>
      </c>
      <c r="BV205" s="419">
        <f>Overview!$H$28</f>
        <v/>
      </c>
      <c r="BW205" s="2016"/>
      <c r="BX205" s="2075"/>
      <c r="BY205" s="2076"/>
      <c r="BZ205" s="2072"/>
      <c r="CA205" s="418" t="str">
        <f>IF(COUNT(CF198:CF203)=0,IF(COUNT(CE198:CE203)=0,"TBD",VLOOKUP(MAX(CE198:CE203),CE198:CI203,5,FALSE)),VLOOKUP(MAX(CF198:CF203),CF198:CI203,4,FALSE))</f>
        <v>TBD</v>
      </c>
      <c r="CB205" s="201">
        <v>5</v>
      </c>
      <c r="CC205" s="857">
        <f>'2G-3G'!BX29</f>
        <v>885</v>
      </c>
      <c r="CD205" s="857">
        <f>'2G-3G'!BY29</f>
        <v>1784.8</v>
      </c>
      <c r="CE205" s="1874"/>
      <c r="CF205" s="1874"/>
      <c r="CG205" s="388" t="str">
        <f>IF(OR($BY$167="",$BY$167=""),"",$BY$167)</f>
        <v/>
      </c>
      <c r="CH205" s="388">
        <f>BZ205</f>
        <v/>
      </c>
      <c r="CI205" s="388">
        <f>CA205</f>
        <v/>
      </c>
      <c r="CJ205" s="2046"/>
      <c r="CK205" s="2047"/>
      <c r="CL205" s="212">
        <f>IF(CF205=""," ",IF(ABS(CE205-CF205)&lt;=0.25,"Valid","Not valid"))</f>
        <v/>
      </c>
      <c r="CM205" s="213">
        <f> IF(CE205="","",IF(AND(CE205&lt;&gt;"",CF205=""),IF(CE205&gt;=2,"Medir+Sig Max","No"),IF(CF205&lt;&gt;"",IF(CF205&gt;=2,"Medir+Sig Max","No"),"")))</f>
        <v/>
      </c>
      <c r="CN205" s="1794"/>
      <c r="CO205" s="221">
        <f>IF(CK205="",IF(AND(CE205="",CF205=""),"",IF(CF205="",IF(DE205&gt;1,ROUND(DE205*CE205,3),CE205),IF(DE205&gt;1,ROUND(DE205*CF205,3),CF205))),IF(AND(CE205="",CF205=""),"",IF(CF205="",IF(DE205&gt;1,ROUND(DE205*CE205*(1/(CK205)),3),CE205*(1/(CK205))),IF(DE205&gt;1,ROUND(DE205*CF205*(1/(CK205)),3),CF205*(1/(CK205))))))</f>
        <v/>
      </c>
      <c r="CP205" s="2048">
        <f>$CP$34</f>
        <v/>
      </c>
      <c r="CQ205" s="1473">
        <f>IF(CO205="","",IF(CO205&gt;CP205,"Fail","Pass"))</f>
        <v/>
      </c>
      <c r="CR205" s="1482">
        <f>IF(AND(MAX(CO198:CO205)=CO205,CO205&lt;&gt;0),COUNT($CR$3:CR204)+1,"")</f>
        <v/>
      </c>
      <c r="CS205" s="1566">
        <f>MyTimestamp(CO205)</f>
        <v/>
      </c>
      <c r="CT205" s="1535">
        <f>IF(CE205="",0,15)+IF(CF205="",0,15)</f>
        <v/>
      </c>
      <c r="CU205" s="1536">
        <f>IF(CT205=0,0,2)</f>
        <v/>
      </c>
      <c r="CV205" s="861" t="inlineStr">
        <is>
          <t>S/02</t>
        </is>
      </c>
      <c r="CW205" s="861" t="inlineStr">
        <is>
          <t>Dasy6</t>
        </is>
      </c>
      <c r="CX205" s="2038"/>
      <c r="CY205" s="2050"/>
      <c r="CZ205" s="1545">
        <f>10^(CJ205/20)*100-100</f>
        <v/>
      </c>
      <c r="DA205" s="1327">
        <f>IF('Tune-Up'!$H$21="","",'Tune-Up'!$H$21)</f>
        <v/>
      </c>
      <c r="DB205" s="703">
        <f>'2G-3G'!BZ29</f>
        <v/>
      </c>
      <c r="DC205" s="771">
        <f>IF(DA205="","",10^(DA205/10))</f>
        <v/>
      </c>
      <c r="DD205" s="1371">
        <f>IF(ISNUMBER(DB205)=FALSE,"",10^(DB205/10))</f>
        <v/>
      </c>
      <c r="DE205" s="1545">
        <f>IF(AND(ISNUMBER(DC205),ISNUMBER(DD205)),IF(DC205/DD205&gt;1,ROUND((DC205)/DD205,3),1),1)</f>
        <v/>
      </c>
      <c r="DF205" s="1541"/>
      <c r="DG205" s="1541"/>
      <c r="DH205" s="1541"/>
      <c r="DI205" s="1541"/>
      <c r="DJ205" s="1541"/>
      <c r="DK205" s="1541"/>
      <c r="DL205" s="1541"/>
      <c r="DM205" s="1541"/>
      <c r="DN205" s="1541"/>
      <c r="DO205" s="1541"/>
      <c r="DP205" s="1541"/>
      <c r="DQ205" s="1541"/>
      <c r="DR205" s="1541"/>
    </row>
    <row r="206" ht="12.75" x14ac:dyDescent="0.2">
      <c r="A206" s="1541"/>
      <c r="B206" s="1541"/>
      <c r="C206"/>
      <c r="D206" s="130">
        <f>IF(BX$198="Close to Ear","EN 62209-1","EN 62209-2")</f>
        <v/>
      </c>
      <c r="E206" s="130">
        <f>IF(CG206="Close to Ear","2016","2010/A1:2019")</f>
        <v/>
      </c>
      <c r="F206" s="1488" t="inlineStr">
        <is>
          <t>5.1</t>
        </is>
      </c>
      <c r="G206" s="1497"/>
      <c r="H206" s="120">
        <f>BV206</f>
        <v/>
      </c>
      <c r="I206" s="120">
        <f>BW206</f>
        <v/>
      </c>
      <c r="J206" s="687">
        <f>BT206</f>
        <v/>
      </c>
      <c r="K206" s="194">
        <f>BU206</f>
        <v/>
      </c>
      <c r="L206" s="115"/>
      <c r="M206" s="120">
        <f>BZ206</f>
        <v/>
      </c>
      <c r="N206" s="119"/>
      <c r="O206" s="131"/>
      <c r="P206" s="6597"/>
      <c r="Q206" s="131"/>
      <c r="R206" s="131"/>
      <c r="S206" s="120">
        <f>CG206</f>
        <v/>
      </c>
      <c r="T206" s="120">
        <f>CC206</f>
        <v/>
      </c>
      <c r="U206" s="120">
        <f>CD206</f>
        <v/>
      </c>
      <c r="V206" s="119"/>
      <c r="W206" s="197">
        <f>CK206*100</f>
        <v/>
      </c>
      <c r="X206" s="119"/>
      <c r="Y206" s="119"/>
      <c r="Z206" s="119"/>
      <c r="AA206" s="115"/>
      <c r="AB206" s="115"/>
      <c r="AC206" s="689">
        <f>IF(OR(BX$198="Close to Ear",BX$198="Close to Head"),"Head",IF(BX$198="Extremity","Extremity","Body"))</f>
        <v/>
      </c>
      <c r="AD206" s="690">
        <f>CA206</f>
        <v/>
      </c>
      <c r="AE206" s="688">
        <f>CB206</f>
        <v/>
      </c>
      <c r="AF206" s="115"/>
      <c r="AG206" s="808">
        <f>IF(AZ206="","N/A",IF(CQ206="Pass","P","F"))</f>
        <v/>
      </c>
      <c r="AH206" s="129"/>
      <c r="AI206" s="129"/>
      <c r="AJ206" s="129"/>
      <c r="AK206" s="119"/>
      <c r="AL206" s="115"/>
      <c r="AM206" s="119"/>
      <c r="AN206" s="119"/>
      <c r="AO206" s="692"/>
      <c r="AP206" s="692"/>
      <c r="AQ206" s="692"/>
      <c r="AR206" s="692"/>
      <c r="AS206" s="692"/>
      <c r="AT206" s="691">
        <f>CE206</f>
        <v/>
      </c>
      <c r="AU206" s="691">
        <f>CF206</f>
        <v/>
      </c>
      <c r="AV206" s="813"/>
      <c r="AW206" s="813"/>
      <c r="AX206" s="197">
        <f>CZ206</f>
        <v/>
      </c>
      <c r="AY206" s="197">
        <f>DE206</f>
        <v/>
      </c>
      <c r="AZ206" s="3379">
        <f>CO206</f>
        <v/>
      </c>
      <c r="BA206" s="3380"/>
      <c r="BB206" s="197">
        <f>CP206</f>
        <v/>
      </c>
      <c r="BC206" s="813"/>
      <c r="BD206" s="197">
        <f>CR206</f>
        <v/>
      </c>
      <c r="BE206" s="121">
        <f>CS206</f>
        <v/>
      </c>
      <c r="BF206" s="122">
        <f>CT206*60</f>
        <v/>
      </c>
      <c r="BG206" s="121">
        <f>BE206</f>
        <v/>
      </c>
      <c r="BH206" s="122">
        <f>CU206*60</f>
        <v/>
      </c>
      <c r="BI206" s="122">
        <f>CV206</f>
        <v/>
      </c>
      <c r="BJ206" s="117"/>
      <c r="BK206" s="812">
        <f>Overview!$E$7</f>
        <v/>
      </c>
      <c r="BL206" s="117"/>
      <c r="BM206" s="836">
        <f>CW206</f>
        <v/>
      </c>
      <c r="BN206" s="812">
        <f>Overview!$P$153</f>
        <v/>
      </c>
      <c r="BO206" s="117"/>
      <c r="BP206" s="117"/>
      <c r="BQ206" s="115"/>
      <c r="BR206" s="1478" t="inlineStr">
        <is>
          <t>N/A</t>
        </is>
      </c>
      <c r="BS206" s="1548"/>
      <c r="BT206" s="2075" t="inlineStr">
        <is>
          <t>GSM</t>
        </is>
      </c>
      <c r="BU206" s="2075">
        <v>1800</v>
      </c>
      <c r="BV206" s="419">
        <f>Overview!$H$28</f>
        <v/>
      </c>
      <c r="BW206" s="2016"/>
      <c r="BX206" s="2075"/>
      <c r="BY206" s="2076"/>
      <c r="BZ206" s="2072"/>
      <c r="CA206" s="418" t="str">
        <f>CONCATENATE(CA204," - Battery check 1")</f>
        <v>TBD - Battery check 1</v>
      </c>
      <c r="CB206" s="201">
        <v>5</v>
      </c>
      <c r="CC206" s="857">
        <f>IF(COUNT($CO$198:$CO$205)=0,"N/A",INDEX($CC$198:$CC$205,MATCH(MAX($CO$198:$CO$205),$CO$198:$CO$205,0)))</f>
        <v/>
      </c>
      <c r="CD206" s="857">
        <f>IF(COUNT($CO$198:$CO$205)=0,"N/A",INDEX($CD$198:$CD$205,MATCH(MAX($CO$198:$CO$205),$CO$198:$CO$205,0)))</f>
        <v/>
      </c>
      <c r="CE206" s="1874"/>
      <c r="CF206" s="1874"/>
      <c r="CG206" s="388" t="inlineStr">
        <is>
          <t>N/A</t>
        </is>
      </c>
      <c r="CH206" s="388">
        <f>BZ206</f>
        <v/>
      </c>
      <c r="CI206" s="388">
        <f>CA206</f>
        <v/>
      </c>
      <c r="CJ206" s="2046"/>
      <c r="CK206" s="2047"/>
      <c r="CL206" s="212">
        <f>IF(CF206=""," ",IF(ABS(CE206-CF206)&lt;=0.25,"Valid","Not valid"))</f>
        <v/>
      </c>
      <c r="CM206" s="213">
        <f> IF(CE206="","",IF(AND(CE206&lt;&gt;"",CF206=""),IF(CE206&gt;=2,"Medir+Sig Max","No"),IF(CF206&lt;&gt;"",IF(CF206&gt;=2,"Medir+Sig Max","No"),"")))</f>
        <v/>
      </c>
      <c r="CN206" s="1794"/>
      <c r="CO206" s="221">
        <f>IF(CK206="",IF(AND(CE206="",CF206=""),"",IF(CF206="",IF(DE206&gt;1,ROUND(DE206*CE206,3),CE206),IF(DE206&gt;1,ROUND(DE206*CF206,3),CF206))),IF(AND(CE206="",CF206=""),"",IF(CF206="",IF(DE206&gt;1,ROUND(DE206*CE206*(1/(CK206)),3),CE206*(1/(CK206))),IF(DE206&gt;1,ROUND(DE206*CF206*(1/(CK206)),3),CF206*(1/(CK206))))))</f>
        <v/>
      </c>
      <c r="CP206" s="2048">
        <f>$CP$34</f>
        <v/>
      </c>
      <c r="CQ206" s="1473">
        <f>IF(CO206="","",IF(CO206&gt;CP206,"Fail","Pass"))</f>
        <v/>
      </c>
      <c r="CR206" s="1482">
        <f>IF(CO206&lt;&gt;"",MAX($CR$3:CR205)+1,"")</f>
        <v/>
      </c>
      <c r="CS206" s="1566">
        <f>MyTimestamp(CQ206)</f>
        <v/>
      </c>
      <c r="CT206" s="1535">
        <f>IF(COUNT(CE206:CF206)=1,15,IF(COUNT(CE206:CF206)=0,0,30))</f>
        <v/>
      </c>
      <c r="CU206" s="1536">
        <f>IF(CT206=0,0,2)</f>
        <v/>
      </c>
      <c r="CV206" s="861" t="inlineStr">
        <is>
          <t>S/02</t>
        </is>
      </c>
      <c r="CW206" s="861" t="inlineStr">
        <is>
          <t>Dasy6</t>
        </is>
      </c>
      <c r="CX206" s="2038"/>
      <c r="CY206" s="2050"/>
      <c r="CZ206" s="1545">
        <f>10^(CJ206/20)*100-100</f>
        <v/>
      </c>
      <c r="DA206" s="1327">
        <f>IF('Tune-Up'!$H$21="","",'Tune-Up'!$H$21)</f>
        <v/>
      </c>
      <c r="DB206" s="703">
        <f>IF(COUNT($CO$198:$CO$205)=0,"N/A",IFERROR(INDEX($DB$198:$DB$205,MATCH(MAX($CO$198:$CO$205),$CO$198:$CO$205,0)),"N/A"))</f>
        <v/>
      </c>
      <c r="DC206" s="771">
        <f>IF(DA206="","",10^(DA206/10))</f>
        <v/>
      </c>
      <c r="DD206" s="1371">
        <f>IF(ISNUMBER(DB206)=FALSE,"N/A",10^(DB206/10))</f>
        <v/>
      </c>
      <c r="DE206" s="1545">
        <f>IF(AND(ISNUMBER(DC206),ISNUMBER(DD206)),IF(DC206/DD206&gt;1,ROUND((DC206)/DD206,3),1),1)</f>
        <v/>
      </c>
      <c r="DF206" s="1541"/>
      <c r="DG206" s="1541"/>
      <c r="DH206" s="1541"/>
      <c r="DI206" s="1541"/>
      <c r="DJ206" s="1541"/>
      <c r="DK206" s="1541"/>
      <c r="DL206" s="1541"/>
      <c r="DM206" s="1541"/>
      <c r="DN206" s="1541"/>
      <c r="DO206" s="1541"/>
      <c r="DP206" s="1541"/>
      <c r="DQ206" s="1541"/>
      <c r="DR206" s="1541"/>
    </row>
    <row r="207" ht="12.75" x14ac:dyDescent="0.2">
      <c r="A207" s="1541"/>
      <c r="B207" s="1541"/>
      <c r="C207"/>
      <c r="D207" s="130">
        <f>IF(BX$198="Close to Ear","EN 62209-1","EN 62209-2")</f>
        <v/>
      </c>
      <c r="E207" s="130">
        <f>IF(CG207="Close to Ear","2016","2010/A1:2019")</f>
        <v/>
      </c>
      <c r="F207" s="1488" t="inlineStr">
        <is>
          <t>5.1</t>
        </is>
      </c>
      <c r="G207" s="1497"/>
      <c r="H207" s="120">
        <f>BV207</f>
        <v/>
      </c>
      <c r="I207" s="120">
        <f>BW207</f>
        <v/>
      </c>
      <c r="J207" s="687">
        <f>BT207</f>
        <v/>
      </c>
      <c r="K207" s="194">
        <f>BU207</f>
        <v/>
      </c>
      <c r="L207" s="115"/>
      <c r="M207" s="120">
        <f>BZ207</f>
        <v/>
      </c>
      <c r="N207" s="119"/>
      <c r="O207" s="131"/>
      <c r="P207" s="6597"/>
      <c r="Q207" s="131"/>
      <c r="R207" s="131"/>
      <c r="S207" s="120">
        <f>CG207</f>
        <v/>
      </c>
      <c r="T207" s="120">
        <f>CC207</f>
        <v/>
      </c>
      <c r="U207" s="120">
        <f>CD207</f>
        <v/>
      </c>
      <c r="V207" s="119"/>
      <c r="W207" s="197">
        <f>CK207*100</f>
        <v/>
      </c>
      <c r="X207" s="119"/>
      <c r="Y207" s="119"/>
      <c r="Z207" s="119"/>
      <c r="AA207" s="115"/>
      <c r="AB207" s="115"/>
      <c r="AC207" s="689">
        <f>IF(OR(BX$198="Close to Ear",BX$198="Close to Head"),"Head",IF(BX$198="Extremity","Extremity","Body"))</f>
        <v/>
      </c>
      <c r="AD207" s="690">
        <f>CA207</f>
        <v/>
      </c>
      <c r="AE207" s="688">
        <f>CB207</f>
        <v/>
      </c>
      <c r="AF207" s="115"/>
      <c r="AG207" s="808">
        <f>IF(AZ207="","N/A",IF(CQ207="Pass","P","F"))</f>
        <v/>
      </c>
      <c r="AH207" s="129"/>
      <c r="AI207" s="129"/>
      <c r="AJ207" s="129"/>
      <c r="AK207" s="119"/>
      <c r="AL207" s="115"/>
      <c r="AM207" s="119"/>
      <c r="AN207" s="119"/>
      <c r="AO207" s="692"/>
      <c r="AP207" s="692"/>
      <c r="AQ207" s="692"/>
      <c r="AR207" s="692"/>
      <c r="AS207" s="692"/>
      <c r="AT207" s="691">
        <f>CE207</f>
        <v/>
      </c>
      <c r="AU207" s="691">
        <f>CF207</f>
        <v/>
      </c>
      <c r="AV207" s="813"/>
      <c r="AW207" s="813"/>
      <c r="AX207" s="197">
        <f>CZ207</f>
        <v/>
      </c>
      <c r="AY207" s="197">
        <f>DE207</f>
        <v/>
      </c>
      <c r="AZ207" s="3379">
        <f>CO207</f>
        <v/>
      </c>
      <c r="BA207" s="3380"/>
      <c r="BB207" s="197">
        <f>CP207</f>
        <v/>
      </c>
      <c r="BC207" s="813"/>
      <c r="BD207" s="197">
        <f>CR207</f>
        <v/>
      </c>
      <c r="BE207" s="121">
        <f>CS207</f>
        <v/>
      </c>
      <c r="BF207" s="122">
        <f>CT207*60</f>
        <v/>
      </c>
      <c r="BG207" s="121">
        <f>BE207</f>
        <v/>
      </c>
      <c r="BH207" s="122">
        <f>CU207*60</f>
        <v/>
      </c>
      <c r="BI207" s="122">
        <f>CV207</f>
        <v/>
      </c>
      <c r="BJ207" s="117"/>
      <c r="BK207" s="812">
        <f>Overview!$E$7</f>
        <v/>
      </c>
      <c r="BL207" s="117"/>
      <c r="BM207" s="836">
        <f>CW207</f>
        <v/>
      </c>
      <c r="BN207" s="812">
        <f>Overview!$P$153</f>
        <v/>
      </c>
      <c r="BO207" s="117"/>
      <c r="BP207" s="117"/>
      <c r="BQ207" s="115"/>
      <c r="BR207" s="1478" t="inlineStr">
        <is>
          <t>N/A</t>
        </is>
      </c>
      <c r="BS207" s="1548"/>
      <c r="BT207" s="2075" t="inlineStr">
        <is>
          <t>GSM</t>
        </is>
      </c>
      <c r="BU207" s="2075">
        <v>1800</v>
      </c>
      <c r="BV207" s="419">
        <f>Overview!$H$28</f>
        <v/>
      </c>
      <c r="BW207" s="2016"/>
      <c r="BX207" s="2075"/>
      <c r="BY207" s="2076"/>
      <c r="BZ207" s="2072"/>
      <c r="CA207" s="418" t="str">
        <f>CONCATENATE(CA205," - Battery check 2")</f>
        <v>TBD - Battery check 2</v>
      </c>
      <c r="CB207" s="201">
        <v>5</v>
      </c>
      <c r="CC207" s="857">
        <f>IF(COUNT($CO$198:$CO$205)=0,"N/A",INDEX($CC$198:$CC$205,MATCH(MAX($CO$198:$CO$205),$CO$198:$CO$205,0)))</f>
        <v/>
      </c>
      <c r="CD207" s="857">
        <f>IF(COUNT($CO$198:$CO$205)=0,"N/A",INDEX($CD$198:$CD$205,MATCH(MAX($CO$198:$CO$205),$CO$198:$CO$205,0)))</f>
        <v/>
      </c>
      <c r="CE207" s="1874"/>
      <c r="CF207" s="1874"/>
      <c r="CG207" s="388" t="inlineStr">
        <is>
          <t>N/A</t>
        </is>
      </c>
      <c r="CH207" s="388">
        <f>BZ207</f>
        <v/>
      </c>
      <c r="CI207" s="388">
        <f>CA207</f>
        <v/>
      </c>
      <c r="CJ207" s="2046"/>
      <c r="CK207" s="2047"/>
      <c r="CL207" s="212">
        <f>IF(CF207=""," ",IF(ABS(CE207-CF207)&lt;=0.25,"Valid","Not valid"))</f>
        <v/>
      </c>
      <c r="CM207" s="213">
        <f> IF(CE207="","",IF(AND(CE207&lt;&gt;"",CF207=""),IF(CE207&gt;=2,"Medir+Sig Max","No"),IF(CF207&lt;&gt;"",IF(CF207&gt;=2,"Medir+Sig Max","No"),"")))</f>
        <v/>
      </c>
      <c r="CN207" s="1794"/>
      <c r="CO207" s="221">
        <f>IF(CK207="",IF(AND(CE207="",CF207=""),"",IF(CF207="",IF(DE207&gt;1,ROUND(DE207*CE207,3),CE207),IF(DE207&gt;1,ROUND(DE207*CF207,3),CF207))),IF(AND(CE207="",CF207=""),"",IF(CF207="",IF(DE207&gt;1,ROUND(DE207*CE207*(1/(CK207)),3),CE207*(1/(CK207))),IF(DE207&gt;1,ROUND(DE207*CF207*(1/(CK207)),3),CF207*(1/(CK207))))))</f>
        <v/>
      </c>
      <c r="CP207" s="2048">
        <f>$CP$34</f>
        <v/>
      </c>
      <c r="CQ207" s="1473">
        <f>IF(CO207="","",IF(CO207&gt;CP207,"Fail","Pass"))</f>
        <v/>
      </c>
      <c r="CR207" s="1482">
        <f>IF(CO207&lt;&gt;"",MAX($CR$3:CR206)+1,"")</f>
        <v/>
      </c>
      <c r="CS207" s="1566">
        <f>MyTimestamp(CQ207)</f>
        <v/>
      </c>
      <c r="CT207" s="1535">
        <f>IF(COUNT(CE207:CF207)=1,15,IF(COUNT(CE207:CF207)=0,0,30))</f>
        <v/>
      </c>
      <c r="CU207" s="1536">
        <f>IF(CT207=0,0,2)</f>
        <v/>
      </c>
      <c r="CV207" s="861" t="inlineStr">
        <is>
          <t>S/02</t>
        </is>
      </c>
      <c r="CW207" s="861" t="inlineStr">
        <is>
          <t>Dasy6</t>
        </is>
      </c>
      <c r="CX207" s="2038"/>
      <c r="CY207" s="2050"/>
      <c r="CZ207" s="1545">
        <f>10^(CJ207/20)*100-100</f>
        <v/>
      </c>
      <c r="DA207" s="1327">
        <f>IF('Tune-Up'!$H$21="","",'Tune-Up'!$H$21)</f>
        <v/>
      </c>
      <c r="DB207" s="703">
        <f>IF(COUNT($CO$198:$CO$205)=0,"N/A",IFERROR(INDEX($DB$198:$DB$205,MATCH(MAX($CO$198:$CO$205),$CO$198:$CO$205,0)),"N/A"))</f>
        <v/>
      </c>
      <c r="DC207" s="771">
        <f>IF(DA207="","",10^(DA207/10))</f>
        <v/>
      </c>
      <c r="DD207" s="1371">
        <f>IF(ISNUMBER(DB207)=FALSE,"N/A",10^(DB207/10))</f>
        <v/>
      </c>
      <c r="DE207" s="1545">
        <f>IF(AND(ISNUMBER(DC207),ISNUMBER(DD207)),IF(DC207/DD207&gt;1,ROUND((DC207)/DD207,3),1),1)</f>
        <v/>
      </c>
      <c r="DF207" s="1541"/>
      <c r="DG207" s="1541"/>
      <c r="DH207" s="1541"/>
      <c r="DI207" s="1541"/>
      <c r="DJ207" s="1541"/>
      <c r="DK207" s="1541"/>
      <c r="DL207" s="1541"/>
      <c r="DM207" s="1541"/>
      <c r="DN207" s="1541"/>
      <c r="DO207" s="1541"/>
      <c r="DP207" s="1541"/>
      <c r="DQ207" s="1541"/>
      <c r="DR207" s="1541"/>
    </row>
    <row r="208" ht="12.75" x14ac:dyDescent="0.2">
      <c r="A208" s="1541"/>
      <c r="B208" s="1541"/>
      <c r="C208"/>
      <c r="D208" s="130">
        <f>IF(BX$208="Close to Ear","EN 62209-1","EN 62209-2")</f>
        <v/>
      </c>
      <c r="E208" s="130">
        <f>IF(CG208="Close to Ear","2016","2010/A1:2019")</f>
        <v/>
      </c>
      <c r="F208" s="1488" t="inlineStr">
        <is>
          <t>5.1</t>
        </is>
      </c>
      <c r="G208" s="1497"/>
      <c r="H208" s="120">
        <f>BV208</f>
        <v/>
      </c>
      <c r="I208" s="120">
        <f>BW208</f>
        <v/>
      </c>
      <c r="J208" s="687" t="str">
        <f>BT208</f>
        <v>GSM</v>
      </c>
      <c r="K208" s="194">
        <f>BU208</f>
        <v>1800</v>
      </c>
      <c r="L208" s="115"/>
      <c r="M208" s="120">
        <f>BZ208</f>
        <v>0</v>
      </c>
      <c r="N208" s="119"/>
      <c r="O208" s="131"/>
      <c r="P208" s="6597"/>
      <c r="Q208" s="131"/>
      <c r="R208" s="131"/>
      <c r="S208" s="120">
        <f>CG208</f>
        <v>0</v>
      </c>
      <c r="T208" s="120">
        <f>CC208</f>
        <v>698</v>
      </c>
      <c r="U208" s="120">
        <f>CD208</f>
        <v>1747.4</v>
      </c>
      <c r="V208" s="119"/>
      <c r="W208" s="197">
        <f>CK208*100</f>
        <v/>
      </c>
      <c r="X208" s="119"/>
      <c r="Y208" s="119"/>
      <c r="Z208" s="119"/>
      <c r="AA208" s="115"/>
      <c r="AB208" s="115"/>
      <c r="AC208" s="689">
        <f>IF(OR(BX$208="Close to Ear",BX$208="Close to Head"),"Head",IF(BX$208="Extremity","Extremity","Body"))</f>
        <v/>
      </c>
      <c r="AD208" s="690">
        <f>CA208</f>
        <v/>
      </c>
      <c r="AE208" s="688">
        <f>CB208</f>
        <v/>
      </c>
      <c r="AF208" s="115"/>
      <c r="AG208" s="808">
        <f>IF(AZ208="","N/A",IF(CQ208="Pass","P","F"))</f>
        <v/>
      </c>
      <c r="AH208" s="129"/>
      <c r="AI208" s="129"/>
      <c r="AJ208" s="129"/>
      <c r="AK208" s="119"/>
      <c r="AL208" s="115"/>
      <c r="AM208" s="119"/>
      <c r="AN208" s="119"/>
      <c r="AO208" s="692"/>
      <c r="AP208" s="692"/>
      <c r="AQ208" s="692"/>
      <c r="AR208" s="692"/>
      <c r="AS208" s="692"/>
      <c r="AT208" s="691">
        <f>CE208</f>
        <v/>
      </c>
      <c r="AU208" s="691">
        <f>CF208</f>
        <v/>
      </c>
      <c r="AV208" s="813"/>
      <c r="AW208" s="813"/>
      <c r="AX208" s="197">
        <f>CZ208</f>
        <v/>
      </c>
      <c r="AY208" s="197">
        <f>DE208</f>
        <v/>
      </c>
      <c r="AZ208" s="3379">
        <f>CO208</f>
        <v/>
      </c>
      <c r="BA208" s="3380"/>
      <c r="BB208" s="197">
        <f>CP208</f>
        <v/>
      </c>
      <c r="BC208" s="813"/>
      <c r="BD208" s="197">
        <f>CR208</f>
        <v/>
      </c>
      <c r="BE208" s="121">
        <f>CS208</f>
        <v/>
      </c>
      <c r="BF208" s="122">
        <f>CT208*60</f>
        <v/>
      </c>
      <c r="BG208" s="121">
        <f>BE208</f>
        <v/>
      </c>
      <c r="BH208" s="122">
        <f>CU208*60</f>
        <v/>
      </c>
      <c r="BI208" s="122">
        <f>CV208</f>
        <v/>
      </c>
      <c r="BJ208" s="117"/>
      <c r="BK208" s="812">
        <f>Overview!$E$7</f>
        <v/>
      </c>
      <c r="BL208" s="117"/>
      <c r="BM208" s="836">
        <f>CW208</f>
        <v/>
      </c>
      <c r="BN208" s="812">
        <f>Overview!$P$153</f>
        <v/>
      </c>
      <c r="BO208" s="117"/>
      <c r="BP208" s="117"/>
      <c r="BQ208" s="115"/>
      <c r="BR208" s="1478" t="inlineStr">
        <is>
          <t>N/A</t>
        </is>
      </c>
      <c r="BS208" s="1548"/>
      <c r="BT208" s="2067" t="inlineStr">
        <is>
          <t>GSM</t>
        </is>
      </c>
      <c r="BU208" s="2067">
        <v>1800</v>
      </c>
      <c r="BV208" s="1306">
        <f>Overview!$H$29</f>
        <v/>
      </c>
      <c r="BW208" s="2007"/>
      <c r="BX208" s="7674" t="inlineStr">
        <is>
          <t>Close to Ear</t>
        </is>
      </c>
      <c r="BY208" s="2068"/>
      <c r="BZ208" s="2068"/>
      <c r="CA208" s="2069" t="inlineStr">
        <is>
          <t>Left Cheek</t>
        </is>
      </c>
      <c r="CB208" s="2069">
        <v>0</v>
      </c>
      <c r="CC208" s="856">
        <f>'2G-3G'!BX30</f>
        <v>698</v>
      </c>
      <c r="CD208" s="856">
        <f>'2G-3G'!BY30</f>
        <v>1747.4</v>
      </c>
      <c r="CE208" s="1522"/>
      <c r="CF208" s="1522"/>
      <c r="CG208" s="386" t="str">
        <f>IF(OR($BY$167="",$BY$167=""),"",$BY$167)</f>
        <v/>
      </c>
      <c r="CH208" s="386">
        <f>BZ208</f>
        <v/>
      </c>
      <c r="CI208" s="386">
        <f>CA208</f>
        <v/>
      </c>
      <c r="CJ208" s="1526"/>
      <c r="CK208" s="2070"/>
      <c r="CL208" s="203">
        <f>IF(CF208=""," ",IF(ABS(CE208-CF208)&lt;=0.125,"Valid","Not valid"))</f>
        <v/>
      </c>
      <c r="CM208" s="204">
        <f> IF(CE208="","",IF(AND(CE208&lt;&gt;"",CF208=""),IF(CE208&gt;=1,"Medir+Sig Max","No"),IF(CF208&lt;&gt;"",IF(CF208&gt;=1,"Medir+Sig Max","No"),"")))</f>
        <v/>
      </c>
      <c r="CN208" s="1798"/>
      <c r="CO208" s="219">
        <f>IF(CK208="",IF(AND(CE208="",CF208=""),"",IF(CF208="",IF(DE208&gt;1,ROUND(DE208*CE208,3),CE208),IF(DE208&gt;1,ROUND(DE208*CF208,3),CF208))),IF(AND(CE208="",CF208=""),"",IF(CF208="",IF(DE208&gt;1,ROUND(DE208*CE208*(1/(CK208)),3),CE208*(1/(CK208))),IF(DE208&gt;1,ROUND(DE208*CF208*(1/(CK208)),3),CF208*(1/(CK208))))))</f>
        <v/>
      </c>
      <c r="CP208" s="2037">
        <f>$CP$3</f>
        <v/>
      </c>
      <c r="CQ208" s="1471">
        <f>IF(CO208="","",IF(CO208&gt;CP208,"Fail","Pass"))</f>
        <v/>
      </c>
      <c r="CR208" s="1480">
        <f>IF(AND(MAX(CO208:CO213)=CO208,CO208&lt;&gt;0),COUNT($CR$3:CR205)+1,"")</f>
        <v/>
      </c>
      <c r="CS208" s="1564">
        <f>MyTimestamp(CO208)</f>
        <v/>
      </c>
      <c r="CT208" s="1529">
        <f>IF(CE208="",0,15)+IF(CF208="",0,15)</f>
        <v/>
      </c>
      <c r="CU208" s="1530">
        <f>IF(CT208=0,0,2)</f>
        <v/>
      </c>
      <c r="CV208" s="862" t="inlineStr">
        <is>
          <t>S/02</t>
        </is>
      </c>
      <c r="CW208" s="862" t="inlineStr">
        <is>
          <t>Dasy6</t>
        </is>
      </c>
      <c r="CX208" s="2038"/>
      <c r="CY208" s="2039"/>
      <c r="CZ208" s="1542">
        <f>10^(CJ208/20)*100-100</f>
        <v/>
      </c>
      <c r="DA208" s="1324">
        <f>IF('Tune-Up'!$H$21="","",'Tune-Up'!$H$21)</f>
        <v/>
      </c>
      <c r="DB208" s="700">
        <f>'2G-3G'!BZ30</f>
        <v/>
      </c>
      <c r="DC208" s="768">
        <f>IF(DA208="","",10^(DA208/10))</f>
        <v/>
      </c>
      <c r="DD208" s="1368">
        <f>IF(ISNUMBER(DB208)=FALSE,"",10^(DB208/10))</f>
        <v/>
      </c>
      <c r="DE208" s="1542">
        <f>IF(AND(ISNUMBER(DC208),ISNUMBER(DD208)),IF(DC208/DD208&gt;1,ROUND((DC208)/DD208,3),1),1)</f>
        <v/>
      </c>
      <c r="DF208" s="1541"/>
      <c r="DG208" s="1541"/>
      <c r="DH208" s="1541"/>
      <c r="DI208" s="1541"/>
      <c r="DJ208" s="1541"/>
      <c r="DK208" s="1541"/>
      <c r="DL208" s="1541"/>
      <c r="DM208" s="1541"/>
      <c r="DN208" s="1541"/>
      <c r="DO208" s="1541"/>
      <c r="DP208" s="1541"/>
      <c r="DQ208" s="1541"/>
      <c r="DR208" s="1541"/>
    </row>
    <row r="209" ht="12.75" x14ac:dyDescent="0.2">
      <c r="A209" s="1541"/>
      <c r="B209" s="1541"/>
      <c r="C209"/>
      <c r="D209" s="130">
        <f>IF(BX$208="Close to Ear","EN 62209-1","EN 62209-2")</f>
        <v/>
      </c>
      <c r="E209" s="130">
        <f>IF(CG209="Close to Ear","2016","2010/A1:2019")</f>
        <v/>
      </c>
      <c r="F209" s="1488" t="inlineStr">
        <is>
          <t>5.1</t>
        </is>
      </c>
      <c r="G209" s="1497"/>
      <c r="H209" s="120">
        <f>BV209</f>
        <v/>
      </c>
      <c r="I209" s="120">
        <f>BW209</f>
        <v/>
      </c>
      <c r="J209" s="687" t="str">
        <f>BT209</f>
        <v>GSM</v>
      </c>
      <c r="K209" s="194">
        <f>BU209</f>
        <v>1800</v>
      </c>
      <c r="L209" s="115"/>
      <c r="M209" s="120">
        <f>BZ209</f>
        <v>0</v>
      </c>
      <c r="N209" s="119"/>
      <c r="O209" s="131"/>
      <c r="P209" s="6597"/>
      <c r="Q209" s="131"/>
      <c r="R209" s="131"/>
      <c r="S209" s="120">
        <f>CG209</f>
        <v>0</v>
      </c>
      <c r="T209" s="120">
        <f>CC209</f>
        <v>698</v>
      </c>
      <c r="U209" s="120">
        <f>CD209</f>
        <v>1747.4</v>
      </c>
      <c r="V209" s="119"/>
      <c r="W209" s="197">
        <f>CK209*100</f>
        <v/>
      </c>
      <c r="X209" s="119"/>
      <c r="Y209" s="119"/>
      <c r="Z209" s="119"/>
      <c r="AA209" s="115"/>
      <c r="AB209" s="115"/>
      <c r="AC209" s="689">
        <f>IF(OR(BX$208="Close to Ear",BX$208="Close to Head"),"Head",IF(BX$208="Extremity","Extremity","Body"))</f>
        <v/>
      </c>
      <c r="AD209" s="690">
        <f>CA209</f>
        <v/>
      </c>
      <c r="AE209" s="688">
        <f>CB209</f>
        <v/>
      </c>
      <c r="AF209" s="115"/>
      <c r="AG209" s="808">
        <f>IF(AZ209="","N/A",IF(CQ209="Pass","P","F"))</f>
        <v/>
      </c>
      <c r="AH209" s="129"/>
      <c r="AI209" s="129"/>
      <c r="AJ209" s="129"/>
      <c r="AK209" s="119"/>
      <c r="AL209" s="115"/>
      <c r="AM209" s="119"/>
      <c r="AN209" s="119"/>
      <c r="AO209" s="692"/>
      <c r="AP209" s="692"/>
      <c r="AQ209" s="692"/>
      <c r="AR209" s="692"/>
      <c r="AS209" s="692"/>
      <c r="AT209" s="691">
        <f>CE209</f>
        <v/>
      </c>
      <c r="AU209" s="691">
        <f>CF209</f>
        <v/>
      </c>
      <c r="AV209" s="813"/>
      <c r="AW209" s="813"/>
      <c r="AX209" s="197">
        <f>CZ209</f>
        <v/>
      </c>
      <c r="AY209" s="197">
        <f>DE209</f>
        <v/>
      </c>
      <c r="AZ209" s="3379">
        <f>CO209</f>
        <v/>
      </c>
      <c r="BA209" s="3380"/>
      <c r="BB209" s="197">
        <f>CP209</f>
        <v/>
      </c>
      <c r="BC209" s="813"/>
      <c r="BD209" s="197">
        <f>CR209</f>
        <v/>
      </c>
      <c r="BE209" s="121">
        <f>CS209</f>
        <v/>
      </c>
      <c r="BF209" s="122">
        <f>CT209*60</f>
        <v/>
      </c>
      <c r="BG209" s="121">
        <f>BE209</f>
        <v/>
      </c>
      <c r="BH209" s="122">
        <f>CU209*60</f>
        <v/>
      </c>
      <c r="BI209" s="122">
        <f>CV209</f>
        <v/>
      </c>
      <c r="BJ209" s="117"/>
      <c r="BK209" s="812">
        <f>Overview!$E$7</f>
        <v/>
      </c>
      <c r="BL209" s="117"/>
      <c r="BM209" s="836">
        <f>CW209</f>
        <v/>
      </c>
      <c r="BN209" s="812">
        <f>Overview!$P$153</f>
        <v/>
      </c>
      <c r="BO209" s="117"/>
      <c r="BP209" s="117"/>
      <c r="BQ209" s="115"/>
      <c r="BR209" s="1478" t="inlineStr">
        <is>
          <t>N/A</t>
        </is>
      </c>
      <c r="BS209" s="1548"/>
      <c r="BT209" s="2071" t="inlineStr">
        <is>
          <t>GSM</t>
        </is>
      </c>
      <c r="BU209" s="2071">
        <v>1800</v>
      </c>
      <c r="BV209" s="415">
        <f>Overview!$H$29</f>
        <v/>
      </c>
      <c r="BW209" s="2010"/>
      <c r="BX209" s="2071"/>
      <c r="BY209" s="2072"/>
      <c r="BZ209" s="2072"/>
      <c r="CA209" s="2073" t="inlineStr">
        <is>
          <t>Left Tilt</t>
        </is>
      </c>
      <c r="CB209" s="2073">
        <v>0</v>
      </c>
      <c r="CC209" s="902">
        <f>'2G-3G'!BX30</f>
        <v>698</v>
      </c>
      <c r="CD209" s="902">
        <f>'2G-3G'!BY30</f>
        <v>1747.4</v>
      </c>
      <c r="CE209" s="1523"/>
      <c r="CF209" s="1523"/>
      <c r="CG209" s="387" t="str">
        <f>IF(OR($BY$167="",$BY$167=""),"",$BY$167)</f>
        <v/>
      </c>
      <c r="CH209" s="387">
        <f>BZ209</f>
        <v/>
      </c>
      <c r="CI209" s="387">
        <f>CA209</f>
        <v/>
      </c>
      <c r="CJ209" s="1527"/>
      <c r="CK209" s="2042"/>
      <c r="CL209" s="206">
        <f>IF(CF209=""," ",IF(ABS(CE209-CF209)&lt;=0.125,"Valid","Not valid"))</f>
        <v/>
      </c>
      <c r="CM209" s="207">
        <f> IF(CE209="","",IF(AND(CE209&lt;&gt;"",CF209=""),IF(CE209&gt;=1,"Medir+Sig Max","No"),IF(CF209&lt;&gt;"",IF(CF209&gt;=1,"Medir+Sig Max","No"),"")))</f>
        <v/>
      </c>
      <c r="CN209" s="1787"/>
      <c r="CO209" s="220">
        <f>IF(CK209="",IF(AND(CE209="",CF209=""),"",IF(CF209="",IF(DE209&gt;1,ROUND(DE209*CE209,3),CE209),IF(DE209&gt;1,ROUND(DE209*CF209,3),CF209))),IF(AND(CE209="",CF209=""),"",IF(CF209="",IF(DE209&gt;1,ROUND(DE209*CE209*(1/(CK209)),3),CE209*(1/(CK209))),IF(DE209&gt;1,ROUND(DE209*CF209*(1/(CK209)),3),CF209*(1/(CK209))))))</f>
        <v/>
      </c>
      <c r="CP209" s="2043">
        <f>$CP$3</f>
        <v/>
      </c>
      <c r="CQ209" s="1472">
        <f>IF(CO209="","",IF(CO209&gt;CP209,"Fail","Pass"))</f>
        <v/>
      </c>
      <c r="CR209" s="1481">
        <f>IF(AND(MAX(CO208:CO213)=CO209,CO209&lt;&gt;0),COUNT($CR$3:CR208)+1,"")</f>
        <v/>
      </c>
      <c r="CS209" s="1565">
        <f>MyTimestamp(CO209)</f>
        <v/>
      </c>
      <c r="CT209" s="1531">
        <f>IF(CE209="",0,15)+IF(CF209="",0,15)</f>
        <v/>
      </c>
      <c r="CU209" s="1532">
        <f>IF(CT209=0,0,2)</f>
        <v/>
      </c>
      <c r="CV209" s="859" t="inlineStr">
        <is>
          <t>S/02</t>
        </is>
      </c>
      <c r="CW209" s="859" t="inlineStr">
        <is>
          <t>Dasy6</t>
        </is>
      </c>
      <c r="CX209" s="2038"/>
      <c r="CY209" s="2044"/>
      <c r="CZ209" s="1543">
        <f>10^(CJ209/20)*100-100</f>
        <v/>
      </c>
      <c r="DA209" s="1325">
        <f>IF('Tune-Up'!$H$21="","",'Tune-Up'!$H$21)</f>
        <v/>
      </c>
      <c r="DB209" s="701">
        <f>'2G-3G'!BZ30</f>
        <v/>
      </c>
      <c r="DC209" s="769">
        <f>IF(DA209="","",10^(DA209/10))</f>
        <v/>
      </c>
      <c r="DD209" s="1369">
        <f>IF(ISNUMBER(DB209)=FALSE,"",10^(DB209/10))</f>
        <v/>
      </c>
      <c r="DE209" s="1543">
        <f>IF(AND(ISNUMBER(DC209),ISNUMBER(DD209)),IF(DC209/DD209&gt;1,ROUND((DC209)/DD209,3),1),1)</f>
        <v/>
      </c>
      <c r="DF209" s="1541"/>
      <c r="DG209" s="1541"/>
      <c r="DH209" s="1541"/>
      <c r="DI209" s="1541"/>
      <c r="DJ209" s="1541"/>
      <c r="DK209" s="1541"/>
      <c r="DL209" s="1541"/>
      <c r="DM209" s="1541"/>
      <c r="DN209" s="1541"/>
      <c r="DO209" s="1541"/>
      <c r="DP209" s="1541"/>
      <c r="DQ209" s="1541"/>
      <c r="DR209" s="1541"/>
    </row>
    <row r="210" ht="12.75" x14ac:dyDescent="0.2">
      <c r="A210" s="1541"/>
      <c r="B210" s="1541"/>
      <c r="C210"/>
      <c r="D210" s="130">
        <f>IF(BX$208="Close to Ear","EN 62209-1","EN 62209-2")</f>
        <v/>
      </c>
      <c r="E210" s="130">
        <f>IF(CG210="Close to Ear","2016","2010/A1:2019")</f>
        <v/>
      </c>
      <c r="F210" s="1488" t="inlineStr">
        <is>
          <t>5.1</t>
        </is>
      </c>
      <c r="G210" s="1497"/>
      <c r="H210" s="120">
        <f>BV210</f>
        <v/>
      </c>
      <c r="I210" s="120">
        <f>BW210</f>
        <v/>
      </c>
      <c r="J210" s="687" t="str">
        <f>BT210</f>
        <v>GSM</v>
      </c>
      <c r="K210" s="194">
        <f>BU210</f>
        <v>1800</v>
      </c>
      <c r="L210" s="115"/>
      <c r="M210" s="120">
        <f>BZ210</f>
        <v>0</v>
      </c>
      <c r="N210" s="119"/>
      <c r="O210" s="131"/>
      <c r="P210" s="6597"/>
      <c r="Q210" s="131"/>
      <c r="R210" s="131"/>
      <c r="S210" s="120">
        <f>CG210</f>
        <v>0</v>
      </c>
      <c r="T210" s="120">
        <f>CC210</f>
        <v>698</v>
      </c>
      <c r="U210" s="120">
        <f>CD210</f>
        <v>1747.4</v>
      </c>
      <c r="V210" s="119"/>
      <c r="W210" s="197">
        <f>CK210*100</f>
        <v/>
      </c>
      <c r="X210" s="119"/>
      <c r="Y210" s="119"/>
      <c r="Z210" s="119"/>
      <c r="AA210" s="115"/>
      <c r="AB210" s="115"/>
      <c r="AC210" s="689">
        <f>IF(OR(BX$208="Close to Ear",BX$208="Close to Head"),"Head",IF(BX$208="Extremity","Extremity","Body"))</f>
        <v/>
      </c>
      <c r="AD210" s="690">
        <f>CA210</f>
        <v/>
      </c>
      <c r="AE210" s="688">
        <f>CB210</f>
        <v/>
      </c>
      <c r="AF210" s="115"/>
      <c r="AG210" s="808">
        <f>IF(AZ210="","N/A",IF(CQ210="Pass","P","F"))</f>
        <v/>
      </c>
      <c r="AH210" s="129"/>
      <c r="AI210" s="129"/>
      <c r="AJ210" s="129"/>
      <c r="AK210" s="119"/>
      <c r="AL210" s="115"/>
      <c r="AM210" s="119"/>
      <c r="AN210" s="119"/>
      <c r="AO210" s="692"/>
      <c r="AP210" s="692"/>
      <c r="AQ210" s="692"/>
      <c r="AR210" s="692"/>
      <c r="AS210" s="692"/>
      <c r="AT210" s="691">
        <f>CE210</f>
        <v/>
      </c>
      <c r="AU210" s="691">
        <f>CF210</f>
        <v/>
      </c>
      <c r="AV210" s="813"/>
      <c r="AW210" s="813"/>
      <c r="AX210" s="197">
        <f>CZ210</f>
        <v/>
      </c>
      <c r="AY210" s="197">
        <f>DE210</f>
        <v/>
      </c>
      <c r="AZ210" s="3379">
        <f>CO210</f>
        <v/>
      </c>
      <c r="BA210" s="3380"/>
      <c r="BB210" s="197">
        <f>CP210</f>
        <v/>
      </c>
      <c r="BC210" s="813"/>
      <c r="BD210" s="197">
        <f>CR210</f>
        <v/>
      </c>
      <c r="BE210" s="121">
        <f>CS210</f>
        <v/>
      </c>
      <c r="BF210" s="122">
        <f>CT210*60</f>
        <v/>
      </c>
      <c r="BG210" s="121">
        <f>BE210</f>
        <v/>
      </c>
      <c r="BH210" s="122">
        <f>CU210*60</f>
        <v/>
      </c>
      <c r="BI210" s="122">
        <f>CV210</f>
        <v/>
      </c>
      <c r="BJ210" s="117"/>
      <c r="BK210" s="812">
        <f>Overview!$E$7</f>
        <v/>
      </c>
      <c r="BL210" s="117"/>
      <c r="BM210" s="836">
        <f>CW210</f>
        <v/>
      </c>
      <c r="BN210" s="812">
        <f>Overview!$P$153</f>
        <v/>
      </c>
      <c r="BO210" s="117"/>
      <c r="BP210" s="117"/>
      <c r="BQ210" s="115"/>
      <c r="BR210" s="1478" t="inlineStr">
        <is>
          <t>N/A</t>
        </is>
      </c>
      <c r="BS210" s="1548"/>
      <c r="BT210" s="1891" t="inlineStr">
        <is>
          <t>GSM</t>
        </is>
      </c>
      <c r="BU210" s="1891">
        <v>1800</v>
      </c>
      <c r="BV210" s="417">
        <f>Overview!$H$29</f>
        <v/>
      </c>
      <c r="BW210" s="2010"/>
      <c r="BX210" s="1891"/>
      <c r="BY210" s="2072"/>
      <c r="BZ210" s="2072"/>
      <c r="CA210" s="2073" t="inlineStr">
        <is>
          <t>Right Cheek</t>
        </is>
      </c>
      <c r="CB210" s="2073">
        <v>0</v>
      </c>
      <c r="CC210" s="902">
        <f>'2G-3G'!BX30</f>
        <v>698</v>
      </c>
      <c r="CD210" s="902">
        <f>'2G-3G'!BY30</f>
        <v>1747.4</v>
      </c>
      <c r="CE210" s="1523"/>
      <c r="CF210" s="1523"/>
      <c r="CG210" s="387" t="str">
        <f>IF(OR($BY$167="",$BY$167=""),"",$BY$167)</f>
        <v/>
      </c>
      <c r="CH210" s="387">
        <f>BZ210</f>
        <v/>
      </c>
      <c r="CI210" s="387">
        <f>CA210</f>
        <v/>
      </c>
      <c r="CJ210" s="1527"/>
      <c r="CK210" s="2042"/>
      <c r="CL210" s="206">
        <f>IF(CF210=""," ",IF(ABS(CE210-CF210)&lt;=0.125,"Valid","Not valid"))</f>
        <v/>
      </c>
      <c r="CM210" s="207">
        <f> IF(CE210="","",IF(AND(CE210&lt;&gt;"",CF210=""),IF(CE210&gt;=1,"Medir+Sig Max","No"),IF(CF210&lt;&gt;"",IF(CF210&gt;=1,"Medir+Sig Max","No"),"")))</f>
        <v/>
      </c>
      <c r="CN210" s="1787"/>
      <c r="CO210" s="220">
        <f>IF(CK210="",IF(AND(CE210="",CF210=""),"",IF(CF210="",IF(DE210&gt;1,ROUND(DE210*CE210,3),CE210),IF(DE210&gt;1,ROUND(DE210*CF210,3),CF210))),IF(AND(CE210="",CF210=""),"",IF(CF210="",IF(DE210&gt;1,ROUND(DE210*CE210*(1/(CK210)),3),CE210*(1/(CK210))),IF(DE210&gt;1,ROUND(DE210*CF210*(1/(CK210)),3),CF210*(1/(CK210))))))</f>
        <v/>
      </c>
      <c r="CP210" s="2043">
        <f>$CP$3</f>
        <v/>
      </c>
      <c r="CQ210" s="1472">
        <f>IF(CO210="","",IF(CO210&gt;CP210,"Fail","Pass"))</f>
        <v/>
      </c>
      <c r="CR210" s="1481">
        <f>IF(AND(MAX(CO208:CO213)=CO210,CO210&lt;&gt;0),COUNT($CR$3:CR209)+1,"")</f>
        <v/>
      </c>
      <c r="CS210" s="1565">
        <f>MyTimestamp(CO210)</f>
        <v/>
      </c>
      <c r="CT210" s="1531">
        <f>IF(CE210="",0,15)+IF(CF210="",0,15)</f>
        <v/>
      </c>
      <c r="CU210" s="1532">
        <f>IF(CT210=0,0,2)</f>
        <v/>
      </c>
      <c r="CV210" s="859" t="inlineStr">
        <is>
          <t>S/02</t>
        </is>
      </c>
      <c r="CW210" s="859" t="inlineStr">
        <is>
          <t>Dasy6</t>
        </is>
      </c>
      <c r="CX210" s="2038"/>
      <c r="CY210" s="2044"/>
      <c r="CZ210" s="1543">
        <f>10^(CJ210/20)*100-100</f>
        <v/>
      </c>
      <c r="DA210" s="1325">
        <f>IF('Tune-Up'!$H$21="","",'Tune-Up'!$H$21)</f>
        <v/>
      </c>
      <c r="DB210" s="701">
        <f>'2G-3G'!BZ30</f>
        <v/>
      </c>
      <c r="DC210" s="769">
        <f>IF(DA210="","",10^(DA210/10))</f>
        <v/>
      </c>
      <c r="DD210" s="1369">
        <f>IF(ISNUMBER(DB210)=FALSE,"",10^(DB210/10))</f>
        <v/>
      </c>
      <c r="DE210" s="1543">
        <f>IF(AND(ISNUMBER(DC210),ISNUMBER(DD210)),IF(DC210/DD210&gt;1,ROUND((DC210)/DD210,3),1),1)</f>
        <v/>
      </c>
      <c r="DF210" s="1541"/>
      <c r="DG210" s="1541"/>
      <c r="DH210" s="1541"/>
      <c r="DI210" s="1541"/>
      <c r="DJ210" s="1541"/>
      <c r="DK210" s="1541"/>
      <c r="DL210" s="1541"/>
      <c r="DM210" s="1541"/>
      <c r="DN210" s="1541"/>
      <c r="DO210" s="1541"/>
      <c r="DP210" s="1541"/>
      <c r="DQ210" s="1541"/>
      <c r="DR210" s="1541"/>
    </row>
    <row r="211" ht="12.75" x14ac:dyDescent="0.2">
      <c r="A211" s="1541"/>
      <c r="B211" s="1541"/>
      <c r="C211"/>
      <c r="D211" s="130">
        <f>IF(BX$208="Close to Ear","EN 62209-1","EN 62209-2")</f>
        <v/>
      </c>
      <c r="E211" s="130">
        <f>IF(CG211="Close to Ear","2016","2010/A1:2019")</f>
        <v/>
      </c>
      <c r="F211" s="1488" t="inlineStr">
        <is>
          <t>5.1</t>
        </is>
      </c>
      <c r="G211" s="1497"/>
      <c r="H211" s="120">
        <f>BV211</f>
        <v/>
      </c>
      <c r="I211" s="120">
        <f>BW211</f>
        <v/>
      </c>
      <c r="J211" s="687" t="str">
        <f>BT211</f>
        <v>GSM</v>
      </c>
      <c r="K211" s="194">
        <f>BU211</f>
        <v>1800</v>
      </c>
      <c r="L211" s="115"/>
      <c r="M211" s="120">
        <f>BZ211</f>
        <v>0</v>
      </c>
      <c r="N211" s="119"/>
      <c r="O211" s="131"/>
      <c r="P211" s="6597"/>
      <c r="Q211" s="131"/>
      <c r="R211" s="131"/>
      <c r="S211" s="120">
        <f>CG211</f>
        <v>0</v>
      </c>
      <c r="T211" s="120">
        <f>CC211</f>
        <v>698</v>
      </c>
      <c r="U211" s="120">
        <f>CD211</f>
        <v>1747.4</v>
      </c>
      <c r="V211" s="119"/>
      <c r="W211" s="197">
        <f>CK211*100</f>
        <v/>
      </c>
      <c r="X211" s="119"/>
      <c r="Y211" s="119"/>
      <c r="Z211" s="119"/>
      <c r="AA211" s="115"/>
      <c r="AB211" s="115"/>
      <c r="AC211" s="689">
        <f>IF(OR(BX$208="Close to Ear",BX$208="Close to Head"),"Head",IF(BX$208="Extremity","Extremity","Body"))</f>
        <v/>
      </c>
      <c r="AD211" s="690">
        <f>CA211</f>
        <v/>
      </c>
      <c r="AE211" s="688">
        <f>CB211</f>
        <v/>
      </c>
      <c r="AF211" s="115"/>
      <c r="AG211" s="808">
        <f>IF(AZ211="","N/A",IF(CQ211="Pass","P","F"))</f>
        <v/>
      </c>
      <c r="AH211" s="129"/>
      <c r="AI211" s="129"/>
      <c r="AJ211" s="129"/>
      <c r="AK211" s="119"/>
      <c r="AL211" s="115"/>
      <c r="AM211" s="119"/>
      <c r="AN211" s="119"/>
      <c r="AO211" s="692"/>
      <c r="AP211" s="692"/>
      <c r="AQ211" s="692"/>
      <c r="AR211" s="692"/>
      <c r="AS211" s="692"/>
      <c r="AT211" s="691">
        <f>CE211</f>
        <v/>
      </c>
      <c r="AU211" s="691">
        <f>CF211</f>
        <v/>
      </c>
      <c r="AV211" s="813"/>
      <c r="AW211" s="813"/>
      <c r="AX211" s="197">
        <f>CZ211</f>
        <v/>
      </c>
      <c r="AY211" s="197">
        <f>DE211</f>
        <v/>
      </c>
      <c r="AZ211" s="3379">
        <f>CO211</f>
        <v/>
      </c>
      <c r="BA211" s="3380"/>
      <c r="BB211" s="197">
        <f>CP211</f>
        <v/>
      </c>
      <c r="BC211" s="813"/>
      <c r="BD211" s="197">
        <f>CR211</f>
        <v/>
      </c>
      <c r="BE211" s="121">
        <f>CS211</f>
        <v/>
      </c>
      <c r="BF211" s="122">
        <f>CT211*60</f>
        <v/>
      </c>
      <c r="BG211" s="121">
        <f>BE211</f>
        <v/>
      </c>
      <c r="BH211" s="122">
        <f>CU211*60</f>
        <v/>
      </c>
      <c r="BI211" s="122">
        <f>CV211</f>
        <v/>
      </c>
      <c r="BJ211" s="117"/>
      <c r="BK211" s="812">
        <f>Overview!$E$7</f>
        <v/>
      </c>
      <c r="BL211" s="117"/>
      <c r="BM211" s="836">
        <f>CW211</f>
        <v/>
      </c>
      <c r="BN211" s="812">
        <f>Overview!$P$153</f>
        <v/>
      </c>
      <c r="BO211" s="117"/>
      <c r="BP211" s="117"/>
      <c r="BQ211" s="115"/>
      <c r="BR211" s="1478" t="inlineStr">
        <is>
          <t>N/A</t>
        </is>
      </c>
      <c r="BS211" s="1548"/>
      <c r="BT211" s="2071" t="inlineStr">
        <is>
          <t>GSM</t>
        </is>
      </c>
      <c r="BU211" s="2071">
        <v>1800</v>
      </c>
      <c r="BV211" s="415">
        <f>Overview!$H$29</f>
        <v/>
      </c>
      <c r="BW211" s="2010"/>
      <c r="BX211" s="2071"/>
      <c r="BY211" s="2072"/>
      <c r="BZ211" s="2072"/>
      <c r="CA211" s="2073" t="inlineStr">
        <is>
          <t>Right Tilt</t>
        </is>
      </c>
      <c r="CB211" s="2073">
        <v>0</v>
      </c>
      <c r="CC211" s="902">
        <f>'2G-3G'!BX30</f>
        <v>698</v>
      </c>
      <c r="CD211" s="902">
        <f>'2G-3G'!BY30</f>
        <v>1747.4</v>
      </c>
      <c r="CE211" s="1523"/>
      <c r="CF211" s="1523"/>
      <c r="CG211" s="387" t="str">
        <f>IF(OR($BY$167="",$BY$167=""),"",$BY$167)</f>
        <v/>
      </c>
      <c r="CH211" s="387">
        <f>BZ211</f>
        <v/>
      </c>
      <c r="CI211" s="387">
        <f>CA211</f>
        <v/>
      </c>
      <c r="CJ211" s="1527"/>
      <c r="CK211" s="2042"/>
      <c r="CL211" s="206">
        <f>IF(CF211=""," ",IF(ABS(CE211-CF211)&lt;=0.125,"Valid","Not valid"))</f>
        <v/>
      </c>
      <c r="CM211" s="207">
        <f> IF(CE211="","",IF(AND(CE211&lt;&gt;"",CF211=""),IF(CE211&gt;=1,"Medir+Sig Max","No"),IF(CF211&lt;&gt;"",IF(CF211&gt;=1,"Medir+Sig Max","No"),"")))</f>
        <v/>
      </c>
      <c r="CN211" s="1787"/>
      <c r="CO211" s="220">
        <f>IF(CK211="",IF(AND(CE211="",CF211=""),"",IF(CF211="",IF(DE211&gt;1,ROUND(DE211*CE211,3),CE211),IF(DE211&gt;1,ROUND(DE211*CF211,3),CF211))),IF(AND(CE211="",CF211=""),"",IF(CF211="",IF(DE211&gt;1,ROUND(DE211*CE211*(1/(CK211)),3),CE211*(1/(CK211))),IF(DE211&gt;1,ROUND(DE211*CF211*(1/(CK211)),3),CF211*(1/(CK211))))))</f>
        <v/>
      </c>
      <c r="CP211" s="2043">
        <f>$CP$3</f>
        <v/>
      </c>
      <c r="CQ211" s="1472">
        <f>IF(CO211="","",IF(CO211&gt;CP211,"Fail","Pass"))</f>
        <v/>
      </c>
      <c r="CR211" s="1481">
        <f>IF(AND(MAX(CO208:CO213)=CO211,CO211&lt;&gt;0),COUNT($CR$3:CR210)+1,"")</f>
        <v/>
      </c>
      <c r="CS211" s="1565">
        <f>MyTimestamp(CO211)</f>
        <v/>
      </c>
      <c r="CT211" s="1531">
        <f>IF(CE211="",0,15)+IF(CF211="",0,15)</f>
        <v/>
      </c>
      <c r="CU211" s="1532">
        <f>IF(CT211=0,0,2)</f>
        <v/>
      </c>
      <c r="CV211" s="859" t="inlineStr">
        <is>
          <t>S/02</t>
        </is>
      </c>
      <c r="CW211" s="859" t="inlineStr">
        <is>
          <t>Dasy6</t>
        </is>
      </c>
      <c r="CX211" s="2038"/>
      <c r="CY211" s="2044"/>
      <c r="CZ211" s="1543">
        <f>10^(CJ211/20)*100-100</f>
        <v/>
      </c>
      <c r="DA211" s="1325">
        <f>IF('Tune-Up'!$H$21="","",'Tune-Up'!$H$21)</f>
        <v/>
      </c>
      <c r="DB211" s="701">
        <f>'2G-3G'!BZ30</f>
        <v/>
      </c>
      <c r="DC211" s="769">
        <f>IF(DA211="","",10^(DA211/10))</f>
        <v/>
      </c>
      <c r="DD211" s="1369">
        <f>IF(ISNUMBER(DB211)=FALSE,"",10^(DB211/10))</f>
        <v/>
      </c>
      <c r="DE211" s="1543">
        <f>IF(AND(ISNUMBER(DC211),ISNUMBER(DD211)),IF(DC211/DD211&gt;1,ROUND((DC211)/DD211,3),1),1)</f>
        <v/>
      </c>
      <c r="DF211" s="1541"/>
      <c r="DG211" s="1541"/>
      <c r="DH211" s="1541"/>
      <c r="DI211" s="1541"/>
      <c r="DJ211" s="1541"/>
      <c r="DK211" s="1541"/>
      <c r="DL211" s="1541"/>
      <c r="DM211" s="1541"/>
      <c r="DN211" s="1541"/>
      <c r="DO211" s="1541"/>
      <c r="DP211" s="1541"/>
      <c r="DQ211" s="1541"/>
      <c r="DR211" s="1541"/>
    </row>
    <row r="212" ht="12.75" x14ac:dyDescent="0.2">
      <c r="A212" s="1541"/>
      <c r="B212" s="1541"/>
      <c r="C212"/>
      <c r="D212" s="130">
        <f>IF(BX$208="Close to Ear","EN 62209-1","EN 62209-2")</f>
        <v/>
      </c>
      <c r="E212" s="130">
        <f>IF(CG212="Close to Ear","2016","2010/A1:2019")</f>
        <v/>
      </c>
      <c r="F212" s="1488" t="inlineStr">
        <is>
          <t>5.1</t>
        </is>
      </c>
      <c r="G212" s="1497"/>
      <c r="H212" s="120">
        <f>BV212</f>
        <v/>
      </c>
      <c r="I212" s="120">
        <f>BW212</f>
        <v/>
      </c>
      <c r="J212" s="687" t="str">
        <f>BT212</f>
        <v>GSM</v>
      </c>
      <c r="K212" s="194">
        <f>BU212</f>
        <v>1800</v>
      </c>
      <c r="L212" s="115"/>
      <c r="M212" s="120">
        <f>BZ212</f>
        <v>0</v>
      </c>
      <c r="N212" s="119"/>
      <c r="O212" s="131"/>
      <c r="P212" s="6597"/>
      <c r="Q212" s="131"/>
      <c r="R212" s="131"/>
      <c r="S212" s="120">
        <f>CG212</f>
        <v>0</v>
      </c>
      <c r="T212" s="120">
        <f>CC212</f>
        <v>512</v>
      </c>
      <c r="U212" s="120">
        <f>CD212</f>
        <v>1710.2</v>
      </c>
      <c r="V212" s="119"/>
      <c r="W212" s="197">
        <f>CK212*100</f>
        <v/>
      </c>
      <c r="X212" s="119"/>
      <c r="Y212" s="119"/>
      <c r="Z212" s="119"/>
      <c r="AA212" s="115"/>
      <c r="AB212" s="115"/>
      <c r="AC212" s="689">
        <f>IF(OR(BX$208="Close to Ear",BX$208="Close to Head"),"Head",IF(BX$208="Extremity","Extremity","Body"))</f>
        <v/>
      </c>
      <c r="AD212" s="690">
        <f>CA212</f>
        <v/>
      </c>
      <c r="AE212" s="688">
        <f>CB212</f>
        <v/>
      </c>
      <c r="AF212" s="115"/>
      <c r="AG212" s="808">
        <f>IF(AZ212="","N/A",IF(CQ212="Pass","P","F"))</f>
        <v/>
      </c>
      <c r="AH212" s="129"/>
      <c r="AI212" s="129"/>
      <c r="AJ212" s="129"/>
      <c r="AK212" s="119"/>
      <c r="AL212" s="115"/>
      <c r="AM212" s="119"/>
      <c r="AN212" s="119"/>
      <c r="AO212" s="692"/>
      <c r="AP212" s="692"/>
      <c r="AQ212" s="692"/>
      <c r="AR212" s="692"/>
      <c r="AS212" s="692"/>
      <c r="AT212" s="691">
        <f>CE212</f>
        <v/>
      </c>
      <c r="AU212" s="691">
        <f>CF212</f>
        <v/>
      </c>
      <c r="AV212" s="813"/>
      <c r="AW212" s="813"/>
      <c r="AX212" s="197">
        <f>CZ212</f>
        <v/>
      </c>
      <c r="AY212" s="197">
        <f>DE212</f>
        <v/>
      </c>
      <c r="AZ212" s="3379">
        <f>CO212</f>
        <v/>
      </c>
      <c r="BA212" s="3380"/>
      <c r="BB212" s="197">
        <f>CP212</f>
        <v/>
      </c>
      <c r="BC212" s="813"/>
      <c r="BD212" s="197">
        <f>CR212</f>
        <v/>
      </c>
      <c r="BE212" s="121">
        <f>CS212</f>
        <v/>
      </c>
      <c r="BF212" s="122">
        <f>CT212*60</f>
        <v/>
      </c>
      <c r="BG212" s="121">
        <f>BE212</f>
        <v/>
      </c>
      <c r="BH212" s="122">
        <f>CU212*60</f>
        <v/>
      </c>
      <c r="BI212" s="122">
        <f>CV212</f>
        <v/>
      </c>
      <c r="BJ212" s="117"/>
      <c r="BK212" s="812">
        <f>Overview!$E$7</f>
        <v/>
      </c>
      <c r="BL212" s="117"/>
      <c r="BM212" s="836">
        <f>CW212</f>
        <v/>
      </c>
      <c r="BN212" s="812">
        <f>Overview!$P$153</f>
        <v/>
      </c>
      <c r="BO212" s="117"/>
      <c r="BP212" s="117"/>
      <c r="BQ212" s="115"/>
      <c r="BR212" s="1478" t="inlineStr">
        <is>
          <t>N/A</t>
        </is>
      </c>
      <c r="BS212" s="1548"/>
      <c r="BT212" s="2071" t="inlineStr">
        <is>
          <t>GSM</t>
        </is>
      </c>
      <c r="BU212" s="2071">
        <v>1800</v>
      </c>
      <c r="BV212" s="415">
        <f>Overview!$H$29</f>
        <v/>
      </c>
      <c r="BW212" s="2010"/>
      <c r="BX212" s="2071"/>
      <c r="BY212" s="2072"/>
      <c r="BZ212" s="2072"/>
      <c r="CA212" s="416" t="str">
        <f>IF(COUNT(CF208:CF211)=0,IF(COUNT(CE208:CE211)=0,"TBD",VLOOKUP(MAX(CE208:CE211),CE208:CI211,5,FALSE)),VLOOKUP(MAX(CF208:CF211),CF208:CI211,4,FALSE))</f>
        <v>TBD</v>
      </c>
      <c r="CB212" s="2073">
        <v>0</v>
      </c>
      <c r="CC212" s="902">
        <f>'2G-3G'!BX31</f>
        <v>512</v>
      </c>
      <c r="CD212" s="902">
        <f>'2G-3G'!BY31</f>
        <v>1710.2</v>
      </c>
      <c r="CE212" s="1523"/>
      <c r="CF212" s="1523"/>
      <c r="CG212" s="387" t="str">
        <f>IF(OR($BY$167="",$BY$167=""),"",$BY$167)</f>
        <v/>
      </c>
      <c r="CH212" s="387">
        <f>BZ212</f>
        <v/>
      </c>
      <c r="CI212" s="387">
        <f>CA212</f>
        <v/>
      </c>
      <c r="CJ212" s="1527"/>
      <c r="CK212" s="2042"/>
      <c r="CL212" s="206">
        <f>IF(CF212=""," ",IF(ABS(CE212-CF212)&lt;=0.125,"Valid","Not valid"))</f>
        <v/>
      </c>
      <c r="CM212" s="207">
        <f> IF(CE212="","",IF(AND(CE212&lt;&gt;"",CF212=""),IF(CE212&gt;=1,"Medir+Sig Max","No"),IF(CF212&lt;&gt;"",IF(CF212&gt;=1,"Medir+Sig Max","No"),"")))</f>
        <v/>
      </c>
      <c r="CN212" s="1787"/>
      <c r="CO212" s="220">
        <f>IF(CK212="",IF(AND(CE212="",CF212=""),"",IF(CF212="",IF(DE212&gt;1,ROUND(DE212*CE212,3),CE212),IF(DE212&gt;1,ROUND(DE212*CF212,3),CF212))),IF(AND(CE212="",CF212=""),"",IF(CF212="",IF(DE212&gt;1,ROUND(DE212*CE212*(1/(CK212)),3),CE212*(1/(CK212))),IF(DE212&gt;1,ROUND(DE212*CF212*(1/(CK212)),3),CF212*(1/(CK212))))))</f>
        <v/>
      </c>
      <c r="CP212" s="2043">
        <f>$CP$3</f>
        <v/>
      </c>
      <c r="CQ212" s="1472">
        <f>IF(CO212="","",IF(CO212&gt;CP212,"Fail","Pass"))</f>
        <v/>
      </c>
      <c r="CR212" s="1481">
        <f>IF(AND(MAX(CO208:CO213)=CO212,CO212&lt;&gt;0),COUNT($CR$3:CR211)+1,"")</f>
        <v/>
      </c>
      <c r="CS212" s="1565">
        <f>MyTimestamp(CO212)</f>
        <v/>
      </c>
      <c r="CT212" s="1531">
        <f>IF(CE212="",0,15)+IF(CF212="",0,15)</f>
        <v/>
      </c>
      <c r="CU212" s="1532">
        <f>IF(CT212=0,0,2)</f>
        <v/>
      </c>
      <c r="CV212" s="859" t="inlineStr">
        <is>
          <t>S/02</t>
        </is>
      </c>
      <c r="CW212" s="859" t="inlineStr">
        <is>
          <t>Dasy6</t>
        </is>
      </c>
      <c r="CX212" s="2038"/>
      <c r="CY212" s="2044"/>
      <c r="CZ212" s="1543">
        <f>10^(CJ212/20)*100-100</f>
        <v/>
      </c>
      <c r="DA212" s="1325">
        <f>IF('Tune-Up'!$H$21="","",'Tune-Up'!$H$21)</f>
        <v/>
      </c>
      <c r="DB212" s="701">
        <f>'2G-3G'!BZ31</f>
        <v/>
      </c>
      <c r="DC212" s="769">
        <f>IF(DA212="","",10^(DA212/10))</f>
        <v/>
      </c>
      <c r="DD212" s="1369">
        <f>IF(ISNUMBER(DB212)=FALSE,"",10^(DB212/10))</f>
        <v/>
      </c>
      <c r="DE212" s="1543">
        <f>IF(AND(ISNUMBER(DC212),ISNUMBER(DD212)),IF(DC212/DD212&gt;1,ROUND((DC212)/DD212,3),1),1)</f>
        <v/>
      </c>
      <c r="DF212" s="1541"/>
      <c r="DG212" s="1541"/>
      <c r="DH212" s="1541"/>
      <c r="DI212" s="1541"/>
      <c r="DJ212" s="1541"/>
      <c r="DK212" s="1541"/>
      <c r="DL212" s="1541"/>
      <c r="DM212" s="1541"/>
      <c r="DN212" s="1541"/>
      <c r="DO212" s="1541"/>
      <c r="DP212" s="1541"/>
      <c r="DQ212" s="1541"/>
      <c r="DR212" s="1541"/>
    </row>
    <row r="213" ht="12.75" x14ac:dyDescent="0.2">
      <c r="A213" s="1541"/>
      <c r="B213" s="1541"/>
      <c r="C213"/>
      <c r="D213" s="130">
        <f>IF(BX$208="Close to Ear","EN 62209-1","EN 62209-2")</f>
        <v/>
      </c>
      <c r="E213" s="130">
        <f>IF(CG213="Close to Ear","2016","2010/A1:2019")</f>
        <v/>
      </c>
      <c r="F213" s="1488" t="inlineStr">
        <is>
          <t>5.1</t>
        </is>
      </c>
      <c r="G213" s="1497"/>
      <c r="H213" s="120">
        <f>BV213</f>
        <v/>
      </c>
      <c r="I213" s="120">
        <f>BW213</f>
        <v/>
      </c>
      <c r="J213" s="687" t="str">
        <f>BT213</f>
        <v>GSM</v>
      </c>
      <c r="K213" s="194">
        <f>BU213</f>
        <v>1800</v>
      </c>
      <c r="L213" s="115"/>
      <c r="M213" s="120">
        <f>BZ213</f>
        <v>0</v>
      </c>
      <c r="N213" s="119"/>
      <c r="O213" s="131"/>
      <c r="P213" s="6597"/>
      <c r="Q213" s="131"/>
      <c r="R213" s="131"/>
      <c r="S213" s="120">
        <f>CG213</f>
        <v>0</v>
      </c>
      <c r="T213" s="120">
        <f>CC213</f>
        <v>885</v>
      </c>
      <c r="U213" s="120">
        <f>CD213</f>
        <v>1784.8</v>
      </c>
      <c r="V213" s="119"/>
      <c r="W213" s="197">
        <f>CK213*100</f>
        <v/>
      </c>
      <c r="X213" s="119"/>
      <c r="Y213" s="119"/>
      <c r="Z213" s="119"/>
      <c r="AA213" s="115"/>
      <c r="AB213" s="115"/>
      <c r="AC213" s="689">
        <f>IF(OR(BX$208="Close to Ear",BX$208="Close to Head"),"Head",IF(BX$208="Extremity","Extremity","Body"))</f>
        <v/>
      </c>
      <c r="AD213" s="690">
        <f>CA213</f>
        <v/>
      </c>
      <c r="AE213" s="688">
        <f>CB213</f>
        <v/>
      </c>
      <c r="AF213" s="115"/>
      <c r="AG213" s="808">
        <f>IF(AZ213="","N/A",IF(CQ213="Pass","P","F"))</f>
        <v/>
      </c>
      <c r="AH213" s="129"/>
      <c r="AI213" s="129"/>
      <c r="AJ213" s="129"/>
      <c r="AK213" s="119"/>
      <c r="AL213" s="115"/>
      <c r="AM213" s="119"/>
      <c r="AN213" s="119"/>
      <c r="AO213" s="692"/>
      <c r="AP213" s="692"/>
      <c r="AQ213" s="692"/>
      <c r="AR213" s="692"/>
      <c r="AS213" s="692"/>
      <c r="AT213" s="691">
        <f>CE213</f>
        <v/>
      </c>
      <c r="AU213" s="691">
        <f>CF213</f>
        <v/>
      </c>
      <c r="AV213" s="813"/>
      <c r="AW213" s="813"/>
      <c r="AX213" s="197">
        <f>CZ213</f>
        <v/>
      </c>
      <c r="AY213" s="197">
        <f>DE213</f>
        <v/>
      </c>
      <c r="AZ213" s="3379">
        <f>CO213</f>
        <v/>
      </c>
      <c r="BA213" s="3380"/>
      <c r="BB213" s="197">
        <f>CP213</f>
        <v/>
      </c>
      <c r="BC213" s="813"/>
      <c r="BD213" s="197">
        <f>CR213</f>
        <v/>
      </c>
      <c r="BE213" s="121">
        <f>CS213</f>
        <v/>
      </c>
      <c r="BF213" s="122">
        <f>CT213*60</f>
        <v/>
      </c>
      <c r="BG213" s="121">
        <f>BE213</f>
        <v/>
      </c>
      <c r="BH213" s="122">
        <f>CU213*60</f>
        <v/>
      </c>
      <c r="BI213" s="122">
        <f>CV213</f>
        <v/>
      </c>
      <c r="BJ213" s="117"/>
      <c r="BK213" s="812">
        <f>Overview!$E$7</f>
        <v/>
      </c>
      <c r="BL213" s="117"/>
      <c r="BM213" s="836">
        <f>CW213</f>
        <v/>
      </c>
      <c r="BN213" s="812">
        <f>Overview!$P$153</f>
        <v/>
      </c>
      <c r="BO213" s="117"/>
      <c r="BP213" s="117"/>
      <c r="BQ213" s="115"/>
      <c r="BR213" s="1478" t="inlineStr">
        <is>
          <t>N/A</t>
        </is>
      </c>
      <c r="BS213" s="1548"/>
      <c r="BT213" s="2071" t="inlineStr">
        <is>
          <t>GSM</t>
        </is>
      </c>
      <c r="BU213" s="2071">
        <v>1800</v>
      </c>
      <c r="BV213" s="415">
        <f>Overview!$H$29</f>
        <v/>
      </c>
      <c r="BW213" s="2010"/>
      <c r="BX213" s="2071"/>
      <c r="BY213" s="2072"/>
      <c r="BZ213" s="2072"/>
      <c r="CA213" s="418" t="str">
        <f>IF(COUNT(CF208:CF211)=0,IF(COUNT(CE208:CE211)=0,"TBD",VLOOKUP(MAX(CE208:CE211),CE208:CI211,5,FALSE)),VLOOKUP(MAX(CF208:CF211),CF208:CI211,4,FALSE))</f>
        <v>TBD</v>
      </c>
      <c r="CB213" s="2074">
        <v>0</v>
      </c>
      <c r="CC213" s="1089">
        <f>'2G-3G'!BX32</f>
        <v>885</v>
      </c>
      <c r="CD213" s="1089">
        <f>'2G-3G'!BY32</f>
        <v>1784.8</v>
      </c>
      <c r="CE213" s="1874"/>
      <c r="CF213" s="1874"/>
      <c r="CG213" s="388" t="str">
        <f>IF(OR($BY$167="",$BY$167=""),"",$BY$167)</f>
        <v/>
      </c>
      <c r="CH213" s="388">
        <f>BZ213</f>
        <v/>
      </c>
      <c r="CI213" s="388">
        <f>CA213</f>
        <v/>
      </c>
      <c r="CJ213" s="2046"/>
      <c r="CK213" s="2047"/>
      <c r="CL213" s="209">
        <f>IF(CF213=""," ",IF(ABS(CE213-CF213)&lt;=0.125,"Valid","Not valid"))</f>
        <v/>
      </c>
      <c r="CM213" s="210">
        <f> IF(CE213="","",IF(AND(CE213&lt;&gt;"",CF213=""),IF(CE213&gt;=1,"Medir+Sig Max","No"),IF(CF213&lt;&gt;"",IF(CF213&gt;=1,"Medir+Sig Max","No"),"")))</f>
        <v/>
      </c>
      <c r="CN213" s="1792"/>
      <c r="CO213" s="221">
        <f>IF(CK213="",IF(AND(CE213="",CF213=""),"",IF(CF213="",IF(DE213&gt;1,ROUND(DE213*CE213,3),CE213),IF(DE213&gt;1,ROUND(DE213*CF213,3),CF213))),IF(AND(CE213="",CF213=""),"",IF(CF213="",IF(DE213&gt;1,ROUND(DE213*CE213*(1/(CK213)),3),CE213*(1/(CK213))),IF(DE213&gt;1,ROUND(DE213*CF213*(1/(CK213)),3),CF213*(1/(CK213))))))</f>
        <v/>
      </c>
      <c r="CP213" s="2048">
        <f>$CP$3</f>
        <v/>
      </c>
      <c r="CQ213" s="1473">
        <f>IF(CO213="","",IF(CO213&gt;CP213,"Fail","Pass"))</f>
        <v/>
      </c>
      <c r="CR213" s="1482">
        <f>IF(AND(MAX(CO208:CO213)=CO213,CO213&lt;&gt;0),COUNT($CR$3:CR212)+1,"")</f>
        <v/>
      </c>
      <c r="CS213" s="2002">
        <f>MyTimestamp(CO213)</f>
        <v/>
      </c>
      <c r="CT213" s="1533">
        <f>IF(CE213="",0,15)+IF(CF213="",0,15)</f>
        <v/>
      </c>
      <c r="CU213" s="1534">
        <f>IF(CT213=0,0,2)</f>
        <v/>
      </c>
      <c r="CV213" s="860" t="inlineStr">
        <is>
          <t>S/02</t>
        </is>
      </c>
      <c r="CW213" s="860" t="inlineStr">
        <is>
          <t>Dasy6</t>
        </is>
      </c>
      <c r="CX213" s="2038"/>
      <c r="CY213" s="2049"/>
      <c r="CZ213" s="1544">
        <f>10^(CJ213/20)*100-100</f>
        <v/>
      </c>
      <c r="DA213" s="1326">
        <f>IF('Tune-Up'!$H$21="","",'Tune-Up'!$H$21)</f>
        <v/>
      </c>
      <c r="DB213" s="702">
        <f>'2G-3G'!BZ32</f>
        <v/>
      </c>
      <c r="DC213" s="770">
        <f>IF(DA213="","",10^(DA213/10))</f>
        <v/>
      </c>
      <c r="DD213" s="1370">
        <f>IF(ISNUMBER(DB213)=FALSE,"",10^(DB213/10))</f>
        <v/>
      </c>
      <c r="DE213" s="1544">
        <f>IF(AND(ISNUMBER(DC213),ISNUMBER(DD213)),IF(DC213/DD213&gt;1,ROUND((DC213)/DD213,3),1),1)</f>
        <v/>
      </c>
      <c r="DF213" s="1541"/>
      <c r="DG213" s="1541"/>
      <c r="DH213" s="1541"/>
      <c r="DI213" s="1541"/>
      <c r="DJ213" s="1541"/>
      <c r="DK213" s="1541"/>
      <c r="DL213" s="1541"/>
      <c r="DM213" s="1541"/>
      <c r="DN213" s="1541"/>
      <c r="DO213" s="1541"/>
      <c r="DP213" s="1541"/>
      <c r="DQ213" s="1541"/>
      <c r="DR213" s="1541"/>
    </row>
    <row r="214" ht="12.75" x14ac:dyDescent="0.2">
      <c r="A214" s="1541"/>
      <c r="B214" s="1541"/>
      <c r="C214"/>
      <c r="D214" s="130">
        <f>IF(BX$208="Close to Ear","EN 62209-1","EN 62209-2")</f>
        <v/>
      </c>
      <c r="E214" s="130">
        <f>IF(CG214="Close to Ear","2016","2010/A1:2019")</f>
        <v/>
      </c>
      <c r="F214" s="1488" t="inlineStr">
        <is>
          <t>5.1</t>
        </is>
      </c>
      <c r="G214" s="1497"/>
      <c r="H214" s="120">
        <f>BV214</f>
        <v/>
      </c>
      <c r="I214" s="120">
        <f>BW214</f>
        <v/>
      </c>
      <c r="J214" s="687">
        <f>BT214</f>
        <v/>
      </c>
      <c r="K214" s="194">
        <f>BU214</f>
        <v/>
      </c>
      <c r="L214" s="115"/>
      <c r="M214" s="120">
        <f>BZ214</f>
        <v/>
      </c>
      <c r="N214" s="119"/>
      <c r="O214" s="131"/>
      <c r="P214" s="6597"/>
      <c r="Q214" s="131"/>
      <c r="R214" s="131"/>
      <c r="S214" s="120">
        <f>CG214</f>
        <v/>
      </c>
      <c r="T214" s="120">
        <f>CC214</f>
        <v/>
      </c>
      <c r="U214" s="120">
        <f>CD214</f>
        <v/>
      </c>
      <c r="V214" s="119"/>
      <c r="W214" s="197">
        <f>CK214*100</f>
        <v/>
      </c>
      <c r="X214" s="119"/>
      <c r="Y214" s="119"/>
      <c r="Z214" s="119"/>
      <c r="AA214" s="115"/>
      <c r="AB214" s="115"/>
      <c r="AC214" s="689">
        <f>IF(OR(BX$208="Close to Ear",BX$208="Close to Head"),"Head",IF(BX$208="Extremity","Extremity","Body"))</f>
        <v/>
      </c>
      <c r="AD214" s="690">
        <f>CA214</f>
        <v/>
      </c>
      <c r="AE214" s="688">
        <f>CB214</f>
        <v/>
      </c>
      <c r="AF214" s="115"/>
      <c r="AG214" s="808">
        <f>IF(AZ214="","N/A",IF(CQ214="Pass","P","F"))</f>
        <v/>
      </c>
      <c r="AH214" s="129"/>
      <c r="AI214" s="129"/>
      <c r="AJ214" s="129"/>
      <c r="AK214" s="119"/>
      <c r="AL214" s="115"/>
      <c r="AM214" s="119"/>
      <c r="AN214" s="119"/>
      <c r="AO214" s="692"/>
      <c r="AP214" s="692"/>
      <c r="AQ214" s="692"/>
      <c r="AR214" s="692"/>
      <c r="AS214" s="692"/>
      <c r="AT214" s="691">
        <f>CE214</f>
        <v/>
      </c>
      <c r="AU214" s="691">
        <f>CF214</f>
        <v/>
      </c>
      <c r="AV214" s="813"/>
      <c r="AW214" s="813"/>
      <c r="AX214" s="197">
        <f>CZ214</f>
        <v/>
      </c>
      <c r="AY214" s="197">
        <f>DE214</f>
        <v/>
      </c>
      <c r="AZ214" s="3379">
        <f>CO214</f>
        <v/>
      </c>
      <c r="BA214" s="3380"/>
      <c r="BB214" s="197">
        <f>CP214</f>
        <v/>
      </c>
      <c r="BC214" s="813"/>
      <c r="BD214" s="197">
        <f>CR214</f>
        <v/>
      </c>
      <c r="BE214" s="121">
        <f>CS214</f>
        <v/>
      </c>
      <c r="BF214" s="122">
        <f>CT214*60</f>
        <v/>
      </c>
      <c r="BG214" s="121">
        <f>BE214</f>
        <v/>
      </c>
      <c r="BH214" s="122">
        <f>CU214*60</f>
        <v/>
      </c>
      <c r="BI214" s="122">
        <f>CV214</f>
        <v/>
      </c>
      <c r="BJ214" s="117"/>
      <c r="BK214" s="812">
        <f>Overview!$E$7</f>
        <v/>
      </c>
      <c r="BL214" s="117"/>
      <c r="BM214" s="836">
        <f>CW214</f>
        <v/>
      </c>
      <c r="BN214" s="812">
        <f>Overview!$P$153</f>
        <v/>
      </c>
      <c r="BO214" s="117"/>
      <c r="BP214" s="117"/>
      <c r="BQ214" s="115"/>
      <c r="BR214" s="1478" t="inlineStr">
        <is>
          <t>N/A</t>
        </is>
      </c>
      <c r="BS214" s="1548"/>
      <c r="BT214" s="2071" t="inlineStr">
        <is>
          <t>GSM</t>
        </is>
      </c>
      <c r="BU214" s="2071">
        <v>1800</v>
      </c>
      <c r="BV214" s="415">
        <f>Overview!$H$29</f>
        <v/>
      </c>
      <c r="BW214" s="2010"/>
      <c r="BX214" s="2071"/>
      <c r="BY214" s="2072"/>
      <c r="BZ214" s="2072"/>
      <c r="CA214" s="418" t="str">
        <f>CONCATENATE(CA212," - Battery check 1")</f>
        <v>TBD - Battery check 1</v>
      </c>
      <c r="CB214" s="2074">
        <v>0</v>
      </c>
      <c r="CC214" s="1089">
        <f>IF(COUNT($CO$208:$CO$213)=0,"N/A",INDEX($CC$208:$CC$213,MATCH(MAX($CO$208:$CO$213),$CO$208:$CO$213,0)))</f>
        <v/>
      </c>
      <c r="CD214" s="1089">
        <f>IF(COUNT($CO$208:$CO$213)=0,"N/A",INDEX($CD$208:$CD$213,MATCH(MAX($CO$208:$CO$213),$CO$208:$CO$213,0)))</f>
        <v/>
      </c>
      <c r="CE214" s="1874"/>
      <c r="CF214" s="1874"/>
      <c r="CG214" s="388" t="inlineStr">
        <is>
          <t>N/A</t>
        </is>
      </c>
      <c r="CH214" s="388">
        <f>BZ214</f>
        <v/>
      </c>
      <c r="CI214" s="388">
        <f>CA214</f>
        <v/>
      </c>
      <c r="CJ214" s="2046"/>
      <c r="CK214" s="2047"/>
      <c r="CL214" s="209">
        <f>IF(CF214=""," ",IF(ABS(CE214-CF214)&lt;=0.125,"Valid","Not valid"))</f>
        <v/>
      </c>
      <c r="CM214" s="210">
        <f> IF(CE214="","",IF(AND(CE214&lt;&gt;"",CF214=""),IF(CE214&gt;=1,"Medir+Sig Max","No"),IF(CF214&lt;&gt;"",IF(CF214&gt;=1,"Medir+Sig Max","No"),"")))</f>
        <v/>
      </c>
      <c r="CN214" s="1792"/>
      <c r="CO214" s="221">
        <f>IF(CK214="",IF(AND(CE214="",CF214=""),"",IF(CF214="",IF(DE214&gt;1,ROUND(DE214*CE214,3),CE214),IF(DE214&gt;1,ROUND(DE214*CF214,3),CF214))),IF(AND(CE214="",CF214=""),"",IF(CF214="",IF(DE214&gt;1,ROUND(DE214*CE214*(1/(CK214)),3),CE214*(1/(CK214))),IF(DE214&gt;1,ROUND(DE214*CF214*(1/(CK214)),3),CF214*(1/(CK214))))))</f>
        <v/>
      </c>
      <c r="CP214" s="2048">
        <f>$CP$3</f>
        <v/>
      </c>
      <c r="CQ214" s="1473">
        <f>IF(CO214="","",IF(CO214&gt;CP214,"Fail","Pass"))</f>
        <v/>
      </c>
      <c r="CR214" s="1482">
        <f>IF(CO214&lt;&gt;"",MAX($CR$3:CR213)+1,"")</f>
        <v/>
      </c>
      <c r="CS214" s="2002">
        <f>MyTimestamp(CQ214)</f>
        <v/>
      </c>
      <c r="CT214" s="1533">
        <f>IF(COUNT(CE214:CF214)=1,15,IF(COUNT(CE214:CF214)=0,0,30))</f>
        <v/>
      </c>
      <c r="CU214" s="1534">
        <f>IF(CT214=0,0,2)</f>
        <v/>
      </c>
      <c r="CV214" s="860" t="inlineStr">
        <is>
          <t>S/02</t>
        </is>
      </c>
      <c r="CW214" s="860" t="inlineStr">
        <is>
          <t>Dasy6</t>
        </is>
      </c>
      <c r="CX214" s="2038"/>
      <c r="CY214" s="2049"/>
      <c r="CZ214" s="1544">
        <f>10^(CJ214/20)*100-100</f>
        <v/>
      </c>
      <c r="DA214" s="1326">
        <f>IF('Tune-Up'!$H$21="","",'Tune-Up'!$H$21)</f>
        <v/>
      </c>
      <c r="DB214" s="702">
        <f>IF(COUNT($CO$208:$CO$213)=0,"N/A",IFERROR(INDEX($DB$208:$DB$213,MATCH(MAX($CO$208:$CO$213),$CO$208:$CO$213,0)),"N/A"))</f>
        <v/>
      </c>
      <c r="DC214" s="770">
        <f>IF(DA214="","",10^(DA214/10))</f>
        <v/>
      </c>
      <c r="DD214" s="1370">
        <f>IF(ISNUMBER(DB214)=FALSE,"N/A",10^(DB214/10))</f>
        <v/>
      </c>
      <c r="DE214" s="1544">
        <f>IF(AND(ISNUMBER(DC214),ISNUMBER(DD214)),IF(DC214/DD214&gt;1,ROUND((DC214)/DD214,3),1),1)</f>
        <v/>
      </c>
      <c r="DF214" s="1541"/>
      <c r="DG214" s="1541"/>
      <c r="DH214" s="1541"/>
      <c r="DI214" s="1541"/>
      <c r="DJ214" s="1541"/>
      <c r="DK214" s="1541"/>
      <c r="DL214" s="1541"/>
      <c r="DM214" s="1541"/>
      <c r="DN214" s="1541"/>
      <c r="DO214" s="1541"/>
      <c r="DP214" s="1541"/>
      <c r="DQ214" s="1541"/>
      <c r="DR214" s="1541"/>
    </row>
    <row r="215" ht="12.75" x14ac:dyDescent="0.2">
      <c r="A215" s="1541"/>
      <c r="B215" s="1541"/>
      <c r="C215"/>
      <c r="D215" s="130">
        <f>IF(BX$208="Close to Ear","EN 62209-1","EN 62209-2")</f>
        <v/>
      </c>
      <c r="E215" s="130">
        <f>IF(CG215="Close to Ear","2016","2010/A1:2019")</f>
        <v/>
      </c>
      <c r="F215" s="1488" t="inlineStr">
        <is>
          <t>5.1</t>
        </is>
      </c>
      <c r="G215" s="1497"/>
      <c r="H215" s="120">
        <f>BV215</f>
        <v/>
      </c>
      <c r="I215" s="120">
        <f>BW215</f>
        <v/>
      </c>
      <c r="J215" s="687">
        <f>BT215</f>
        <v/>
      </c>
      <c r="K215" s="194">
        <f>BU215</f>
        <v/>
      </c>
      <c r="L215" s="115"/>
      <c r="M215" s="120">
        <f>BZ215</f>
        <v/>
      </c>
      <c r="N215" s="119"/>
      <c r="O215" s="131"/>
      <c r="P215" s="6597"/>
      <c r="Q215" s="131"/>
      <c r="R215" s="131"/>
      <c r="S215" s="120">
        <f>CG215</f>
        <v/>
      </c>
      <c r="T215" s="120">
        <f>CC215</f>
        <v/>
      </c>
      <c r="U215" s="120">
        <f>CD215</f>
        <v/>
      </c>
      <c r="V215" s="119"/>
      <c r="W215" s="197">
        <f>CK215*100</f>
        <v/>
      </c>
      <c r="X215" s="119"/>
      <c r="Y215" s="119"/>
      <c r="Z215" s="119"/>
      <c r="AA215" s="115"/>
      <c r="AB215" s="115"/>
      <c r="AC215" s="689">
        <f>IF(OR(BX$208="Close to Ear",BX$208="Close to Head"),"Head",IF(BX$208="Extremity","Extremity","Body"))</f>
        <v/>
      </c>
      <c r="AD215" s="690">
        <f>CA215</f>
        <v/>
      </c>
      <c r="AE215" s="688">
        <f>CB215</f>
        <v/>
      </c>
      <c r="AF215" s="115"/>
      <c r="AG215" s="808">
        <f>IF(AZ215="","N/A",IF(CQ215="Pass","P","F"))</f>
        <v/>
      </c>
      <c r="AH215" s="129"/>
      <c r="AI215" s="129"/>
      <c r="AJ215" s="129"/>
      <c r="AK215" s="119"/>
      <c r="AL215" s="115"/>
      <c r="AM215" s="119"/>
      <c r="AN215" s="119"/>
      <c r="AO215" s="692"/>
      <c r="AP215" s="692"/>
      <c r="AQ215" s="692"/>
      <c r="AR215" s="692"/>
      <c r="AS215" s="692"/>
      <c r="AT215" s="691">
        <f>CE215</f>
        <v/>
      </c>
      <c r="AU215" s="691">
        <f>CF215</f>
        <v/>
      </c>
      <c r="AV215" s="813"/>
      <c r="AW215" s="813"/>
      <c r="AX215" s="197">
        <f>CZ215</f>
        <v/>
      </c>
      <c r="AY215" s="197">
        <f>DE215</f>
        <v/>
      </c>
      <c r="AZ215" s="3379">
        <f>CO215</f>
        <v/>
      </c>
      <c r="BA215" s="3380"/>
      <c r="BB215" s="197">
        <f>CP215</f>
        <v/>
      </c>
      <c r="BC215" s="813"/>
      <c r="BD215" s="197">
        <f>CR215</f>
        <v/>
      </c>
      <c r="BE215" s="121">
        <f>CS215</f>
        <v/>
      </c>
      <c r="BF215" s="122">
        <f>CT215*60</f>
        <v/>
      </c>
      <c r="BG215" s="121">
        <f>BE215</f>
        <v/>
      </c>
      <c r="BH215" s="122">
        <f>CU215*60</f>
        <v/>
      </c>
      <c r="BI215" s="122">
        <f>CV215</f>
        <v/>
      </c>
      <c r="BJ215" s="117"/>
      <c r="BK215" s="812">
        <f>Overview!$E$7</f>
        <v/>
      </c>
      <c r="BL215" s="117"/>
      <c r="BM215" s="836">
        <f>CW215</f>
        <v/>
      </c>
      <c r="BN215" s="812">
        <f>Overview!$P$153</f>
        <v/>
      </c>
      <c r="BO215" s="117"/>
      <c r="BP215" s="117"/>
      <c r="BQ215" s="115"/>
      <c r="BR215" s="1478" t="inlineStr">
        <is>
          <t>N/A</t>
        </is>
      </c>
      <c r="BS215" s="1548"/>
      <c r="BT215" s="2071" t="inlineStr">
        <is>
          <t>GSM</t>
        </is>
      </c>
      <c r="BU215" s="2071">
        <v>1800</v>
      </c>
      <c r="BV215" s="415">
        <f>Overview!$H$29</f>
        <v/>
      </c>
      <c r="BW215" s="2010"/>
      <c r="BX215" s="2071"/>
      <c r="BY215" s="2072"/>
      <c r="BZ215" s="2072"/>
      <c r="CA215" s="418" t="str">
        <f>CONCATENATE(CA213," - Battery check 2")</f>
        <v>TBD - Battery check 2</v>
      </c>
      <c r="CB215" s="2074">
        <v>0</v>
      </c>
      <c r="CC215" s="1089">
        <f>IF(COUNT($CO$208:$CO$213)=0,"N/A",INDEX($CC$208:$CC$213,MATCH(MAX($CO$208:$CO$213),$CO$208:$CO$213,0)))</f>
        <v/>
      </c>
      <c r="CD215" s="1089">
        <f>IF(COUNT($CO$208:$CO$213)=0,"N/A",INDEX($CD$208:$CD$213,MATCH(MAX($CO$208:$CO$213),$CO$208:$CO$213,0)))</f>
        <v/>
      </c>
      <c r="CE215" s="1874"/>
      <c r="CF215" s="1874"/>
      <c r="CG215" s="388" t="inlineStr">
        <is>
          <t>N/A</t>
        </is>
      </c>
      <c r="CH215" s="388">
        <f>BZ215</f>
        <v/>
      </c>
      <c r="CI215" s="388">
        <f>CA215</f>
        <v/>
      </c>
      <c r="CJ215" s="2046"/>
      <c r="CK215" s="2047"/>
      <c r="CL215" s="209">
        <f>IF(CF215=""," ",IF(ABS(CE215-CF215)&lt;=0.125,"Valid","Not valid"))</f>
        <v/>
      </c>
      <c r="CM215" s="210">
        <f> IF(CE215="","",IF(AND(CE215&lt;&gt;"",CF215=""),IF(CE215&gt;=1,"Medir+Sig Max","No"),IF(CF215&lt;&gt;"",IF(CF215&gt;=1,"Medir+Sig Max","No"),"")))</f>
        <v/>
      </c>
      <c r="CN215" s="1792"/>
      <c r="CO215" s="221">
        <f>IF(CK215="",IF(AND(CE215="",CF215=""),"",IF(CF215="",IF(DE215&gt;1,ROUND(DE215*CE215,3),CE215),IF(DE215&gt;1,ROUND(DE215*CF215,3),CF215))),IF(AND(CE215="",CF215=""),"",IF(CF215="",IF(DE215&gt;1,ROUND(DE215*CE215*(1/(CK215)),3),CE215*(1/(CK215))),IF(DE215&gt;1,ROUND(DE215*CF215*(1/(CK215)),3),CF215*(1/(CK215))))))</f>
        <v/>
      </c>
      <c r="CP215" s="2048">
        <f>$CP$3</f>
        <v/>
      </c>
      <c r="CQ215" s="1473">
        <f>IF(CO215="","",IF(CO215&gt;CP215,"Fail","Pass"))</f>
        <v/>
      </c>
      <c r="CR215" s="1482">
        <f>IF(CO215&lt;&gt;"",MAX($CR$3:CR214)+1,"")</f>
        <v/>
      </c>
      <c r="CS215" s="2002">
        <f>MyTimestamp(CQ215)</f>
        <v/>
      </c>
      <c r="CT215" s="1533">
        <f>IF(COUNT(CE215:CF215)=1,15,IF(COUNT(CE215:CF215)=0,0,30))</f>
        <v/>
      </c>
      <c r="CU215" s="1534">
        <f>IF(CT215=0,0,2)</f>
        <v/>
      </c>
      <c r="CV215" s="860" t="inlineStr">
        <is>
          <t>S/02</t>
        </is>
      </c>
      <c r="CW215" s="860" t="inlineStr">
        <is>
          <t>Dasy6</t>
        </is>
      </c>
      <c r="CX215" s="2038"/>
      <c r="CY215" s="2049"/>
      <c r="CZ215" s="1544">
        <f>10^(CJ215/20)*100-100</f>
        <v/>
      </c>
      <c r="DA215" s="1326">
        <f>IF('Tune-Up'!$H$21="","",'Tune-Up'!$H$21)</f>
        <v/>
      </c>
      <c r="DB215" s="702">
        <f>IF(COUNT($CO$208:$CO$213)=0,"N/A",IFERROR(INDEX($DB$208:$DB$213,MATCH(MAX($CO$208:$CO$213),$CO$208:$CO$213,0)),"N/A"))</f>
        <v/>
      </c>
      <c r="DC215" s="770">
        <f>IF(DA215="","",10^(DA215/10))</f>
        <v/>
      </c>
      <c r="DD215" s="1370">
        <f>IF(ISNUMBER(DB215)=FALSE,"N/A",10^(DB215/10))</f>
        <v/>
      </c>
      <c r="DE215" s="1544">
        <f>IF(AND(ISNUMBER(DC215),ISNUMBER(DD215)),IF(DC215/DD215&gt;1,ROUND((DC215)/DD215,3),1),1)</f>
        <v/>
      </c>
      <c r="DF215" s="1541"/>
      <c r="DG215" s="1541"/>
      <c r="DH215" s="1541"/>
      <c r="DI215" s="1541"/>
      <c r="DJ215" s="1541"/>
      <c r="DK215" s="1541"/>
      <c r="DL215" s="1541"/>
      <c r="DM215" s="1541"/>
      <c r="DN215" s="1541"/>
      <c r="DO215" s="1541"/>
      <c r="DP215" s="1541"/>
      <c r="DQ215" s="1541"/>
      <c r="DR215" s="1541"/>
    </row>
    <row r="216" ht="12.75" x14ac:dyDescent="0.2">
      <c r="A216" s="1541"/>
      <c r="B216" s="1541"/>
      <c r="C216"/>
      <c r="D216" s="130">
        <f>IF(BX$216="Close to Ear","EN 62209-1","EN 62209-2")</f>
        <v/>
      </c>
      <c r="E216" s="130">
        <f>IF(CG216="Close to Ear","2016","2010/A1:2019")</f>
        <v/>
      </c>
      <c r="F216" s="1488" t="inlineStr">
        <is>
          <t>5.1</t>
        </is>
      </c>
      <c r="G216" s="1497"/>
      <c r="H216" s="120">
        <f>BV216</f>
        <v/>
      </c>
      <c r="I216" s="120">
        <f>BW216</f>
        <v/>
      </c>
      <c r="J216" s="687" t="str">
        <f>BT216</f>
        <v>GSM</v>
      </c>
      <c r="K216" s="194">
        <f>BU216</f>
        <v>1800</v>
      </c>
      <c r="L216" s="115"/>
      <c r="M216" s="120">
        <f>BZ216</f>
        <v>0</v>
      </c>
      <c r="N216" s="119"/>
      <c r="O216" s="131"/>
      <c r="P216" s="6597"/>
      <c r="Q216" s="131"/>
      <c r="R216" s="131"/>
      <c r="S216" s="120">
        <f>CG216</f>
        <v>0</v>
      </c>
      <c r="T216" s="120">
        <f>CC216</f>
        <v>698</v>
      </c>
      <c r="U216" s="120">
        <f>CD216</f>
        <v>1747.4</v>
      </c>
      <c r="V216" s="119"/>
      <c r="W216" s="197">
        <f>CK216*100</f>
        <v/>
      </c>
      <c r="X216" s="119"/>
      <c r="Y216" s="119"/>
      <c r="Z216" s="119"/>
      <c r="AA216" s="115"/>
      <c r="AB216" s="115"/>
      <c r="AC216" s="689">
        <f>IF(OR(BX$216="Close to Ear",BX$216="Close to Head"),"Head",IF(BX$216="Extremity","Extremity","Body"))</f>
        <v/>
      </c>
      <c r="AD216" s="690">
        <f>CA216</f>
        <v/>
      </c>
      <c r="AE216" s="688">
        <f>CB216</f>
        <v/>
      </c>
      <c r="AF216" s="115"/>
      <c r="AG216" s="808">
        <f>IF(AZ216="","N/A",IF(CQ216="Pass","P","F"))</f>
        <v/>
      </c>
      <c r="AH216" s="129"/>
      <c r="AI216" s="129"/>
      <c r="AJ216" s="129"/>
      <c r="AK216" s="119"/>
      <c r="AL216" s="115"/>
      <c r="AM216" s="119"/>
      <c r="AN216" s="119"/>
      <c r="AO216" s="692"/>
      <c r="AP216" s="692"/>
      <c r="AQ216" s="692"/>
      <c r="AR216" s="692"/>
      <c r="AS216" s="692"/>
      <c r="AT216" s="691">
        <f>CE216</f>
        <v/>
      </c>
      <c r="AU216" s="691">
        <f>CF216</f>
        <v/>
      </c>
      <c r="AV216" s="813"/>
      <c r="AW216" s="813"/>
      <c r="AX216" s="197">
        <f>CZ216</f>
        <v/>
      </c>
      <c r="AY216" s="197">
        <f>DE216</f>
        <v/>
      </c>
      <c r="AZ216" s="3379">
        <f>CO216</f>
        <v/>
      </c>
      <c r="BA216" s="3380"/>
      <c r="BB216" s="197">
        <f>CP216</f>
        <v/>
      </c>
      <c r="BC216" s="813"/>
      <c r="BD216" s="197">
        <f>CR216</f>
        <v/>
      </c>
      <c r="BE216" s="121">
        <f>CS216</f>
        <v/>
      </c>
      <c r="BF216" s="122">
        <f>CT216*60</f>
        <v/>
      </c>
      <c r="BG216" s="121">
        <f>BE216</f>
        <v/>
      </c>
      <c r="BH216" s="122">
        <f>CU216*60</f>
        <v/>
      </c>
      <c r="BI216" s="122">
        <f>CV216</f>
        <v/>
      </c>
      <c r="BJ216" s="117"/>
      <c r="BK216" s="812">
        <f>Overview!$E$7</f>
        <v/>
      </c>
      <c r="BL216" s="117"/>
      <c r="BM216" s="836">
        <f>CW216</f>
        <v/>
      </c>
      <c r="BN216" s="812">
        <f>Overview!$P$153</f>
        <v/>
      </c>
      <c r="BO216" s="117"/>
      <c r="BP216" s="117"/>
      <c r="BQ216" s="115"/>
      <c r="BR216" s="1478" t="inlineStr">
        <is>
          <t>N/A</t>
        </is>
      </c>
      <c r="BS216" s="1548"/>
      <c r="BT216" s="2071" t="inlineStr">
        <is>
          <t>GSM</t>
        </is>
      </c>
      <c r="BU216" s="2071">
        <v>1800</v>
      </c>
      <c r="BV216" s="415">
        <f>Overview!$H$29</f>
        <v/>
      </c>
      <c r="BW216" s="2010"/>
      <c r="BX216" s="7674" t="inlineStr">
        <is>
          <t>Close to Head</t>
        </is>
      </c>
      <c r="BY216" s="2072"/>
      <c r="BZ216" s="2072"/>
      <c r="CA216" s="1996" t="inlineStr">
        <is>
          <t>Front Face</t>
        </is>
      </c>
      <c r="CB216" s="1959">
        <v>5</v>
      </c>
      <c r="CC216" s="856">
        <f>'2G-3G'!BX30</f>
        <v>698</v>
      </c>
      <c r="CD216" s="856">
        <f>'2G-3G'!BY30</f>
        <v>1747.4</v>
      </c>
      <c r="CE216" s="1522"/>
      <c r="CF216" s="1522"/>
      <c r="CG216" s="386" t="str">
        <f>IF(OR($BY$167="",$BY$167=""),"",$BY$167)</f>
        <v/>
      </c>
      <c r="CH216" s="386">
        <f>BZ216</f>
        <v/>
      </c>
      <c r="CI216" s="386">
        <f>CA216</f>
        <v/>
      </c>
      <c r="CJ216" s="1526"/>
      <c r="CK216" s="2070"/>
      <c r="CL216" s="203">
        <f>IF(CF216=""," ",IF(ABS(CE216-CF216)&lt;=0.125,"Valid","Not valid"))</f>
        <v/>
      </c>
      <c r="CM216" s="204">
        <f> IF(CE216="","",IF(AND(CE216&lt;&gt;"",CF216=""),IF(CE216&gt;=1,"Medir+Sig Max","No"),IF(CF216&lt;&gt;"",IF(CF216&gt;=1,"Medir+Sig Max","No"),"")))</f>
        <v/>
      </c>
      <c r="CN216" s="1798"/>
      <c r="CO216" s="219">
        <f>IF(CK216="",IF(AND(CE216="",CF216=""),"",IF(CF216="",IF(DE216&gt;1,ROUND(DE216*CE216,3),CE216),IF(DE216&gt;1,ROUND(DE216*CF216,3),CF216))),IF(AND(CE216="",CF216=""),"",IF(CF216="",IF(DE216&gt;1,ROUND(DE216*CE216*(1/(CK216)),3),CE216*(1/(CK216))),IF(DE216&gt;1,ROUND(DE216*CF216*(1/(CK216)),3),CF216*(1/(CK216))))))</f>
        <v/>
      </c>
      <c r="CP216" s="2037">
        <f>$CP$3</f>
        <v/>
      </c>
      <c r="CQ216" s="1471">
        <f>IF(CO216="","",IF(CO216&gt;CP216,"Fail","Pass"))</f>
        <v/>
      </c>
      <c r="CR216" s="1480">
        <f>IF(AND(MAX(CO216:CO223)=CO216,CO216&lt;&gt;0),COUNT($CR$3:CR213)+1,"")</f>
        <v/>
      </c>
      <c r="CS216" s="1564">
        <f>MyTimestamp(CO216)</f>
        <v/>
      </c>
      <c r="CT216" s="1529">
        <f>IF(CE216="",0,15)+IF(CF216="",0,15)</f>
        <v/>
      </c>
      <c r="CU216" s="1530">
        <f>IF(CT216=0,0,2)</f>
        <v/>
      </c>
      <c r="CV216" s="862" t="inlineStr">
        <is>
          <t>S/02</t>
        </is>
      </c>
      <c r="CW216" s="862" t="inlineStr">
        <is>
          <t>Dasy6</t>
        </is>
      </c>
      <c r="CX216" s="2038"/>
      <c r="CY216" s="2039"/>
      <c r="CZ216" s="1542">
        <f>10^(CJ216/20)*100-100</f>
        <v/>
      </c>
      <c r="DA216" s="1324">
        <f>IF('Tune-Up'!$H$21="","",'Tune-Up'!$H$21)</f>
        <v/>
      </c>
      <c r="DB216" s="700">
        <f>'2G-3G'!BZ30</f>
        <v/>
      </c>
      <c r="DC216" s="768">
        <f>IF(DA216="","",10^(DA216/10))</f>
        <v/>
      </c>
      <c r="DD216" s="1368">
        <f>IF(ISNUMBER(DB216)=FALSE,"",10^(DB216/10))</f>
        <v/>
      </c>
      <c r="DE216" s="1542">
        <f>IF(AND(ISNUMBER(DC216),ISNUMBER(DD216)),IF(DC216/DD216&gt;1,ROUND((DC216)/DD216,3),1),1)</f>
        <v/>
      </c>
      <c r="DF216" s="1541"/>
      <c r="DG216" s="1541"/>
      <c r="DH216" s="1541"/>
      <c r="DI216" s="1541"/>
      <c r="DJ216" s="1541"/>
      <c r="DK216" s="1541"/>
      <c r="DL216" s="1541"/>
      <c r="DM216" s="1541"/>
      <c r="DN216" s="1541"/>
      <c r="DO216" s="1541"/>
      <c r="DP216" s="1541"/>
      <c r="DQ216" s="1541"/>
      <c r="DR216" s="1541"/>
    </row>
    <row r="217" ht="12.75" x14ac:dyDescent="0.2">
      <c r="A217" s="1541"/>
      <c r="B217" s="1541"/>
      <c r="C217"/>
      <c r="D217" s="130">
        <f>IF(BX$216="Close to Ear","EN 62209-1","EN 62209-2")</f>
        <v/>
      </c>
      <c r="E217" s="130">
        <f>IF(CG217="Close to Ear","2016","2010/A1:2019")</f>
        <v/>
      </c>
      <c r="F217" s="1488" t="inlineStr">
        <is>
          <t>5.1</t>
        </is>
      </c>
      <c r="G217" s="1497"/>
      <c r="H217" s="120">
        <f>BV217</f>
        <v/>
      </c>
      <c r="I217" s="120">
        <f>BW217</f>
        <v/>
      </c>
      <c r="J217" s="687" t="str">
        <f>BT217</f>
        <v>GSM</v>
      </c>
      <c r="K217" s="194">
        <f>BU217</f>
        <v>1800</v>
      </c>
      <c r="L217" s="115"/>
      <c r="M217" s="120">
        <f>BZ217</f>
        <v>0</v>
      </c>
      <c r="N217" s="119"/>
      <c r="O217" s="131"/>
      <c r="P217" s="6597"/>
      <c r="Q217" s="131"/>
      <c r="R217" s="131"/>
      <c r="S217" s="120">
        <f>CG217</f>
        <v>0</v>
      </c>
      <c r="T217" s="120">
        <f>CC217</f>
        <v>698</v>
      </c>
      <c r="U217" s="120">
        <f>CD217</f>
        <v>1747.4</v>
      </c>
      <c r="V217" s="119"/>
      <c r="W217" s="197">
        <f>CK217*100</f>
        <v/>
      </c>
      <c r="X217" s="119"/>
      <c r="Y217" s="119"/>
      <c r="Z217" s="119"/>
      <c r="AA217" s="115"/>
      <c r="AB217" s="115"/>
      <c r="AC217" s="689">
        <f>IF(OR(BX$216="Close to Ear",BX$216="Close to Head"),"Head",IF(BX$216="Extremity","Extremity","Body"))</f>
        <v/>
      </c>
      <c r="AD217" s="690">
        <f>CA217</f>
        <v/>
      </c>
      <c r="AE217" s="688">
        <f>CB217</f>
        <v/>
      </c>
      <c r="AF217" s="115"/>
      <c r="AG217" s="808">
        <f>IF(AZ217="","N/A",IF(CQ217="Pass","P","F"))</f>
        <v/>
      </c>
      <c r="AH217" s="129"/>
      <c r="AI217" s="129"/>
      <c r="AJ217" s="129"/>
      <c r="AK217" s="119"/>
      <c r="AL217" s="115"/>
      <c r="AM217" s="119"/>
      <c r="AN217" s="119"/>
      <c r="AO217" s="692"/>
      <c r="AP217" s="692"/>
      <c r="AQ217" s="692"/>
      <c r="AR217" s="692"/>
      <c r="AS217" s="692"/>
      <c r="AT217" s="691">
        <f>CE217</f>
        <v/>
      </c>
      <c r="AU217" s="691">
        <f>CF217</f>
        <v/>
      </c>
      <c r="AV217" s="813"/>
      <c r="AW217" s="813"/>
      <c r="AX217" s="197">
        <f>CZ217</f>
        <v/>
      </c>
      <c r="AY217" s="197">
        <f>DE217</f>
        <v/>
      </c>
      <c r="AZ217" s="3379">
        <f>CO217</f>
        <v/>
      </c>
      <c r="BA217" s="3380"/>
      <c r="BB217" s="197">
        <f>CP217</f>
        <v/>
      </c>
      <c r="BC217" s="813"/>
      <c r="BD217" s="197">
        <f>CR217</f>
        <v/>
      </c>
      <c r="BE217" s="121">
        <f>CS217</f>
        <v/>
      </c>
      <c r="BF217" s="122">
        <f>CT217*60</f>
        <v/>
      </c>
      <c r="BG217" s="121">
        <f>BE217</f>
        <v/>
      </c>
      <c r="BH217" s="122">
        <f>CU217*60</f>
        <v/>
      </c>
      <c r="BI217" s="122">
        <f>CV217</f>
        <v/>
      </c>
      <c r="BJ217" s="117"/>
      <c r="BK217" s="812">
        <f>Overview!$E$7</f>
        <v/>
      </c>
      <c r="BL217" s="117"/>
      <c r="BM217" s="836">
        <f>CW217</f>
        <v/>
      </c>
      <c r="BN217" s="812">
        <f>Overview!$P$153</f>
        <v/>
      </c>
      <c r="BO217" s="117"/>
      <c r="BP217" s="117"/>
      <c r="BQ217" s="115"/>
      <c r="BR217" s="1478" t="inlineStr">
        <is>
          <t>N/A</t>
        </is>
      </c>
      <c r="BS217" s="1548"/>
      <c r="BT217" s="2071" t="inlineStr">
        <is>
          <t>GSM</t>
        </is>
      </c>
      <c r="BU217" s="2071">
        <v>1800</v>
      </c>
      <c r="BV217" s="415">
        <f>Overview!$H$29</f>
        <v/>
      </c>
      <c r="BW217" s="2010"/>
      <c r="BX217" s="2071"/>
      <c r="BY217" s="2072"/>
      <c r="BZ217" s="2072"/>
      <c r="CA217" s="1997" t="inlineStr">
        <is>
          <t>Back Face</t>
        </is>
      </c>
      <c r="CB217" s="200">
        <v>5</v>
      </c>
      <c r="CC217" s="902">
        <f>'2G-3G'!BX30</f>
        <v>698</v>
      </c>
      <c r="CD217" s="902">
        <f>'2G-3G'!BY30</f>
        <v>1747.4</v>
      </c>
      <c r="CE217" s="1523"/>
      <c r="CF217" s="1523"/>
      <c r="CG217" s="387" t="str">
        <f>IF(OR($BY$167="",$BY$167=""),"",$BY$167)</f>
        <v/>
      </c>
      <c r="CH217" s="387">
        <f>BZ217</f>
        <v/>
      </c>
      <c r="CI217" s="387">
        <f>CA217</f>
        <v/>
      </c>
      <c r="CJ217" s="1527"/>
      <c r="CK217" s="2042"/>
      <c r="CL217" s="206">
        <f>IF(CF217=""," ",IF(ABS(CE217-CF217)&lt;=0.125,"Valid","Not valid"))</f>
        <v/>
      </c>
      <c r="CM217" s="207">
        <f> IF(CE217="","",IF(AND(CE217&lt;&gt;"",CF217=""),IF(CE217&gt;=1,"Medir+Sig Max","No"),IF(CF217&lt;&gt;"",IF(CF217&gt;=1,"Medir+Sig Max","No"),"")))</f>
        <v/>
      </c>
      <c r="CN217" s="1787"/>
      <c r="CO217" s="220">
        <f>IF(CK217="",IF(AND(CE217="",CF217=""),"",IF(CF217="",IF(DE217&gt;1,ROUND(DE217*CE217,3),CE217),IF(DE217&gt;1,ROUND(DE217*CF217,3),CF217))),IF(AND(CE217="",CF217=""),"",IF(CF217="",IF(DE217&gt;1,ROUND(DE217*CE217*(1/(CK217)),3),CE217*(1/(CK217))),IF(DE217&gt;1,ROUND(DE217*CF217*(1/(CK217)),3),CF217*(1/(CK217))))))</f>
        <v/>
      </c>
      <c r="CP217" s="2043">
        <f>$CP$3</f>
        <v/>
      </c>
      <c r="CQ217" s="1472">
        <f>IF(CO217="","",IF(CO217&gt;CP217,"Fail","Pass"))</f>
        <v/>
      </c>
      <c r="CR217" s="1481">
        <f>IF(AND(MAX(CO216:CO223)=CO217,CO217&lt;&gt;0),COUNT($CR$3:CR216)+1,"")</f>
        <v/>
      </c>
      <c r="CS217" s="1565">
        <f>MyTimestamp(CO217)</f>
        <v/>
      </c>
      <c r="CT217" s="1531">
        <f>IF(CE217="",0,15)+IF(CF217="",0,15)</f>
        <v/>
      </c>
      <c r="CU217" s="1532">
        <f>IF(CT217=0,0,2)</f>
        <v/>
      </c>
      <c r="CV217" s="859" t="inlineStr">
        <is>
          <t>S/02</t>
        </is>
      </c>
      <c r="CW217" s="859" t="inlineStr">
        <is>
          <t>Dasy6</t>
        </is>
      </c>
      <c r="CX217" s="2038"/>
      <c r="CY217" s="2044"/>
      <c r="CZ217" s="1543">
        <f>10^(CJ217/20)*100-100</f>
        <v/>
      </c>
      <c r="DA217" s="1325">
        <f>IF('Tune-Up'!$H$21="","",'Tune-Up'!$H$21)</f>
        <v/>
      </c>
      <c r="DB217" s="701">
        <f>'2G-3G'!BZ30</f>
        <v/>
      </c>
      <c r="DC217" s="769">
        <f>IF(DA217="","",10^(DA217/10))</f>
        <v/>
      </c>
      <c r="DD217" s="1369">
        <f>IF(ISNUMBER(DB217)=FALSE,"",10^(DB217/10))</f>
        <v/>
      </c>
      <c r="DE217" s="1543">
        <f>IF(AND(ISNUMBER(DC217),ISNUMBER(DD217)),IF(DC217/DD217&gt;1,ROUND((DC217)/DD217,3),1),1)</f>
        <v/>
      </c>
      <c r="DF217" s="1541"/>
      <c r="DG217" s="1541"/>
      <c r="DH217" s="1541"/>
      <c r="DI217" s="1541"/>
      <c r="DJ217" s="1541"/>
      <c r="DK217" s="1541"/>
      <c r="DL217" s="1541"/>
      <c r="DM217" s="1541"/>
      <c r="DN217" s="1541"/>
      <c r="DO217" s="1541"/>
      <c r="DP217" s="1541"/>
      <c r="DQ217" s="1541"/>
      <c r="DR217" s="1541"/>
    </row>
    <row r="218" ht="12.75" x14ac:dyDescent="0.2">
      <c r="A218" s="1541"/>
      <c r="B218" s="1541"/>
      <c r="C218"/>
      <c r="D218" s="130">
        <f>IF(BX$216="Close to Ear","EN 62209-1","EN 62209-2")</f>
        <v/>
      </c>
      <c r="E218" s="130">
        <f>IF(CG218="Close to Ear","2016","2010/A1:2019")</f>
        <v/>
      </c>
      <c r="F218" s="1488" t="inlineStr">
        <is>
          <t>5.1</t>
        </is>
      </c>
      <c r="G218" s="1497"/>
      <c r="H218" s="120">
        <f>BV218</f>
        <v/>
      </c>
      <c r="I218" s="120">
        <f>BW218</f>
        <v/>
      </c>
      <c r="J218" s="687" t="str">
        <f>BT218</f>
        <v>GSM</v>
      </c>
      <c r="K218" s="194">
        <f>BU218</f>
        <v>1800</v>
      </c>
      <c r="L218" s="115"/>
      <c r="M218" s="120">
        <f>BZ218</f>
        <v>0</v>
      </c>
      <c r="N218" s="119"/>
      <c r="O218" s="131"/>
      <c r="P218" s="6597"/>
      <c r="Q218" s="131"/>
      <c r="R218" s="131"/>
      <c r="S218" s="120">
        <f>CG218</f>
        <v>0</v>
      </c>
      <c r="T218" s="120">
        <f>CC218</f>
        <v>698</v>
      </c>
      <c r="U218" s="120">
        <f>CD218</f>
        <v>1747.4</v>
      </c>
      <c r="V218" s="119"/>
      <c r="W218" s="197">
        <f>CK218*100</f>
        <v/>
      </c>
      <c r="X218" s="119"/>
      <c r="Y218" s="119"/>
      <c r="Z218" s="119"/>
      <c r="AA218" s="115"/>
      <c r="AB218" s="115"/>
      <c r="AC218" s="689">
        <f>IF(OR(BX$216="Close to Ear",BX$216="Close to Head"),"Head",IF(BX$216="Extremity","Extremity","Body"))</f>
        <v/>
      </c>
      <c r="AD218" s="690">
        <f>CA218</f>
        <v/>
      </c>
      <c r="AE218" s="688">
        <f>CB218</f>
        <v/>
      </c>
      <c r="AF218" s="115"/>
      <c r="AG218" s="808">
        <f>IF(AZ218="","N/A",IF(CQ218="Pass","P","F"))</f>
        <v/>
      </c>
      <c r="AH218" s="129"/>
      <c r="AI218" s="129"/>
      <c r="AJ218" s="129"/>
      <c r="AK218" s="119"/>
      <c r="AL218" s="115"/>
      <c r="AM218" s="119"/>
      <c r="AN218" s="119"/>
      <c r="AO218" s="692"/>
      <c r="AP218" s="692"/>
      <c r="AQ218" s="692"/>
      <c r="AR218" s="692"/>
      <c r="AS218" s="692"/>
      <c r="AT218" s="691">
        <f>CE218</f>
        <v/>
      </c>
      <c r="AU218" s="691">
        <f>CF218</f>
        <v/>
      </c>
      <c r="AV218" s="813"/>
      <c r="AW218" s="813"/>
      <c r="AX218" s="197">
        <f>CZ218</f>
        <v/>
      </c>
      <c r="AY218" s="197">
        <f>DE218</f>
        <v/>
      </c>
      <c r="AZ218" s="3379">
        <f>CO218</f>
        <v/>
      </c>
      <c r="BA218" s="3380"/>
      <c r="BB218" s="197">
        <f>CP218</f>
        <v/>
      </c>
      <c r="BC218" s="813"/>
      <c r="BD218" s="197">
        <f>CR218</f>
        <v/>
      </c>
      <c r="BE218" s="121">
        <f>CS218</f>
        <v/>
      </c>
      <c r="BF218" s="122">
        <f>CT218*60</f>
        <v/>
      </c>
      <c r="BG218" s="121">
        <f>BE218</f>
        <v/>
      </c>
      <c r="BH218" s="122">
        <f>CU218*60</f>
        <v/>
      </c>
      <c r="BI218" s="122">
        <f>CV218</f>
        <v/>
      </c>
      <c r="BJ218" s="117"/>
      <c r="BK218" s="812">
        <f>Overview!$E$7</f>
        <v/>
      </c>
      <c r="BL218" s="117"/>
      <c r="BM218" s="836">
        <f>CW218</f>
        <v/>
      </c>
      <c r="BN218" s="812">
        <f>Overview!$P$153</f>
        <v/>
      </c>
      <c r="BO218" s="117"/>
      <c r="BP218" s="117"/>
      <c r="BQ218" s="115"/>
      <c r="BR218" s="1478" t="inlineStr">
        <is>
          <t>N/A</t>
        </is>
      </c>
      <c r="BS218" s="1548"/>
      <c r="BT218" s="2071" t="inlineStr">
        <is>
          <t>GSM</t>
        </is>
      </c>
      <c r="BU218" s="2071">
        <v>1800</v>
      </c>
      <c r="BV218" s="415">
        <f>Overview!$H$29</f>
        <v/>
      </c>
      <c r="BW218" s="2010"/>
      <c r="BX218" s="2071"/>
      <c r="BY218" s="2072"/>
      <c r="BZ218" s="2072"/>
      <c r="CA218" s="1997" t="inlineStr">
        <is>
          <t>Left Edge</t>
        </is>
      </c>
      <c r="CB218" s="200">
        <v>5</v>
      </c>
      <c r="CC218" s="902">
        <f>'2G-3G'!BX30</f>
        <v>698</v>
      </c>
      <c r="CD218" s="902">
        <f>'2G-3G'!BY30</f>
        <v>1747.4</v>
      </c>
      <c r="CE218" s="1523"/>
      <c r="CF218" s="1523"/>
      <c r="CG218" s="387" t="str">
        <f>IF(OR($BY$167="",$BY$167=""),"",$BY$167)</f>
        <v/>
      </c>
      <c r="CH218" s="387">
        <f>BZ218</f>
        <v/>
      </c>
      <c r="CI218" s="387">
        <f>CA218</f>
        <v/>
      </c>
      <c r="CJ218" s="1527"/>
      <c r="CK218" s="2042"/>
      <c r="CL218" s="206">
        <f>IF(CF218=""," ",IF(ABS(CE218-CF218)&lt;=0.125,"Valid","Not valid"))</f>
        <v/>
      </c>
      <c r="CM218" s="207">
        <f> IF(CE218="","",IF(AND(CE218&lt;&gt;"",CF218=""),IF(CE218&gt;=1,"Medir+Sig Max","No"),IF(CF218&lt;&gt;"",IF(CF218&gt;=1,"Medir+Sig Max","No"),"")))</f>
        <v/>
      </c>
      <c r="CN218" s="1787"/>
      <c r="CO218" s="220">
        <f>IF(CK218="",IF(AND(CE218="",CF218=""),"",IF(CF218="",IF(DE218&gt;1,ROUND(DE218*CE218,3),CE218),IF(DE218&gt;1,ROUND(DE218*CF218,3),CF218))),IF(AND(CE218="",CF218=""),"",IF(CF218="",IF(DE218&gt;1,ROUND(DE218*CE218*(1/(CK218)),3),CE218*(1/(CK218))),IF(DE218&gt;1,ROUND(DE218*CF218*(1/(CK218)),3),CF218*(1/(CK218))))))</f>
        <v/>
      </c>
      <c r="CP218" s="2043">
        <f>$CP$3</f>
        <v/>
      </c>
      <c r="CQ218" s="1472">
        <f>IF(CO218="","",IF(CO218&gt;CP218,"Fail","Pass"))</f>
        <v/>
      </c>
      <c r="CR218" s="1481">
        <f>IF(AND(MAX(CO216:CO223)=CO218,CO218&lt;&gt;0),COUNT($CR$3:CR217)+1,"")</f>
        <v/>
      </c>
      <c r="CS218" s="1565">
        <f>MyTimestamp(CO218)</f>
        <v/>
      </c>
      <c r="CT218" s="1531">
        <f>IF(CE218="",0,15)+IF(CF218="",0,15)</f>
        <v/>
      </c>
      <c r="CU218" s="1532">
        <f>IF(CT218=0,0,2)</f>
        <v/>
      </c>
      <c r="CV218" s="859" t="inlineStr">
        <is>
          <t>S/02</t>
        </is>
      </c>
      <c r="CW218" s="859" t="inlineStr">
        <is>
          <t>Dasy6</t>
        </is>
      </c>
      <c r="CX218" s="2038"/>
      <c r="CY218" s="2044"/>
      <c r="CZ218" s="1543">
        <f>10^(CJ218/20)*100-100</f>
        <v/>
      </c>
      <c r="DA218" s="1325">
        <f>IF('Tune-Up'!$H$21="","",'Tune-Up'!$H$21)</f>
        <v/>
      </c>
      <c r="DB218" s="701">
        <f>'2G-3G'!BZ30</f>
        <v/>
      </c>
      <c r="DC218" s="769">
        <f>IF(DA218="","",10^(DA218/10))</f>
        <v/>
      </c>
      <c r="DD218" s="1369">
        <f>IF(ISNUMBER(DB218)=FALSE,"",10^(DB218/10))</f>
        <v/>
      </c>
      <c r="DE218" s="1543">
        <f>IF(AND(ISNUMBER(DC218),ISNUMBER(DD218)),IF(DC218/DD218&gt;1,ROUND((DC218)/DD218,3),1),1)</f>
        <v/>
      </c>
      <c r="DF218" s="1541"/>
      <c r="DG218" s="1541"/>
      <c r="DH218" s="1541"/>
      <c r="DI218" s="1541"/>
      <c r="DJ218" s="1541"/>
      <c r="DK218" s="1541"/>
      <c r="DL218" s="1541"/>
      <c r="DM218" s="1541"/>
      <c r="DN218" s="1541"/>
      <c r="DO218" s="1541"/>
      <c r="DP218" s="1541"/>
      <c r="DQ218" s="1541"/>
      <c r="DR218" s="1541"/>
    </row>
    <row r="219" ht="12.75" x14ac:dyDescent="0.2">
      <c r="A219" s="1541"/>
      <c r="B219" s="1541"/>
      <c r="C219"/>
      <c r="D219" s="130">
        <f>IF(BX$216="Close to Ear","EN 62209-1","EN 62209-2")</f>
        <v/>
      </c>
      <c r="E219" s="130">
        <f>IF(CG219="Close to Ear","2016","2010/A1:2019")</f>
        <v/>
      </c>
      <c r="F219" s="1488" t="inlineStr">
        <is>
          <t>5.1</t>
        </is>
      </c>
      <c r="G219" s="1497"/>
      <c r="H219" s="120">
        <f>BV219</f>
        <v/>
      </c>
      <c r="I219" s="120">
        <f>BW219</f>
        <v/>
      </c>
      <c r="J219" s="687" t="str">
        <f>BT219</f>
        <v>GSM</v>
      </c>
      <c r="K219" s="194">
        <f>BU219</f>
        <v>1800</v>
      </c>
      <c r="L219" s="115"/>
      <c r="M219" s="120">
        <f>BZ219</f>
        <v>0</v>
      </c>
      <c r="N219" s="119"/>
      <c r="O219" s="131"/>
      <c r="P219" s="6597"/>
      <c r="Q219" s="131"/>
      <c r="R219" s="131"/>
      <c r="S219" s="120">
        <f>CG219</f>
        <v>0</v>
      </c>
      <c r="T219" s="120">
        <f>CC219</f>
        <v>698</v>
      </c>
      <c r="U219" s="120">
        <f>CD219</f>
        <v>1747.4</v>
      </c>
      <c r="V219" s="119"/>
      <c r="W219" s="197">
        <f>CK219*100</f>
        <v/>
      </c>
      <c r="X219" s="119"/>
      <c r="Y219" s="119"/>
      <c r="Z219" s="119"/>
      <c r="AA219" s="115"/>
      <c r="AB219" s="115"/>
      <c r="AC219" s="689">
        <f>IF(OR(BX$216="Close to Ear",BX$216="Close to Head"),"Head",IF(BX$216="Extremity","Extremity","Body"))</f>
        <v/>
      </c>
      <c r="AD219" s="690">
        <f>CA219</f>
        <v/>
      </c>
      <c r="AE219" s="688">
        <f>CB219</f>
        <v/>
      </c>
      <c r="AF219" s="115"/>
      <c r="AG219" s="808">
        <f>IF(AZ219="","N/A",IF(CQ219="Pass","P","F"))</f>
        <v/>
      </c>
      <c r="AH219" s="129"/>
      <c r="AI219" s="129"/>
      <c r="AJ219" s="129"/>
      <c r="AK219" s="119"/>
      <c r="AL219" s="115"/>
      <c r="AM219" s="119"/>
      <c r="AN219" s="119"/>
      <c r="AO219" s="692"/>
      <c r="AP219" s="692"/>
      <c r="AQ219" s="692"/>
      <c r="AR219" s="692"/>
      <c r="AS219" s="692"/>
      <c r="AT219" s="691">
        <f>CE219</f>
        <v/>
      </c>
      <c r="AU219" s="691">
        <f>CF219</f>
        <v/>
      </c>
      <c r="AV219" s="813"/>
      <c r="AW219" s="813"/>
      <c r="AX219" s="197">
        <f>CZ219</f>
        <v/>
      </c>
      <c r="AY219" s="197">
        <f>DE219</f>
        <v/>
      </c>
      <c r="AZ219" s="3379">
        <f>CO219</f>
        <v/>
      </c>
      <c r="BA219" s="3380"/>
      <c r="BB219" s="197">
        <f>CP219</f>
        <v/>
      </c>
      <c r="BC219" s="813"/>
      <c r="BD219" s="197">
        <f>CR219</f>
        <v/>
      </c>
      <c r="BE219" s="121">
        <f>CS219</f>
        <v/>
      </c>
      <c r="BF219" s="122">
        <f>CT219*60</f>
        <v/>
      </c>
      <c r="BG219" s="121">
        <f>BE219</f>
        <v/>
      </c>
      <c r="BH219" s="122">
        <f>CU219*60</f>
        <v/>
      </c>
      <c r="BI219" s="122">
        <f>CV219</f>
        <v/>
      </c>
      <c r="BJ219" s="117"/>
      <c r="BK219" s="812">
        <f>Overview!$E$7</f>
        <v/>
      </c>
      <c r="BL219" s="117"/>
      <c r="BM219" s="836">
        <f>CW219</f>
        <v/>
      </c>
      <c r="BN219" s="812">
        <f>Overview!$P$153</f>
        <v/>
      </c>
      <c r="BO219" s="117"/>
      <c r="BP219" s="117"/>
      <c r="BQ219" s="115"/>
      <c r="BR219" s="1478" t="inlineStr">
        <is>
          <t>N/A</t>
        </is>
      </c>
      <c r="BS219" s="1548"/>
      <c r="BT219" s="1891" t="inlineStr">
        <is>
          <t>GSM</t>
        </is>
      </c>
      <c r="BU219" s="1891">
        <v>1800</v>
      </c>
      <c r="BV219" s="417">
        <f>Overview!$H$29</f>
        <v/>
      </c>
      <c r="BW219" s="2010"/>
      <c r="BX219" s="1891"/>
      <c r="BY219" s="2072"/>
      <c r="BZ219" s="2072"/>
      <c r="CA219" s="1997" t="inlineStr">
        <is>
          <t>Right Edge</t>
        </is>
      </c>
      <c r="CB219" s="200">
        <v>5</v>
      </c>
      <c r="CC219" s="902">
        <f>'2G-3G'!BX30</f>
        <v>698</v>
      </c>
      <c r="CD219" s="902">
        <f>'2G-3G'!BY30</f>
        <v>1747.4</v>
      </c>
      <c r="CE219" s="1523"/>
      <c r="CF219" s="1523"/>
      <c r="CG219" s="387" t="str">
        <f>IF(OR($BY$167="",$BY$167=""),"",$BY$167)</f>
        <v/>
      </c>
      <c r="CH219" s="387">
        <f>BZ219</f>
        <v/>
      </c>
      <c r="CI219" s="387">
        <f>CA219</f>
        <v/>
      </c>
      <c r="CJ219" s="1527"/>
      <c r="CK219" s="2042"/>
      <c r="CL219" s="206">
        <f>IF(CF219=""," ",IF(ABS(CE219-CF219)&lt;=0.125,"Valid","Not valid"))</f>
        <v/>
      </c>
      <c r="CM219" s="207">
        <f> IF(CE219="","",IF(AND(CE219&lt;&gt;"",CF219=""),IF(CE219&gt;=1,"Medir+Sig Max","No"),IF(CF219&lt;&gt;"",IF(CF219&gt;=1,"Medir+Sig Max","No"),"")))</f>
        <v/>
      </c>
      <c r="CN219" s="1787"/>
      <c r="CO219" s="220">
        <f>IF(CK219="",IF(AND(CE219="",CF219=""),"",IF(CF219="",IF(DE219&gt;1,ROUND(DE219*CE219,3),CE219),IF(DE219&gt;1,ROUND(DE219*CF219,3),CF219))),IF(AND(CE219="",CF219=""),"",IF(CF219="",IF(DE219&gt;1,ROUND(DE219*CE219*(1/(CK219)),3),CE219*(1/(CK219))),IF(DE219&gt;1,ROUND(DE219*CF219*(1/(CK219)),3),CF219*(1/(CK219))))))</f>
        <v/>
      </c>
      <c r="CP219" s="2043">
        <f>$CP$3</f>
        <v/>
      </c>
      <c r="CQ219" s="1472">
        <f>IF(CO219="","",IF(CO219&gt;CP219,"Fail","Pass"))</f>
        <v/>
      </c>
      <c r="CR219" s="1481">
        <f>IF(AND(MAX(CO216:CO223)=CO219,CO219&lt;&gt;0),COUNT($CR$3:CR218)+1,"")</f>
        <v/>
      </c>
      <c r="CS219" s="1565">
        <f>MyTimestamp(CO219)</f>
        <v/>
      </c>
      <c r="CT219" s="1531">
        <f>IF(CE219="",0,15)+IF(CF219="",0,15)</f>
        <v/>
      </c>
      <c r="CU219" s="1532">
        <f>IF(CT219=0,0,2)</f>
        <v/>
      </c>
      <c r="CV219" s="859" t="inlineStr">
        <is>
          <t>S/02</t>
        </is>
      </c>
      <c r="CW219" s="859" t="inlineStr">
        <is>
          <t>Dasy6</t>
        </is>
      </c>
      <c r="CX219" s="2038"/>
      <c r="CY219" s="2044"/>
      <c r="CZ219" s="1543">
        <f>10^(CJ219/20)*100-100</f>
        <v/>
      </c>
      <c r="DA219" s="1325">
        <f>IF('Tune-Up'!$H$21="","",'Tune-Up'!$H$21)</f>
        <v/>
      </c>
      <c r="DB219" s="701">
        <f>'2G-3G'!BZ30</f>
        <v/>
      </c>
      <c r="DC219" s="769">
        <f>IF(DA219="","",10^(DA219/10))</f>
        <v/>
      </c>
      <c r="DD219" s="1369">
        <f>IF(ISNUMBER(DB219)=FALSE,"",10^(DB219/10))</f>
        <v/>
      </c>
      <c r="DE219" s="1543">
        <f>IF(AND(ISNUMBER(DC219),ISNUMBER(DD219)),IF(DC219/DD219&gt;1,ROUND((DC219)/DD219,3),1),1)</f>
        <v/>
      </c>
      <c r="DF219" s="1541"/>
      <c r="DG219" s="1541"/>
      <c r="DH219" s="1541"/>
      <c r="DI219" s="1541"/>
      <c r="DJ219" s="1541"/>
      <c r="DK219" s="1541"/>
      <c r="DL219" s="1541"/>
      <c r="DM219" s="1541"/>
      <c r="DN219" s="1541"/>
      <c r="DO219" s="1541"/>
      <c r="DP219" s="1541"/>
      <c r="DQ219" s="1541"/>
      <c r="DR219" s="1541"/>
    </row>
    <row r="220" ht="12.75" x14ac:dyDescent="0.2">
      <c r="A220" s="1541"/>
      <c r="B220" s="1541"/>
      <c r="C220"/>
      <c r="D220" s="130">
        <f>IF(BX$216="Close to Ear","EN 62209-1","EN 62209-2")</f>
        <v/>
      </c>
      <c r="E220" s="130">
        <f>IF(CG220="Close to Ear","2016","2010/A1:2019")</f>
        <v/>
      </c>
      <c r="F220" s="1488" t="inlineStr">
        <is>
          <t>5.1</t>
        </is>
      </c>
      <c r="G220" s="1497"/>
      <c r="H220" s="120">
        <f>BV220</f>
        <v/>
      </c>
      <c r="I220" s="120">
        <f>BW220</f>
        <v/>
      </c>
      <c r="J220" s="687" t="str">
        <f>BT220</f>
        <v>GSM</v>
      </c>
      <c r="K220" s="194">
        <f>BU220</f>
        <v>1800</v>
      </c>
      <c r="L220" s="115"/>
      <c r="M220" s="120">
        <f>BZ220</f>
        <v>0</v>
      </c>
      <c r="N220" s="119"/>
      <c r="O220" s="131"/>
      <c r="P220" s="6597"/>
      <c r="Q220" s="131"/>
      <c r="R220" s="131"/>
      <c r="S220" s="120">
        <f>CG220</f>
        <v>0</v>
      </c>
      <c r="T220" s="120">
        <f>CC220</f>
        <v>698</v>
      </c>
      <c r="U220" s="120">
        <f>CD220</f>
        <v>1747.4</v>
      </c>
      <c r="V220" s="119"/>
      <c r="W220" s="197">
        <f>CK220*100</f>
        <v/>
      </c>
      <c r="X220" s="119"/>
      <c r="Y220" s="119"/>
      <c r="Z220" s="119"/>
      <c r="AA220" s="115"/>
      <c r="AB220" s="115"/>
      <c r="AC220" s="689">
        <f>IF(OR(BX$216="Close to Ear",BX$216="Close to Head"),"Head",IF(BX$216="Extremity","Extremity","Body"))</f>
        <v/>
      </c>
      <c r="AD220" s="690">
        <f>CA220</f>
        <v/>
      </c>
      <c r="AE220" s="688">
        <f>CB220</f>
        <v/>
      </c>
      <c r="AF220" s="115"/>
      <c r="AG220" s="808">
        <f>IF(AZ220="","N/A",IF(CQ220="Pass","P","F"))</f>
        <v/>
      </c>
      <c r="AH220" s="129"/>
      <c r="AI220" s="129"/>
      <c r="AJ220" s="129"/>
      <c r="AK220" s="119"/>
      <c r="AL220" s="115"/>
      <c r="AM220" s="119"/>
      <c r="AN220" s="119"/>
      <c r="AO220" s="692"/>
      <c r="AP220" s="692"/>
      <c r="AQ220" s="692"/>
      <c r="AR220" s="692"/>
      <c r="AS220" s="692"/>
      <c r="AT220" s="691">
        <f>CE220</f>
        <v/>
      </c>
      <c r="AU220" s="691">
        <f>CF220</f>
        <v/>
      </c>
      <c r="AV220" s="813"/>
      <c r="AW220" s="813"/>
      <c r="AX220" s="197">
        <f>CZ220</f>
        <v/>
      </c>
      <c r="AY220" s="197">
        <f>DE220</f>
        <v/>
      </c>
      <c r="AZ220" s="3379">
        <f>CO220</f>
        <v/>
      </c>
      <c r="BA220" s="3380"/>
      <c r="BB220" s="197">
        <f>CP220</f>
        <v/>
      </c>
      <c r="BC220" s="813"/>
      <c r="BD220" s="197">
        <f>CR220</f>
        <v/>
      </c>
      <c r="BE220" s="121">
        <f>CS220</f>
        <v/>
      </c>
      <c r="BF220" s="122">
        <f>CT220*60</f>
        <v/>
      </c>
      <c r="BG220" s="121">
        <f>BE220</f>
        <v/>
      </c>
      <c r="BH220" s="122">
        <f>CU220*60</f>
        <v/>
      </c>
      <c r="BI220" s="122">
        <f>CV220</f>
        <v/>
      </c>
      <c r="BJ220" s="117"/>
      <c r="BK220" s="812">
        <f>Overview!$E$7</f>
        <v/>
      </c>
      <c r="BL220" s="117"/>
      <c r="BM220" s="836">
        <f>CW220</f>
        <v/>
      </c>
      <c r="BN220" s="812">
        <f>Overview!$P$153</f>
        <v/>
      </c>
      <c r="BO220" s="117"/>
      <c r="BP220" s="117"/>
      <c r="BQ220" s="115"/>
      <c r="BR220" s="1478" t="inlineStr">
        <is>
          <t>N/A</t>
        </is>
      </c>
      <c r="BS220" s="1548"/>
      <c r="BT220" s="2071" t="inlineStr">
        <is>
          <t>GSM</t>
        </is>
      </c>
      <c r="BU220" s="2071">
        <v>1800</v>
      </c>
      <c r="BV220" s="415">
        <f>Overview!$H$29</f>
        <v/>
      </c>
      <c r="BW220" s="2010"/>
      <c r="BX220" s="2071"/>
      <c r="BY220" s="2072"/>
      <c r="BZ220" s="2072"/>
      <c r="CA220" s="1997" t="inlineStr">
        <is>
          <t>Top Edge</t>
        </is>
      </c>
      <c r="CB220" s="200">
        <v>5</v>
      </c>
      <c r="CC220" s="902">
        <f>'2G-3G'!BX30</f>
        <v>698</v>
      </c>
      <c r="CD220" s="902">
        <f>'2G-3G'!BY30</f>
        <v>1747.4</v>
      </c>
      <c r="CE220" s="1523"/>
      <c r="CF220" s="1523"/>
      <c r="CG220" s="387" t="str">
        <f>IF(OR($BY$167="",$BY$167=""),"",$BY$167)</f>
        <v/>
      </c>
      <c r="CH220" s="387">
        <f>BZ220</f>
        <v/>
      </c>
      <c r="CI220" s="387">
        <f>CA220</f>
        <v/>
      </c>
      <c r="CJ220" s="1527"/>
      <c r="CK220" s="2042"/>
      <c r="CL220" s="206">
        <f>IF(CF220=""," ",IF(ABS(CE220-CF220)&lt;=0.125,"Valid","Not valid"))</f>
        <v/>
      </c>
      <c r="CM220" s="207">
        <f> IF(CE220="","",IF(AND(CE220&lt;&gt;"",CF220=""),IF(CE220&gt;=1,"Medir+Sig Max","No"),IF(CF220&lt;&gt;"",IF(CF220&gt;=1,"Medir+Sig Max","No"),"")))</f>
        <v/>
      </c>
      <c r="CN220" s="1787"/>
      <c r="CO220" s="220">
        <f>IF(CK220="",IF(AND(CE220="",CF220=""),"",IF(CF220="",IF(DE220&gt;1,ROUND(DE220*CE220,3),CE220),IF(DE220&gt;1,ROUND(DE220*CF220,3),CF220))),IF(AND(CE220="",CF220=""),"",IF(CF220="",IF(DE220&gt;1,ROUND(DE220*CE220*(1/(CK220)),3),CE220*(1/(CK220))),IF(DE220&gt;1,ROUND(DE220*CF220*(1/(CK220)),3),CF220*(1/(CK220))))))</f>
        <v/>
      </c>
      <c r="CP220" s="2043">
        <f>$CP$3</f>
        <v/>
      </c>
      <c r="CQ220" s="1472">
        <f>IF(CO220="","",IF(CO220&gt;CP220,"Fail","Pass"))</f>
        <v/>
      </c>
      <c r="CR220" s="1481">
        <f>IF(AND(MAX(CO216:CO223)=CO220,CO220&lt;&gt;0),COUNT($CR$3:CR219)+1,"")</f>
        <v/>
      </c>
      <c r="CS220" s="1565">
        <f>MyTimestamp(CO220)</f>
        <v/>
      </c>
      <c r="CT220" s="1531">
        <f>IF(CE220="",0,15)+IF(CF220="",0,15)</f>
        <v/>
      </c>
      <c r="CU220" s="1532">
        <f>IF(CT220=0,0,2)</f>
        <v/>
      </c>
      <c r="CV220" s="859" t="inlineStr">
        <is>
          <t>S/02</t>
        </is>
      </c>
      <c r="CW220" s="859" t="inlineStr">
        <is>
          <t>Dasy6</t>
        </is>
      </c>
      <c r="CX220" s="2038"/>
      <c r="CY220" s="2044"/>
      <c r="CZ220" s="1543">
        <f>10^(CJ220/20)*100-100</f>
        <v/>
      </c>
      <c r="DA220" s="1325">
        <f>IF('Tune-Up'!$H$21="","",'Tune-Up'!$H$21)</f>
        <v/>
      </c>
      <c r="DB220" s="701">
        <f>'2G-3G'!BZ30</f>
        <v/>
      </c>
      <c r="DC220" s="769">
        <f>IF(DA220="","",10^(DA220/10))</f>
        <v/>
      </c>
      <c r="DD220" s="1369">
        <f>IF(ISNUMBER(DB220)=FALSE,"",10^(DB220/10))</f>
        <v/>
      </c>
      <c r="DE220" s="1543">
        <f>IF(AND(ISNUMBER(DC220),ISNUMBER(DD220)),IF(DC220/DD220&gt;1,ROUND((DC220)/DD220,3),1),1)</f>
        <v/>
      </c>
      <c r="DF220" s="1541"/>
      <c r="DG220" s="1541"/>
      <c r="DH220" s="1541"/>
      <c r="DI220" s="1541"/>
      <c r="DJ220" s="1541"/>
      <c r="DK220" s="1541"/>
      <c r="DL220" s="1541"/>
      <c r="DM220" s="1541"/>
      <c r="DN220" s="1541"/>
      <c r="DO220" s="1541"/>
      <c r="DP220" s="1541"/>
      <c r="DQ220" s="1541"/>
      <c r="DR220" s="1541"/>
    </row>
    <row r="221" ht="12.75" x14ac:dyDescent="0.2">
      <c r="A221" s="1541"/>
      <c r="B221" s="1541"/>
      <c r="C221"/>
      <c r="D221" s="130">
        <f>IF(BX$216="Close to Ear","EN 62209-1","EN 62209-2")</f>
        <v/>
      </c>
      <c r="E221" s="130">
        <f>IF(CG221="Close to Ear","2016","2010/A1:2019")</f>
        <v/>
      </c>
      <c r="F221" s="1488" t="inlineStr">
        <is>
          <t>5.1</t>
        </is>
      </c>
      <c r="G221" s="1497"/>
      <c r="H221" s="120">
        <f>BV221</f>
        <v/>
      </c>
      <c r="I221" s="120">
        <f>BW221</f>
        <v/>
      </c>
      <c r="J221" s="687" t="str">
        <f>BT221</f>
        <v>GSM</v>
      </c>
      <c r="K221" s="194">
        <f>BU221</f>
        <v>1800</v>
      </c>
      <c r="L221" s="115"/>
      <c r="M221" s="120">
        <f>BZ221</f>
        <v>0</v>
      </c>
      <c r="N221" s="119"/>
      <c r="O221" s="131"/>
      <c r="P221" s="6597"/>
      <c r="Q221" s="131"/>
      <c r="R221" s="131"/>
      <c r="S221" s="120">
        <f>CG221</f>
        <v>0</v>
      </c>
      <c r="T221" s="120">
        <f>CC221</f>
        <v>698</v>
      </c>
      <c r="U221" s="120">
        <f>CD221</f>
        <v>1747.4</v>
      </c>
      <c r="V221" s="119"/>
      <c r="W221" s="197">
        <f>CK221*100</f>
        <v/>
      </c>
      <c r="X221" s="119"/>
      <c r="Y221" s="119"/>
      <c r="Z221" s="119"/>
      <c r="AA221" s="115"/>
      <c r="AB221" s="115"/>
      <c r="AC221" s="689">
        <f>IF(OR(BX$216="Close to Ear",BX$216="Close to Head"),"Head",IF(BX$216="Extremity","Extremity","Body"))</f>
        <v/>
      </c>
      <c r="AD221" s="690">
        <f>CA221</f>
        <v/>
      </c>
      <c r="AE221" s="688">
        <f>CB221</f>
        <v/>
      </c>
      <c r="AF221" s="115"/>
      <c r="AG221" s="808">
        <f>IF(AZ221="","N/A",IF(CQ221="Pass","P","F"))</f>
        <v/>
      </c>
      <c r="AH221" s="129"/>
      <c r="AI221" s="129"/>
      <c r="AJ221" s="129"/>
      <c r="AK221" s="119"/>
      <c r="AL221" s="115"/>
      <c r="AM221" s="119"/>
      <c r="AN221" s="119"/>
      <c r="AO221" s="692"/>
      <c r="AP221" s="692"/>
      <c r="AQ221" s="692"/>
      <c r="AR221" s="692"/>
      <c r="AS221" s="692"/>
      <c r="AT221" s="691">
        <f>CE221</f>
        <v/>
      </c>
      <c r="AU221" s="691">
        <f>CF221</f>
        <v/>
      </c>
      <c r="AV221" s="813"/>
      <c r="AW221" s="813"/>
      <c r="AX221" s="197">
        <f>CZ221</f>
        <v/>
      </c>
      <c r="AY221" s="197">
        <f>DE221</f>
        <v/>
      </c>
      <c r="AZ221" s="3379">
        <f>CO221</f>
        <v/>
      </c>
      <c r="BA221" s="3380"/>
      <c r="BB221" s="197">
        <f>CP221</f>
        <v/>
      </c>
      <c r="BC221" s="813"/>
      <c r="BD221" s="197">
        <f>CR221</f>
        <v/>
      </c>
      <c r="BE221" s="121">
        <f>CS221</f>
        <v/>
      </c>
      <c r="BF221" s="122">
        <f>CT221*60</f>
        <v/>
      </c>
      <c r="BG221" s="121">
        <f>BE221</f>
        <v/>
      </c>
      <c r="BH221" s="122">
        <f>CU221*60</f>
        <v/>
      </c>
      <c r="BI221" s="122">
        <f>CV221</f>
        <v/>
      </c>
      <c r="BJ221" s="117"/>
      <c r="BK221" s="812">
        <f>Overview!$E$7</f>
        <v/>
      </c>
      <c r="BL221" s="117"/>
      <c r="BM221" s="836">
        <f>CW221</f>
        <v/>
      </c>
      <c r="BN221" s="812">
        <f>Overview!$P$153</f>
        <v/>
      </c>
      <c r="BO221" s="117"/>
      <c r="BP221" s="117"/>
      <c r="BQ221" s="115"/>
      <c r="BR221" s="1478" t="inlineStr">
        <is>
          <t>N/A</t>
        </is>
      </c>
      <c r="BS221" s="1548"/>
      <c r="BT221" s="2071" t="inlineStr">
        <is>
          <t>GSM</t>
        </is>
      </c>
      <c r="BU221" s="2071">
        <v>1800</v>
      </c>
      <c r="BV221" s="415">
        <f>Overview!$H$29</f>
        <v/>
      </c>
      <c r="BW221" s="2010"/>
      <c r="BX221" s="2071"/>
      <c r="BY221" s="2072"/>
      <c r="BZ221" s="2072"/>
      <c r="CA221" s="1997" t="inlineStr">
        <is>
          <t>Bottom Edge</t>
        </is>
      </c>
      <c r="CB221" s="200">
        <v>5</v>
      </c>
      <c r="CC221" s="902">
        <f>'2G-3G'!BX30</f>
        <v>698</v>
      </c>
      <c r="CD221" s="902">
        <f>'2G-3G'!BY30</f>
        <v>1747.4</v>
      </c>
      <c r="CE221" s="1523"/>
      <c r="CF221" s="1523"/>
      <c r="CG221" s="387" t="str">
        <f>IF(OR($BY$167="",$BY$167=""),"",$BY$167)</f>
        <v/>
      </c>
      <c r="CH221" s="387">
        <f>BZ221</f>
        <v/>
      </c>
      <c r="CI221" s="387">
        <f>CA221</f>
        <v/>
      </c>
      <c r="CJ221" s="1527"/>
      <c r="CK221" s="2042"/>
      <c r="CL221" s="206">
        <f>IF(CF221=""," ",IF(ABS(CE221-CF221)&lt;=0.125,"Valid","Not valid"))</f>
        <v/>
      </c>
      <c r="CM221" s="207">
        <f> IF(CE221="","",IF(AND(CE221&lt;&gt;"",CF221=""),IF(CE221&gt;=1,"Medir+Sig Max","No"),IF(CF221&lt;&gt;"",IF(CF221&gt;=1,"Medir+Sig Max","No"),"")))</f>
        <v/>
      </c>
      <c r="CN221" s="1787"/>
      <c r="CO221" s="220">
        <f>IF(CK221="",IF(AND(CE221="",CF221=""),"",IF(CF221="",IF(DE221&gt;1,ROUND(DE221*CE221,3),CE221),IF(DE221&gt;1,ROUND(DE221*CF221,3),CF221))),IF(AND(CE221="",CF221=""),"",IF(CF221="",IF(DE221&gt;1,ROUND(DE221*CE221*(1/(CK221)),3),CE221*(1/(CK221))),IF(DE221&gt;1,ROUND(DE221*CF221*(1/(CK221)),3),CF221*(1/(CK221))))))</f>
        <v/>
      </c>
      <c r="CP221" s="2043">
        <f>$CP$3</f>
        <v/>
      </c>
      <c r="CQ221" s="1472">
        <f>IF(CO221="","",IF(CO221&gt;CP221,"Fail","Pass"))</f>
        <v/>
      </c>
      <c r="CR221" s="1481">
        <f>IF(AND(MAX(CO216:CO223)=CO221,CO221&lt;&gt;0),COUNT($CR$3:CR220)+1,"")</f>
        <v/>
      </c>
      <c r="CS221" s="1565">
        <f>MyTimestamp(CO221)</f>
        <v/>
      </c>
      <c r="CT221" s="1531">
        <f>IF(CE221="",0,15)+IF(CF221="",0,15)</f>
        <v/>
      </c>
      <c r="CU221" s="1532">
        <f>IF(CT221=0,0,2)</f>
        <v/>
      </c>
      <c r="CV221" s="859" t="inlineStr">
        <is>
          <t>S/02</t>
        </is>
      </c>
      <c r="CW221" s="859" t="inlineStr">
        <is>
          <t>Dasy6</t>
        </is>
      </c>
      <c r="CX221" s="2038"/>
      <c r="CY221" s="2044"/>
      <c r="CZ221" s="1543">
        <f>10^(CJ221/20)*100-100</f>
        <v/>
      </c>
      <c r="DA221" s="1325">
        <f>IF('Tune-Up'!$H$21="","",'Tune-Up'!$H$21)</f>
        <v/>
      </c>
      <c r="DB221" s="701">
        <f>'2G-3G'!BZ30</f>
        <v/>
      </c>
      <c r="DC221" s="769">
        <f>IF(DA221="","",10^(DA221/10))</f>
        <v/>
      </c>
      <c r="DD221" s="1369">
        <f>IF(ISNUMBER(DB221)=FALSE,"",10^(DB221/10))</f>
        <v/>
      </c>
      <c r="DE221" s="1543">
        <f>IF(AND(ISNUMBER(DC221),ISNUMBER(DD221)),IF(DC221/DD221&gt;1,ROUND((DC221)/DD221,3),1),1)</f>
        <v/>
      </c>
      <c r="DF221" s="1541"/>
      <c r="DG221" s="1541"/>
      <c r="DH221" s="1541"/>
      <c r="DI221" s="1541"/>
      <c r="DJ221" s="1541"/>
      <c r="DK221" s="1541"/>
      <c r="DL221" s="1541"/>
      <c r="DM221" s="1541"/>
      <c r="DN221" s="1541"/>
      <c r="DO221" s="1541"/>
      <c r="DP221" s="1541"/>
      <c r="DQ221" s="1541"/>
      <c r="DR221" s="1541"/>
    </row>
    <row r="222" ht="12.75" x14ac:dyDescent="0.2">
      <c r="A222" s="1541"/>
      <c r="B222" s="1541"/>
      <c r="C222"/>
      <c r="D222" s="130">
        <f>IF(BX$216="Close to Ear","EN 62209-1","EN 62209-2")</f>
        <v/>
      </c>
      <c r="E222" s="130">
        <f>IF(CG222="Close to Ear","2016","2010/A1:2019")</f>
        <v/>
      </c>
      <c r="F222" s="1488" t="inlineStr">
        <is>
          <t>5.1</t>
        </is>
      </c>
      <c r="G222" s="1497"/>
      <c r="H222" s="120">
        <f>BV222</f>
        <v/>
      </c>
      <c r="I222" s="120">
        <f>BW222</f>
        <v/>
      </c>
      <c r="J222" s="687" t="str">
        <f>BT222</f>
        <v>GSM</v>
      </c>
      <c r="K222" s="194">
        <f>BU222</f>
        <v>1800</v>
      </c>
      <c r="L222" s="115"/>
      <c r="M222" s="120">
        <f>BZ222</f>
        <v>0</v>
      </c>
      <c r="N222" s="119"/>
      <c r="O222" s="131"/>
      <c r="P222" s="6597"/>
      <c r="Q222" s="131"/>
      <c r="R222" s="131"/>
      <c r="S222" s="120">
        <f>CG222</f>
        <v>0</v>
      </c>
      <c r="T222" s="120">
        <f>CC222</f>
        <v>512</v>
      </c>
      <c r="U222" s="120">
        <f>CD222</f>
        <v>1710.2</v>
      </c>
      <c r="V222" s="119"/>
      <c r="W222" s="197">
        <f>CK222*100</f>
        <v/>
      </c>
      <c r="X222" s="119"/>
      <c r="Y222" s="119"/>
      <c r="Z222" s="119"/>
      <c r="AA222" s="115"/>
      <c r="AB222" s="115"/>
      <c r="AC222" s="689">
        <f>IF(OR(BX$216="Close to Ear",BX$216="Close to Head"),"Head",IF(BX$216="Extremity","Extremity","Body"))</f>
        <v/>
      </c>
      <c r="AD222" s="690">
        <f>CA222</f>
        <v/>
      </c>
      <c r="AE222" s="688">
        <f>CB222</f>
        <v/>
      </c>
      <c r="AF222" s="115"/>
      <c r="AG222" s="808">
        <f>IF(AZ222="","N/A",IF(CQ222="Pass","P","F"))</f>
        <v/>
      </c>
      <c r="AH222" s="129"/>
      <c r="AI222" s="129"/>
      <c r="AJ222" s="129"/>
      <c r="AK222" s="119"/>
      <c r="AL222" s="115"/>
      <c r="AM222" s="119"/>
      <c r="AN222" s="119"/>
      <c r="AO222" s="692"/>
      <c r="AP222" s="692"/>
      <c r="AQ222" s="692"/>
      <c r="AR222" s="692"/>
      <c r="AS222" s="692"/>
      <c r="AT222" s="691">
        <f>CE222</f>
        <v/>
      </c>
      <c r="AU222" s="691">
        <f>CF222</f>
        <v/>
      </c>
      <c r="AV222" s="813"/>
      <c r="AW222" s="813"/>
      <c r="AX222" s="197">
        <f>CZ222</f>
        <v/>
      </c>
      <c r="AY222" s="197">
        <f>DE222</f>
        <v/>
      </c>
      <c r="AZ222" s="3379">
        <f>CO222</f>
        <v/>
      </c>
      <c r="BA222" s="3380"/>
      <c r="BB222" s="197">
        <f>CP222</f>
        <v/>
      </c>
      <c r="BC222" s="813"/>
      <c r="BD222" s="197">
        <f>CR222</f>
        <v/>
      </c>
      <c r="BE222" s="121">
        <f>CS222</f>
        <v/>
      </c>
      <c r="BF222" s="122">
        <f>CT222*60</f>
        <v/>
      </c>
      <c r="BG222" s="121">
        <f>BE222</f>
        <v/>
      </c>
      <c r="BH222" s="122">
        <f>CU222*60</f>
        <v/>
      </c>
      <c r="BI222" s="122">
        <f>CV222</f>
        <v/>
      </c>
      <c r="BJ222" s="117"/>
      <c r="BK222" s="812">
        <f>Overview!$E$7</f>
        <v/>
      </c>
      <c r="BL222" s="117"/>
      <c r="BM222" s="836">
        <f>CW222</f>
        <v/>
      </c>
      <c r="BN222" s="812">
        <f>Overview!$P$153</f>
        <v/>
      </c>
      <c r="BO222" s="117"/>
      <c r="BP222" s="117"/>
      <c r="BQ222" s="115"/>
      <c r="BR222" s="1478" t="inlineStr">
        <is>
          <t>N/A</t>
        </is>
      </c>
      <c r="BS222" s="1548"/>
      <c r="BT222" s="2071" t="inlineStr">
        <is>
          <t>GSM</t>
        </is>
      </c>
      <c r="BU222" s="2071">
        <v>1800</v>
      </c>
      <c r="BV222" s="415">
        <f>Overview!$H$29</f>
        <v/>
      </c>
      <c r="BW222" s="2010"/>
      <c r="BX222" s="2071"/>
      <c r="BY222" s="2072"/>
      <c r="BZ222" s="2072"/>
      <c r="CA222" s="416" t="str">
        <f>IF(COUNT(CF216:CF221)=0,IF(COUNT(CE216:CE221)=0,"TBD",VLOOKUP(MAX(CE216:CE221),CE216:CI221,5,FALSE)),VLOOKUP(MAX(CF216:CF221),CF216:CI221,4,FALSE))</f>
        <v>TBD</v>
      </c>
      <c r="CB222" s="200">
        <v>5</v>
      </c>
      <c r="CC222" s="902">
        <f>'2G-3G'!BX31</f>
        <v>512</v>
      </c>
      <c r="CD222" s="902">
        <f>'2G-3G'!BY31</f>
        <v>1710.2</v>
      </c>
      <c r="CE222" s="1523"/>
      <c r="CF222" s="1523"/>
      <c r="CG222" s="387" t="str">
        <f>IF(OR($BY$167="",$BY$167=""),"",$BY$167)</f>
        <v/>
      </c>
      <c r="CH222" s="387">
        <f>BZ222</f>
        <v/>
      </c>
      <c r="CI222" s="387">
        <f>CA222</f>
        <v/>
      </c>
      <c r="CJ222" s="1527"/>
      <c r="CK222" s="2042"/>
      <c r="CL222" s="206">
        <f>IF(CF222=""," ",IF(ABS(CE222-CF222)&lt;=0.125,"Valid","Not valid"))</f>
        <v/>
      </c>
      <c r="CM222" s="207">
        <f> IF(CE222="","",IF(AND(CE222&lt;&gt;"",CF222=""),IF(CE222&gt;=1,"Medir+Sig Max","No"),IF(CF222&lt;&gt;"",IF(CF222&gt;=1,"Medir+Sig Max","No"),"")))</f>
        <v/>
      </c>
      <c r="CN222" s="1787"/>
      <c r="CO222" s="220">
        <f>IF(CK222="",IF(AND(CE222="",CF222=""),"",IF(CF222="",IF(DE222&gt;1,ROUND(DE222*CE222,3),CE222),IF(DE222&gt;1,ROUND(DE222*CF222,3),CF222))),IF(AND(CE222="",CF222=""),"",IF(CF222="",IF(DE222&gt;1,ROUND(DE222*CE222*(1/(CK222)),3),CE222*(1/(CK222))),IF(DE222&gt;1,ROUND(DE222*CF222*(1/(CK222)),3),CF222*(1/(CK222))))))</f>
        <v/>
      </c>
      <c r="CP222" s="2043">
        <f>$CP$3</f>
        <v/>
      </c>
      <c r="CQ222" s="1472">
        <f>IF(CO222="","",IF(CO222&gt;CP222,"Fail","Pass"))</f>
        <v/>
      </c>
      <c r="CR222" s="1481">
        <f>IF(AND(MAX(CO216:CO223)=CO222,CO222&lt;&gt;0),COUNT($CR$3:CR221)+1,"")</f>
        <v/>
      </c>
      <c r="CS222" s="1565">
        <f>MyTimestamp(CO222)</f>
        <v/>
      </c>
      <c r="CT222" s="1531">
        <f>IF(CE222="",0,15)+IF(CF222="",0,15)</f>
        <v/>
      </c>
      <c r="CU222" s="1532">
        <f>IF(CT222=0,0,2)</f>
        <v/>
      </c>
      <c r="CV222" s="859" t="inlineStr">
        <is>
          <t>S/02</t>
        </is>
      </c>
      <c r="CW222" s="859" t="inlineStr">
        <is>
          <t>Dasy6</t>
        </is>
      </c>
      <c r="CX222" s="2038"/>
      <c r="CY222" s="2044"/>
      <c r="CZ222" s="1543">
        <f>10^(CJ222/20)*100-100</f>
        <v/>
      </c>
      <c r="DA222" s="1325">
        <f>IF('Tune-Up'!$H$21="","",'Tune-Up'!$H$21)</f>
        <v/>
      </c>
      <c r="DB222" s="701">
        <f>'2G-3G'!BZ31</f>
        <v/>
      </c>
      <c r="DC222" s="769">
        <f>IF(DA222="","",10^(DA222/10))</f>
        <v/>
      </c>
      <c r="DD222" s="1369">
        <f>IF(ISNUMBER(DB222)=FALSE,"",10^(DB222/10))</f>
        <v/>
      </c>
      <c r="DE222" s="1543">
        <f>IF(AND(ISNUMBER(DC222),ISNUMBER(DD222)),IF(DC222/DD222&gt;1,ROUND((DC222)/DD222,3),1),1)</f>
        <v/>
      </c>
      <c r="DF222" s="1541"/>
      <c r="DG222" s="1541"/>
      <c r="DH222" s="1541"/>
      <c r="DI222" s="1541"/>
      <c r="DJ222" s="1541"/>
      <c r="DK222" s="1541"/>
      <c r="DL222" s="1541"/>
      <c r="DM222" s="1541"/>
      <c r="DN222" s="1541"/>
      <c r="DO222" s="1541"/>
      <c r="DP222" s="1541"/>
      <c r="DQ222" s="1541"/>
      <c r="DR222" s="1541"/>
    </row>
    <row r="223" ht="12.75" x14ac:dyDescent="0.2">
      <c r="A223" s="1541"/>
      <c r="B223" s="1541"/>
      <c r="C223"/>
      <c r="D223" s="130">
        <f>IF(BX$216="Close to Ear","EN 62209-1","EN 62209-2")</f>
        <v/>
      </c>
      <c r="E223" s="130">
        <f>IF(CG223="Close to Ear","2016","2010/A1:2019")</f>
        <v/>
      </c>
      <c r="F223" s="1488" t="inlineStr">
        <is>
          <t>5.1</t>
        </is>
      </c>
      <c r="G223" s="1497"/>
      <c r="H223" s="120">
        <f>BV223</f>
        <v/>
      </c>
      <c r="I223" s="120">
        <f>BW223</f>
        <v/>
      </c>
      <c r="J223" s="687" t="str">
        <f>BT223</f>
        <v>GSM</v>
      </c>
      <c r="K223" s="194">
        <f>BU223</f>
        <v>1800</v>
      </c>
      <c r="L223" s="115"/>
      <c r="M223" s="120">
        <f>BZ223</f>
        <v>0</v>
      </c>
      <c r="N223" s="119"/>
      <c r="O223" s="131"/>
      <c r="P223" s="6597"/>
      <c r="Q223" s="131"/>
      <c r="R223" s="131"/>
      <c r="S223" s="120">
        <f>CG223</f>
        <v>0</v>
      </c>
      <c r="T223" s="120">
        <f>CC223</f>
        <v>885</v>
      </c>
      <c r="U223" s="120">
        <f>CD223</f>
        <v>1784.8</v>
      </c>
      <c r="V223" s="119"/>
      <c r="W223" s="197">
        <f>CK223*100</f>
        <v/>
      </c>
      <c r="X223" s="119"/>
      <c r="Y223" s="119"/>
      <c r="Z223" s="119"/>
      <c r="AA223" s="115"/>
      <c r="AB223" s="115"/>
      <c r="AC223" s="689">
        <f>IF(OR(BX$216="Close to Ear",BX$216="Close to Head"),"Head",IF(BX$216="Extremity","Extremity","Body"))</f>
        <v/>
      </c>
      <c r="AD223" s="690">
        <f>CA223</f>
        <v/>
      </c>
      <c r="AE223" s="688">
        <f>CB223</f>
        <v/>
      </c>
      <c r="AF223" s="115"/>
      <c r="AG223" s="808">
        <f>IF(AZ223="","N/A",IF(CQ223="Pass","P","F"))</f>
        <v/>
      </c>
      <c r="AH223" s="129"/>
      <c r="AI223" s="129"/>
      <c r="AJ223" s="129"/>
      <c r="AK223" s="119"/>
      <c r="AL223" s="115"/>
      <c r="AM223" s="119"/>
      <c r="AN223" s="119"/>
      <c r="AO223" s="692"/>
      <c r="AP223" s="692"/>
      <c r="AQ223" s="692"/>
      <c r="AR223" s="692"/>
      <c r="AS223" s="692"/>
      <c r="AT223" s="691">
        <f>CE223</f>
        <v/>
      </c>
      <c r="AU223" s="691">
        <f>CF223</f>
        <v/>
      </c>
      <c r="AV223" s="813"/>
      <c r="AW223" s="813"/>
      <c r="AX223" s="197">
        <f>CZ223</f>
        <v/>
      </c>
      <c r="AY223" s="197">
        <f>DE223</f>
        <v/>
      </c>
      <c r="AZ223" s="3379">
        <f>CO223</f>
        <v/>
      </c>
      <c r="BA223" s="3380"/>
      <c r="BB223" s="197">
        <f>CP223</f>
        <v/>
      </c>
      <c r="BC223" s="813"/>
      <c r="BD223" s="197">
        <f>CR223</f>
        <v/>
      </c>
      <c r="BE223" s="121">
        <f>CS223</f>
        <v/>
      </c>
      <c r="BF223" s="122">
        <f>CT223*60</f>
        <v/>
      </c>
      <c r="BG223" s="121">
        <f>BE223</f>
        <v/>
      </c>
      <c r="BH223" s="122">
        <f>CU223*60</f>
        <v/>
      </c>
      <c r="BI223" s="122">
        <f>CV223</f>
        <v/>
      </c>
      <c r="BJ223" s="117"/>
      <c r="BK223" s="812">
        <f>Overview!$E$7</f>
        <v/>
      </c>
      <c r="BL223" s="117"/>
      <c r="BM223" s="836">
        <f>CW223</f>
        <v/>
      </c>
      <c r="BN223" s="812">
        <f>Overview!$P$153</f>
        <v/>
      </c>
      <c r="BO223" s="117"/>
      <c r="BP223" s="117"/>
      <c r="BQ223" s="115"/>
      <c r="BR223" s="1478" t="inlineStr">
        <is>
          <t>N/A</t>
        </is>
      </c>
      <c r="BS223" s="1548"/>
      <c r="BT223" s="2071" t="inlineStr">
        <is>
          <t>GSM</t>
        </is>
      </c>
      <c r="BU223" s="2071">
        <v>1800</v>
      </c>
      <c r="BV223" s="415">
        <f>Overview!$H$29</f>
        <v/>
      </c>
      <c r="BW223" s="2010"/>
      <c r="BX223" s="2075"/>
      <c r="BY223" s="2010"/>
      <c r="BZ223" s="2010"/>
      <c r="CA223" s="418" t="str">
        <f>IF(COUNT(CF216:CF221)=0,IF(COUNT(CE216:CE221)=0,"TBD",VLOOKUP(MAX(CE216:CE221),CE216:CI221,5,FALSE)),VLOOKUP(MAX(CF216:CF221),CF216:CI221,4,FALSE))</f>
        <v>TBD</v>
      </c>
      <c r="CB223" s="201">
        <v>5</v>
      </c>
      <c r="CC223" s="857">
        <f>'2G-3G'!BX32</f>
        <v>885</v>
      </c>
      <c r="CD223" s="857">
        <f>'2G-3G'!BY32</f>
        <v>1784.8</v>
      </c>
      <c r="CE223" s="1874"/>
      <c r="CF223" s="1874"/>
      <c r="CG223" s="388" t="str">
        <f>IF(OR($BY$167="",$BY$167=""),"",$BY$167)</f>
        <v/>
      </c>
      <c r="CH223" s="388">
        <f>BZ223</f>
        <v/>
      </c>
      <c r="CI223" s="388">
        <f>CA223</f>
        <v/>
      </c>
      <c r="CJ223" s="2046"/>
      <c r="CK223" s="2047"/>
      <c r="CL223" s="212">
        <f>IF(CF223=""," ",IF(ABS(CE223-CF223)&lt;=0.125,"Valid","Not valid"))</f>
        <v/>
      </c>
      <c r="CM223" s="213">
        <f> IF(CE223="","",IF(AND(CE223&lt;&gt;"",CF223=""),IF(CE223&gt;=1,"Medir+Sig Max","No"),IF(CF223&lt;&gt;"",IF(CF223&gt;=1,"Medir+Sig Max","No"),"")))</f>
        <v/>
      </c>
      <c r="CN223" s="1794"/>
      <c r="CO223" s="221">
        <f>IF(CK223="",IF(AND(CE223="",CF223=""),"",IF(CF223="",IF(DE223&gt;1,ROUND(DE223*CE223,3),CE223),IF(DE223&gt;1,ROUND(DE223*CF223,3),CF223))),IF(AND(CE223="",CF223=""),"",IF(CF223="",IF(DE223&gt;1,ROUND(DE223*CE223*(1/(CK223)),3),CE223*(1/(CK223))),IF(DE223&gt;1,ROUND(DE223*CF223*(1/(CK223)),3),CF223*(1/(CK223))))))</f>
        <v/>
      </c>
      <c r="CP223" s="2048">
        <f>$CP$3</f>
        <v/>
      </c>
      <c r="CQ223" s="1473">
        <f>IF(CO223="","",IF(CO223&gt;CP223,"Fail","Pass"))</f>
        <v/>
      </c>
      <c r="CR223" s="1482">
        <f>IF(AND(MAX(CO216:CO223)=CO223,CO223&lt;&gt;0),COUNT($CR$3:CR222)+1,"")</f>
        <v/>
      </c>
      <c r="CS223" s="1566">
        <f>MyTimestamp(CO223)</f>
        <v/>
      </c>
      <c r="CT223" s="1535">
        <f>IF(CE223="",0,15)+IF(CF223="",0,15)</f>
        <v/>
      </c>
      <c r="CU223" s="1536">
        <f>IF(CT223=0,0,2)</f>
        <v/>
      </c>
      <c r="CV223" s="861" t="inlineStr">
        <is>
          <t>S/02</t>
        </is>
      </c>
      <c r="CW223" s="861" t="inlineStr">
        <is>
          <t>Dasy6</t>
        </is>
      </c>
      <c r="CX223" s="2038"/>
      <c r="CY223" s="2050"/>
      <c r="CZ223" s="1545">
        <f>10^(CJ223/20)*100-100</f>
        <v/>
      </c>
      <c r="DA223" s="1327">
        <f>IF('Tune-Up'!$H$21="","",'Tune-Up'!$H$21)</f>
        <v/>
      </c>
      <c r="DB223" s="703">
        <f>'2G-3G'!BZ32</f>
        <v/>
      </c>
      <c r="DC223" s="771">
        <f>IF(DA223="","",10^(DA223/10))</f>
        <v/>
      </c>
      <c r="DD223" s="1371">
        <f>IF(ISNUMBER(DB223)=FALSE,"",10^(DB223/10))</f>
        <v/>
      </c>
      <c r="DE223" s="1545">
        <f>IF(AND(ISNUMBER(DC223),ISNUMBER(DD223)),IF(DC223/DD223&gt;1,ROUND((DC223)/DD223,3),1),1)</f>
        <v/>
      </c>
      <c r="DF223" s="1541"/>
      <c r="DG223" s="1541"/>
      <c r="DH223" s="1541"/>
      <c r="DI223" s="1541"/>
      <c r="DJ223" s="1541"/>
      <c r="DK223" s="1541"/>
      <c r="DL223" s="1541"/>
      <c r="DM223" s="1541"/>
      <c r="DN223" s="1541"/>
      <c r="DO223" s="1541"/>
      <c r="DP223" s="1541"/>
      <c r="DQ223" s="1541"/>
      <c r="DR223" s="1541"/>
    </row>
    <row r="224" ht="12.75" x14ac:dyDescent="0.2">
      <c r="A224" s="1541"/>
      <c r="B224" s="1541"/>
      <c r="C224"/>
      <c r="D224" s="130">
        <f>IF(BX$216="Close to Ear","EN 62209-1","EN 62209-2")</f>
        <v/>
      </c>
      <c r="E224" s="130">
        <f>IF(CG224="Close to Ear","2016","2010/A1:2019")</f>
        <v/>
      </c>
      <c r="F224" s="1488" t="inlineStr">
        <is>
          <t>5.1</t>
        </is>
      </c>
      <c r="G224" s="1497"/>
      <c r="H224" s="120">
        <f>BV224</f>
        <v/>
      </c>
      <c r="I224" s="120">
        <f>BW224</f>
        <v/>
      </c>
      <c r="J224" s="687">
        <f>BT224</f>
        <v/>
      </c>
      <c r="K224" s="194">
        <f>BU224</f>
        <v/>
      </c>
      <c r="L224" s="115"/>
      <c r="M224" s="120">
        <f>BZ224</f>
        <v/>
      </c>
      <c r="N224" s="119"/>
      <c r="O224" s="131"/>
      <c r="P224" s="6597"/>
      <c r="Q224" s="131"/>
      <c r="R224" s="131"/>
      <c r="S224" s="120">
        <f>CG224</f>
        <v/>
      </c>
      <c r="T224" s="120">
        <f>CC224</f>
        <v/>
      </c>
      <c r="U224" s="120">
        <f>CD224</f>
        <v/>
      </c>
      <c r="V224" s="119"/>
      <c r="W224" s="197">
        <f>CK224*100</f>
        <v/>
      </c>
      <c r="X224" s="119"/>
      <c r="Y224" s="119"/>
      <c r="Z224" s="119"/>
      <c r="AA224" s="115"/>
      <c r="AB224" s="115"/>
      <c r="AC224" s="689">
        <f>IF(OR(BX$216="Close to Ear",BX$216="Close to Head"),"Head",IF(BX$216="Extremity","Extremity","Body"))</f>
        <v/>
      </c>
      <c r="AD224" s="690">
        <f>CA224</f>
        <v/>
      </c>
      <c r="AE224" s="688">
        <f>CB224</f>
        <v/>
      </c>
      <c r="AF224" s="115"/>
      <c r="AG224" s="808">
        <f>IF(AZ224="","N/A",IF(CQ224="Pass","P","F"))</f>
        <v/>
      </c>
      <c r="AH224" s="129"/>
      <c r="AI224" s="129"/>
      <c r="AJ224" s="129"/>
      <c r="AK224" s="119"/>
      <c r="AL224" s="115"/>
      <c r="AM224" s="119"/>
      <c r="AN224" s="119"/>
      <c r="AO224" s="692"/>
      <c r="AP224" s="692"/>
      <c r="AQ224" s="692"/>
      <c r="AR224" s="692"/>
      <c r="AS224" s="692"/>
      <c r="AT224" s="691">
        <f>CE224</f>
        <v/>
      </c>
      <c r="AU224" s="691">
        <f>CF224</f>
        <v/>
      </c>
      <c r="AV224" s="813"/>
      <c r="AW224" s="813"/>
      <c r="AX224" s="197">
        <f>CZ224</f>
        <v/>
      </c>
      <c r="AY224" s="197">
        <f>DE224</f>
        <v/>
      </c>
      <c r="AZ224" s="3379">
        <f>CO224</f>
        <v/>
      </c>
      <c r="BA224" s="3380"/>
      <c r="BB224" s="197">
        <f>CP224</f>
        <v/>
      </c>
      <c r="BC224" s="813"/>
      <c r="BD224" s="197">
        <f>CR224</f>
        <v/>
      </c>
      <c r="BE224" s="121">
        <f>CS224</f>
        <v/>
      </c>
      <c r="BF224" s="122">
        <f>CT224*60</f>
        <v/>
      </c>
      <c r="BG224" s="121">
        <f>BE224</f>
        <v/>
      </c>
      <c r="BH224" s="122">
        <f>CU224*60</f>
        <v/>
      </c>
      <c r="BI224" s="122">
        <f>CV224</f>
        <v/>
      </c>
      <c r="BJ224" s="117"/>
      <c r="BK224" s="812">
        <f>Overview!$E$7</f>
        <v/>
      </c>
      <c r="BL224" s="117"/>
      <c r="BM224" s="836">
        <f>CW224</f>
        <v/>
      </c>
      <c r="BN224" s="812">
        <f>Overview!$P$153</f>
        <v/>
      </c>
      <c r="BO224" s="117"/>
      <c r="BP224" s="117"/>
      <c r="BQ224" s="115"/>
      <c r="BR224" s="1478" t="inlineStr">
        <is>
          <t>N/A</t>
        </is>
      </c>
      <c r="BS224" s="1548"/>
      <c r="BT224" s="2071" t="inlineStr">
        <is>
          <t>GSM</t>
        </is>
      </c>
      <c r="BU224" s="2071">
        <v>1800</v>
      </c>
      <c r="BV224" s="415">
        <f>Overview!$H$29</f>
        <v/>
      </c>
      <c r="BW224" s="2010"/>
      <c r="BX224" s="2075"/>
      <c r="BY224" s="2010"/>
      <c r="BZ224" s="2010"/>
      <c r="CA224" s="418" t="str">
        <f>CONCATENATE(CA222," - Battery check 1")</f>
        <v>TBD - Battery check 1</v>
      </c>
      <c r="CB224" s="201">
        <v>5</v>
      </c>
      <c r="CC224" s="857">
        <f>IF(COUNT($CO$216:$CO$223)=0,"N/A",INDEX($CC$216:$CC$223,MATCH(MAX($CO$216:$CO$223),$CO$216:$CO$223,0)))</f>
        <v/>
      </c>
      <c r="CD224" s="857">
        <f>IF(COUNT($CO$216:$CO$223)=0,"N/A",INDEX($CD$216:$CD$223,MATCH(MAX($CO$216:$CO$223),$CO$216:$CO$223,0)))</f>
        <v/>
      </c>
      <c r="CE224" s="1874"/>
      <c r="CF224" s="1874"/>
      <c r="CG224" s="388" t="inlineStr">
        <is>
          <t>N/A</t>
        </is>
      </c>
      <c r="CH224" s="388">
        <f>BZ224</f>
        <v/>
      </c>
      <c r="CI224" s="388">
        <f>CA224</f>
        <v/>
      </c>
      <c r="CJ224" s="2046"/>
      <c r="CK224" s="2047"/>
      <c r="CL224" s="212">
        <f>IF(CF224=""," ",IF(ABS(CE224-CF224)&lt;=0.125,"Valid","Not valid"))</f>
        <v/>
      </c>
      <c r="CM224" s="213">
        <f> IF(CE224="","",IF(AND(CE224&lt;&gt;"",CF224=""),IF(CE224&gt;=1,"Medir+Sig Max","No"),IF(CF224&lt;&gt;"",IF(CF224&gt;=1,"Medir+Sig Max","No"),"")))</f>
        <v/>
      </c>
      <c r="CN224" s="1794"/>
      <c r="CO224" s="221">
        <f>IF(CK224="",IF(AND(CE224="",CF224=""),"",IF(CF224="",IF(DE224&gt;1,ROUND(DE224*CE224,3),CE224),IF(DE224&gt;1,ROUND(DE224*CF224,3),CF224))),IF(AND(CE224="",CF224=""),"",IF(CF224="",IF(DE224&gt;1,ROUND(DE224*CE224*(1/(CK224)),3),CE224*(1/(CK224))),IF(DE224&gt;1,ROUND(DE224*CF224*(1/(CK224)),3),CF224*(1/(CK224))))))</f>
        <v/>
      </c>
      <c r="CP224" s="2048">
        <f>$CP$3</f>
        <v/>
      </c>
      <c r="CQ224" s="1473">
        <f>IF(CO224="","",IF(CO224&gt;CP224,"Fail","Pass"))</f>
        <v/>
      </c>
      <c r="CR224" s="1482">
        <f>IF(CO224&lt;&gt;"",MAX($CR$3:CR223)+1,"")</f>
        <v/>
      </c>
      <c r="CS224" s="1566">
        <f>MyTimestamp(CQ224)</f>
        <v/>
      </c>
      <c r="CT224" s="1535">
        <f>IF(COUNT(CE224:CF224)=1,15,IF(COUNT(CE224:CF224)=0,0,30))</f>
        <v/>
      </c>
      <c r="CU224" s="1536">
        <f>IF(CT224=0,0,2)</f>
        <v/>
      </c>
      <c r="CV224" s="861" t="inlineStr">
        <is>
          <t>S/02</t>
        </is>
      </c>
      <c r="CW224" s="861" t="inlineStr">
        <is>
          <t>Dasy6</t>
        </is>
      </c>
      <c r="CX224" s="2038"/>
      <c r="CY224" s="2050"/>
      <c r="CZ224" s="1545">
        <f>10^(CJ224/20)*100-100</f>
        <v/>
      </c>
      <c r="DA224" s="1327">
        <f>IF('Tune-Up'!$H$21="","",'Tune-Up'!$H$21)</f>
        <v/>
      </c>
      <c r="DB224" s="703">
        <f>IF(COUNT($CO$216:$CO$223)=0,"N/A",IFERROR(INDEX($DB$216:$DB$223,MATCH(MAX($CO$216:$CO$223),$CO$216:$CO$223,0)),"N/A"))</f>
        <v/>
      </c>
      <c r="DC224" s="771">
        <f>IF(DA224="","",10^(DA224/10))</f>
        <v/>
      </c>
      <c r="DD224" s="1371">
        <f>IF(ISNUMBER(DB224)=FALSE,"N/A",10^(DB224/10))</f>
        <v/>
      </c>
      <c r="DE224" s="1545">
        <f>IF(AND(ISNUMBER(DC224),ISNUMBER(DD224)),IF(DC224/DD224&gt;1,ROUND((DC224)/DD224,3),1),1)</f>
        <v/>
      </c>
      <c r="DF224" s="1541"/>
      <c r="DG224" s="1541"/>
      <c r="DH224" s="1541"/>
      <c r="DI224" s="1541"/>
      <c r="DJ224" s="1541"/>
      <c r="DK224" s="1541"/>
      <c r="DL224" s="1541"/>
      <c r="DM224" s="1541"/>
      <c r="DN224" s="1541"/>
      <c r="DO224" s="1541"/>
      <c r="DP224" s="1541"/>
      <c r="DQ224" s="1541"/>
      <c r="DR224" s="1541"/>
    </row>
    <row r="225" ht="12.75" x14ac:dyDescent="0.2">
      <c r="A225" s="1541"/>
      <c r="B225" s="1541"/>
      <c r="C225"/>
      <c r="D225" s="130">
        <f>IF(BX$216="Close to Ear","EN 62209-1","EN 62209-2")</f>
        <v/>
      </c>
      <c r="E225" s="130">
        <f>IF(CG225="Close to Ear","2016","2010/A1:2019")</f>
        <v/>
      </c>
      <c r="F225" s="1488" t="inlineStr">
        <is>
          <t>5.1</t>
        </is>
      </c>
      <c r="G225" s="1497"/>
      <c r="H225" s="120">
        <f>BV225</f>
        <v/>
      </c>
      <c r="I225" s="120">
        <f>BW225</f>
        <v/>
      </c>
      <c r="J225" s="687">
        <f>BT225</f>
        <v/>
      </c>
      <c r="K225" s="194">
        <f>BU225</f>
        <v/>
      </c>
      <c r="L225" s="115"/>
      <c r="M225" s="120">
        <f>BZ225</f>
        <v/>
      </c>
      <c r="N225" s="119"/>
      <c r="O225" s="131"/>
      <c r="P225" s="6597"/>
      <c r="Q225" s="131"/>
      <c r="R225" s="131"/>
      <c r="S225" s="120">
        <f>CG225</f>
        <v/>
      </c>
      <c r="T225" s="120">
        <f>CC225</f>
        <v/>
      </c>
      <c r="U225" s="120">
        <f>CD225</f>
        <v/>
      </c>
      <c r="V225" s="119"/>
      <c r="W225" s="197">
        <f>CK225*100</f>
        <v/>
      </c>
      <c r="X225" s="119"/>
      <c r="Y225" s="119"/>
      <c r="Z225" s="119"/>
      <c r="AA225" s="115"/>
      <c r="AB225" s="115"/>
      <c r="AC225" s="689">
        <f>IF(OR(BX$216="Close to Ear",BX$216="Close to Head"),"Head",IF(BX$216="Extremity","Extremity","Body"))</f>
        <v/>
      </c>
      <c r="AD225" s="690">
        <f>CA225</f>
        <v/>
      </c>
      <c r="AE225" s="688">
        <f>CB225</f>
        <v/>
      </c>
      <c r="AF225" s="115"/>
      <c r="AG225" s="808">
        <f>IF(AZ225="","N/A",IF(CQ225="Pass","P","F"))</f>
        <v/>
      </c>
      <c r="AH225" s="129"/>
      <c r="AI225" s="129"/>
      <c r="AJ225" s="129"/>
      <c r="AK225" s="119"/>
      <c r="AL225" s="115"/>
      <c r="AM225" s="119"/>
      <c r="AN225" s="119"/>
      <c r="AO225" s="692"/>
      <c r="AP225" s="692"/>
      <c r="AQ225" s="692"/>
      <c r="AR225" s="692"/>
      <c r="AS225" s="692"/>
      <c r="AT225" s="691">
        <f>CE225</f>
        <v/>
      </c>
      <c r="AU225" s="691">
        <f>CF225</f>
        <v/>
      </c>
      <c r="AV225" s="813"/>
      <c r="AW225" s="813"/>
      <c r="AX225" s="197">
        <f>CZ225</f>
        <v/>
      </c>
      <c r="AY225" s="197">
        <f>DE225</f>
        <v/>
      </c>
      <c r="AZ225" s="3379">
        <f>CO225</f>
        <v/>
      </c>
      <c r="BA225" s="3380"/>
      <c r="BB225" s="197">
        <f>CP225</f>
        <v/>
      </c>
      <c r="BC225" s="813"/>
      <c r="BD225" s="197">
        <f>CR225</f>
        <v/>
      </c>
      <c r="BE225" s="121">
        <f>CS225</f>
        <v/>
      </c>
      <c r="BF225" s="122">
        <f>CT225*60</f>
        <v/>
      </c>
      <c r="BG225" s="121">
        <f>BE225</f>
        <v/>
      </c>
      <c r="BH225" s="122">
        <f>CU225*60</f>
        <v/>
      </c>
      <c r="BI225" s="122">
        <f>CV225</f>
        <v/>
      </c>
      <c r="BJ225" s="117"/>
      <c r="BK225" s="812">
        <f>Overview!$E$7</f>
        <v/>
      </c>
      <c r="BL225" s="117"/>
      <c r="BM225" s="836">
        <f>CW225</f>
        <v/>
      </c>
      <c r="BN225" s="812">
        <f>Overview!$P$153</f>
        <v/>
      </c>
      <c r="BO225" s="117"/>
      <c r="BP225" s="117"/>
      <c r="BQ225" s="115"/>
      <c r="BR225" s="1478" t="inlineStr">
        <is>
          <t>N/A</t>
        </is>
      </c>
      <c r="BS225" s="1548"/>
      <c r="BT225" s="2071" t="inlineStr">
        <is>
          <t>GSM</t>
        </is>
      </c>
      <c r="BU225" s="2071">
        <v>1800</v>
      </c>
      <c r="BV225" s="415">
        <f>Overview!$H$29</f>
        <v/>
      </c>
      <c r="BW225" s="2010"/>
      <c r="BX225" s="2075"/>
      <c r="BY225" s="2010"/>
      <c r="BZ225" s="2010"/>
      <c r="CA225" s="418" t="str">
        <f>CONCATENATE(CA223," - Battery check 2")</f>
        <v>TBD - Battery check 2</v>
      </c>
      <c r="CB225" s="201">
        <v>5</v>
      </c>
      <c r="CC225" s="857">
        <f>IF(COUNT($CO$216:$CO$223)=0,"N/A",INDEX($CC$216:$CC$223,MATCH(MAX($CO$216:$CO$223),$CO$216:$CO$223,0)))</f>
        <v/>
      </c>
      <c r="CD225" s="857">
        <f>IF(COUNT($CO$216:$CO$223)=0,"N/A",INDEX($CD$216:$CD$223,MATCH(MAX($CO$216:$CO$223),$CO$216:$CO$223,0)))</f>
        <v/>
      </c>
      <c r="CE225" s="1874"/>
      <c r="CF225" s="1874"/>
      <c r="CG225" s="388" t="inlineStr">
        <is>
          <t>N/A</t>
        </is>
      </c>
      <c r="CH225" s="388">
        <f>BZ225</f>
        <v/>
      </c>
      <c r="CI225" s="388">
        <f>CA225</f>
        <v/>
      </c>
      <c r="CJ225" s="2046"/>
      <c r="CK225" s="2047"/>
      <c r="CL225" s="212">
        <f>IF(CF225=""," ",IF(ABS(CE225-CF225)&lt;=0.125,"Valid","Not valid"))</f>
        <v/>
      </c>
      <c r="CM225" s="213">
        <f> IF(CE225="","",IF(AND(CE225&lt;&gt;"",CF225=""),IF(CE225&gt;=1,"Medir+Sig Max","No"),IF(CF225&lt;&gt;"",IF(CF225&gt;=1,"Medir+Sig Max","No"),"")))</f>
        <v/>
      </c>
      <c r="CN225" s="1794"/>
      <c r="CO225" s="221">
        <f>IF(CK225="",IF(AND(CE225="",CF225=""),"",IF(CF225="",IF(DE225&gt;1,ROUND(DE225*CE225,3),CE225),IF(DE225&gt;1,ROUND(DE225*CF225,3),CF225))),IF(AND(CE225="",CF225=""),"",IF(CF225="",IF(DE225&gt;1,ROUND(DE225*CE225*(1/(CK225)),3),CE225*(1/(CK225))),IF(DE225&gt;1,ROUND(DE225*CF225*(1/(CK225)),3),CF225*(1/(CK225))))))</f>
        <v/>
      </c>
      <c r="CP225" s="2048">
        <f>$CP$3</f>
        <v/>
      </c>
      <c r="CQ225" s="1473">
        <f>IF(CO225="","",IF(CO225&gt;CP225,"Fail","Pass"))</f>
        <v/>
      </c>
      <c r="CR225" s="1482">
        <f>IF(CO225&lt;&gt;"",MAX($CR$3:CR224)+1,"")</f>
        <v/>
      </c>
      <c r="CS225" s="1566">
        <f>MyTimestamp(CQ225)</f>
        <v/>
      </c>
      <c r="CT225" s="1535">
        <f>IF(COUNT(CE225:CF225)=1,15,IF(COUNT(CE225:CF225)=0,0,30))</f>
        <v/>
      </c>
      <c r="CU225" s="1536">
        <f>IF(CT225=0,0,2)</f>
        <v/>
      </c>
      <c r="CV225" s="861" t="inlineStr">
        <is>
          <t>S/02</t>
        </is>
      </c>
      <c r="CW225" s="861" t="inlineStr">
        <is>
          <t>Dasy6</t>
        </is>
      </c>
      <c r="CX225" s="2038"/>
      <c r="CY225" s="2050"/>
      <c r="CZ225" s="1545">
        <f>10^(CJ225/20)*100-100</f>
        <v/>
      </c>
      <c r="DA225" s="1327">
        <f>IF('Tune-Up'!$H$21="","",'Tune-Up'!$H$21)</f>
        <v/>
      </c>
      <c r="DB225" s="703">
        <f>IF(COUNT($CO$216:$CO$223)=0,"N/A",IFERROR(INDEX($DB$216:$DB$223,MATCH(MAX($CO$216:$CO$223),$CO$216:$CO$223,0)),"N/A"))</f>
        <v/>
      </c>
      <c r="DC225" s="771">
        <f>IF(DA225="","",10^(DA225/10))</f>
        <v/>
      </c>
      <c r="DD225" s="1371">
        <f>IF(ISNUMBER(DB225)=FALSE,"N/A",10^(DB225/10))</f>
        <v/>
      </c>
      <c r="DE225" s="1545">
        <f>IF(AND(ISNUMBER(DC225),ISNUMBER(DD225)),IF(DC225/DD225&gt;1,ROUND((DC225)/DD225,3),1),1)</f>
        <v/>
      </c>
      <c r="DF225" s="1541"/>
      <c r="DG225" s="1541"/>
      <c r="DH225" s="1541"/>
      <c r="DI225" s="1541"/>
      <c r="DJ225" s="1541"/>
      <c r="DK225" s="1541"/>
      <c r="DL225" s="1541"/>
      <c r="DM225" s="1541"/>
      <c r="DN225" s="1541"/>
      <c r="DO225" s="1541"/>
      <c r="DP225" s="1541"/>
      <c r="DQ225" s="1541"/>
      <c r="DR225" s="1541"/>
    </row>
    <row r="226" ht="12.75" x14ac:dyDescent="0.2">
      <c r="A226" s="1541"/>
      <c r="B226" s="1541"/>
      <c r="C226"/>
      <c r="D226" s="130">
        <f>IF(BX$226="Close to Ear","EN 62209-1","EN 62209-2")</f>
        <v/>
      </c>
      <c r="E226" s="130">
        <f>IF(CG226="Close to Ear","2016","2010/A1:2019")</f>
        <v/>
      </c>
      <c r="F226" s="1488" t="inlineStr">
        <is>
          <t>5.1</t>
        </is>
      </c>
      <c r="G226" s="1497"/>
      <c r="H226" s="120">
        <f>BV226</f>
        <v/>
      </c>
      <c r="I226" s="120">
        <f>BW226</f>
        <v/>
      </c>
      <c r="J226" s="687" t="str">
        <f>BT226</f>
        <v>GSM</v>
      </c>
      <c r="K226" s="194">
        <f>BU226</f>
        <v>1800</v>
      </c>
      <c r="L226" s="115"/>
      <c r="M226" s="120">
        <f>BZ226</f>
        <v>0</v>
      </c>
      <c r="N226" s="119"/>
      <c r="O226" s="131"/>
      <c r="P226" s="6597"/>
      <c r="Q226" s="131"/>
      <c r="R226" s="131"/>
      <c r="S226" s="120">
        <f>CG226</f>
        <v>0</v>
      </c>
      <c r="T226" s="120">
        <f>CC226</f>
        <v>698</v>
      </c>
      <c r="U226" s="120">
        <f>CD226</f>
        <v>1747.4</v>
      </c>
      <c r="V226" s="119"/>
      <c r="W226" s="197">
        <f>CK226*100</f>
        <v/>
      </c>
      <c r="X226" s="119"/>
      <c r="Y226" s="119"/>
      <c r="Z226" s="119"/>
      <c r="AA226" s="115"/>
      <c r="AB226" s="115"/>
      <c r="AC226" s="689">
        <f>IF(OR(BX$226="Close to Ear",BX$226="Close to Head"),"Head",IF(BX$226="Extremity","Extremity","Body"))</f>
        <v/>
      </c>
      <c r="AD226" s="690">
        <f>CA226</f>
        <v/>
      </c>
      <c r="AE226" s="688">
        <f>CB226</f>
        <v/>
      </c>
      <c r="AF226" s="115"/>
      <c r="AG226" s="808">
        <f>IF(AZ226="","N/A",IF(CQ226="Pass","P","F"))</f>
        <v/>
      </c>
      <c r="AH226" s="129"/>
      <c r="AI226" s="129"/>
      <c r="AJ226" s="129"/>
      <c r="AK226" s="119"/>
      <c r="AL226" s="115"/>
      <c r="AM226" s="119"/>
      <c r="AN226" s="119"/>
      <c r="AO226" s="692"/>
      <c r="AP226" s="692"/>
      <c r="AQ226" s="692"/>
      <c r="AR226" s="692"/>
      <c r="AS226" s="692"/>
      <c r="AT226" s="691">
        <f>CE226</f>
        <v/>
      </c>
      <c r="AU226" s="691">
        <f>CF226</f>
        <v/>
      </c>
      <c r="AV226" s="813"/>
      <c r="AW226" s="813"/>
      <c r="AX226" s="197">
        <f>CZ226</f>
        <v/>
      </c>
      <c r="AY226" s="197">
        <f>DE226</f>
        <v/>
      </c>
      <c r="AZ226" s="3379">
        <f>CO226</f>
        <v/>
      </c>
      <c r="BA226" s="3380"/>
      <c r="BB226" s="197">
        <f>CP226</f>
        <v/>
      </c>
      <c r="BC226" s="813"/>
      <c r="BD226" s="197">
        <f>CR226</f>
        <v/>
      </c>
      <c r="BE226" s="121">
        <f>CS226</f>
        <v/>
      </c>
      <c r="BF226" s="122">
        <f>CT226*60</f>
        <v/>
      </c>
      <c r="BG226" s="121">
        <f>BE226</f>
        <v/>
      </c>
      <c r="BH226" s="122">
        <f>CU226*60</f>
        <v/>
      </c>
      <c r="BI226" s="122">
        <f>CV226</f>
        <v/>
      </c>
      <c r="BJ226" s="117"/>
      <c r="BK226" s="812">
        <f>Overview!$E$7</f>
        <v/>
      </c>
      <c r="BL226" s="117"/>
      <c r="BM226" s="836">
        <f>CW226</f>
        <v/>
      </c>
      <c r="BN226" s="812">
        <f>Overview!$P$153</f>
        <v/>
      </c>
      <c r="BO226" s="117"/>
      <c r="BP226" s="117"/>
      <c r="BQ226" s="115"/>
      <c r="BR226" s="1478" t="inlineStr">
        <is>
          <t>N/A</t>
        </is>
      </c>
      <c r="BS226" s="1548"/>
      <c r="BT226" s="2071" t="inlineStr">
        <is>
          <t>GSM</t>
        </is>
      </c>
      <c r="BU226" s="2071">
        <v>1800</v>
      </c>
      <c r="BV226" s="415">
        <f>Overview!$H$29</f>
        <v/>
      </c>
      <c r="BW226" s="2010"/>
      <c r="BX226" s="7674" t="inlineStr">
        <is>
          <t>Body</t>
        </is>
      </c>
      <c r="BY226" s="2072"/>
      <c r="BZ226" s="2072"/>
      <c r="CA226" s="1996" t="inlineStr">
        <is>
          <t>Front Face</t>
        </is>
      </c>
      <c r="CB226" s="1959">
        <v>5</v>
      </c>
      <c r="CC226" s="856">
        <f>'2G-3G'!BX30</f>
        <v>698</v>
      </c>
      <c r="CD226" s="856">
        <f>'2G-3G'!BY30</f>
        <v>1747.4</v>
      </c>
      <c r="CE226" s="1522"/>
      <c r="CF226" s="1522"/>
      <c r="CG226" s="386" t="str">
        <f>IF(OR($BY$167="",$BY$167=""),"",$BY$167)</f>
        <v/>
      </c>
      <c r="CH226" s="386">
        <f>BZ226</f>
        <v/>
      </c>
      <c r="CI226" s="386">
        <f>CA226</f>
        <v/>
      </c>
      <c r="CJ226" s="1526"/>
      <c r="CK226" s="2070"/>
      <c r="CL226" s="203">
        <f>IF(CF226=""," ",IF(ABS(CE226-CF226)&lt;=0.125,"Valid","Not valid"))</f>
        <v/>
      </c>
      <c r="CM226" s="204">
        <f> IF(CE226="","",IF(AND(CE226&lt;&gt;"",CF226=""),IF(CE226&gt;=1,"Medir+Sig Max","No"),IF(CF226&lt;&gt;"",IF(CF226&gt;=1,"Medir+Sig Max","No"),"")))</f>
        <v/>
      </c>
      <c r="CN226" s="1798"/>
      <c r="CO226" s="219">
        <f>IF(CK226="",IF(AND(CE226="",CF226=""),"",IF(CF226="",IF(DE226&gt;1,ROUND(DE226*CE226,3),CE226),IF(DE226&gt;1,ROUND(DE226*CF226,3),CF226))),IF(AND(CE226="",CF226=""),"",IF(CF226="",IF(DE226&gt;1,ROUND(DE226*CE226*(1/(CK226)),3),CE226*(1/(CK226))),IF(DE226&gt;1,ROUND(DE226*CF226*(1/(CK226)),3),CF226*(1/(CK226))))))</f>
        <v/>
      </c>
      <c r="CP226" s="2037">
        <f>$CP$3</f>
        <v/>
      </c>
      <c r="CQ226" s="1471">
        <f>IF(CO226="","",IF(CO226&gt;CP226,"Fail","Pass"))</f>
        <v/>
      </c>
      <c r="CR226" s="1480">
        <f>IF(AND(MAX(CO226:CO233)=CO226,CO226&lt;&gt;0),COUNT($CR$3:CR223)+1,"")</f>
        <v/>
      </c>
      <c r="CS226" s="1564">
        <f>MyTimestamp(CO226)</f>
        <v/>
      </c>
      <c r="CT226" s="1529">
        <f>IF(CE226="",0,15)+IF(CF226="",0,15)</f>
        <v/>
      </c>
      <c r="CU226" s="1530">
        <f>IF(CT226=0,0,2)</f>
        <v/>
      </c>
      <c r="CV226" s="862" t="inlineStr">
        <is>
          <t>S/02</t>
        </is>
      </c>
      <c r="CW226" s="862" t="inlineStr">
        <is>
          <t>Dasy6</t>
        </is>
      </c>
      <c r="CX226" s="2038"/>
      <c r="CY226" s="2039"/>
      <c r="CZ226" s="1542">
        <f>10^(CJ226/20)*100-100</f>
        <v/>
      </c>
      <c r="DA226" s="1324">
        <f>IF('Tune-Up'!$H$21="","",'Tune-Up'!$H$21)</f>
        <v/>
      </c>
      <c r="DB226" s="700">
        <f>'2G-3G'!BZ30</f>
        <v/>
      </c>
      <c r="DC226" s="768">
        <f>IF(DA226="","",10^(DA226/10))</f>
        <v/>
      </c>
      <c r="DD226" s="1368">
        <f>IF(ISNUMBER(DB226)=FALSE,"",10^(DB226/10))</f>
        <v/>
      </c>
      <c r="DE226" s="1542">
        <f>IF(AND(ISNUMBER(DC226),ISNUMBER(DD226)),IF(DC226/DD226&gt;1,ROUND((DC226)/DD226,3),1),1)</f>
        <v/>
      </c>
      <c r="DF226" s="1541"/>
      <c r="DG226" s="1541"/>
      <c r="DH226" s="1541"/>
      <c r="DI226" s="1541"/>
      <c r="DJ226" s="1541"/>
      <c r="DK226" s="1541"/>
      <c r="DL226" s="1541"/>
      <c r="DM226" s="1541"/>
      <c r="DN226" s="1541"/>
      <c r="DO226" s="1541"/>
      <c r="DP226" s="1541"/>
      <c r="DQ226" s="1541"/>
      <c r="DR226" s="1541"/>
    </row>
    <row r="227" ht="12.75" x14ac:dyDescent="0.2">
      <c r="A227" s="1541"/>
      <c r="B227" s="1541"/>
      <c r="C227"/>
      <c r="D227" s="130">
        <f>IF(BX$226="Close to Ear","EN 62209-1","EN 62209-2")</f>
        <v/>
      </c>
      <c r="E227" s="130">
        <f>IF(CG227="Close to Ear","2016","2010/A1:2019")</f>
        <v/>
      </c>
      <c r="F227" s="1488" t="inlineStr">
        <is>
          <t>5.1</t>
        </is>
      </c>
      <c r="G227" s="1497"/>
      <c r="H227" s="120">
        <f>BV227</f>
        <v/>
      </c>
      <c r="I227" s="120">
        <f>BW227</f>
        <v/>
      </c>
      <c r="J227" s="687" t="str">
        <f>BT227</f>
        <v>GSM</v>
      </c>
      <c r="K227" s="194">
        <f>BU227</f>
        <v>1800</v>
      </c>
      <c r="L227" s="115"/>
      <c r="M227" s="120">
        <f>BZ227</f>
        <v>0</v>
      </c>
      <c r="N227" s="119"/>
      <c r="O227" s="131"/>
      <c r="P227" s="6597"/>
      <c r="Q227" s="131"/>
      <c r="R227" s="131"/>
      <c r="S227" s="120">
        <f>CG227</f>
        <v>0</v>
      </c>
      <c r="T227" s="120">
        <f>CC227</f>
        <v>698</v>
      </c>
      <c r="U227" s="120">
        <f>CD227</f>
        <v>1747.4</v>
      </c>
      <c r="V227" s="119"/>
      <c r="W227" s="197">
        <f>CK227*100</f>
        <v/>
      </c>
      <c r="X227" s="119"/>
      <c r="Y227" s="119"/>
      <c r="Z227" s="119"/>
      <c r="AA227" s="115"/>
      <c r="AB227" s="115"/>
      <c r="AC227" s="689">
        <f>IF(OR(BX$226="Close to Ear",BX$226="Close to Head"),"Head",IF(BX$226="Extremity","Extremity","Body"))</f>
        <v/>
      </c>
      <c r="AD227" s="690">
        <f>CA227</f>
        <v/>
      </c>
      <c r="AE227" s="688">
        <f>CB227</f>
        <v/>
      </c>
      <c r="AF227" s="115"/>
      <c r="AG227" s="808">
        <f>IF(AZ227="","N/A",IF(CQ227="Pass","P","F"))</f>
        <v/>
      </c>
      <c r="AH227" s="129"/>
      <c r="AI227" s="129"/>
      <c r="AJ227" s="129"/>
      <c r="AK227" s="119"/>
      <c r="AL227" s="115"/>
      <c r="AM227" s="119"/>
      <c r="AN227" s="119"/>
      <c r="AO227" s="692"/>
      <c r="AP227" s="692"/>
      <c r="AQ227" s="692"/>
      <c r="AR227" s="692"/>
      <c r="AS227" s="692"/>
      <c r="AT227" s="691">
        <f>CE227</f>
        <v/>
      </c>
      <c r="AU227" s="691">
        <f>CF227</f>
        <v/>
      </c>
      <c r="AV227" s="813"/>
      <c r="AW227" s="813"/>
      <c r="AX227" s="197">
        <f>CZ227</f>
        <v/>
      </c>
      <c r="AY227" s="197">
        <f>DE227</f>
        <v/>
      </c>
      <c r="AZ227" s="3379">
        <f>CO227</f>
        <v/>
      </c>
      <c r="BA227" s="3380"/>
      <c r="BB227" s="197">
        <f>CP227</f>
        <v/>
      </c>
      <c r="BC227" s="813"/>
      <c r="BD227" s="197">
        <f>CR227</f>
        <v/>
      </c>
      <c r="BE227" s="121">
        <f>CS227</f>
        <v/>
      </c>
      <c r="BF227" s="122">
        <f>CT227*60</f>
        <v/>
      </c>
      <c r="BG227" s="121">
        <f>BE227</f>
        <v/>
      </c>
      <c r="BH227" s="122">
        <f>CU227*60</f>
        <v/>
      </c>
      <c r="BI227" s="122">
        <f>CV227</f>
        <v/>
      </c>
      <c r="BJ227" s="117"/>
      <c r="BK227" s="812">
        <f>Overview!$E$7</f>
        <v/>
      </c>
      <c r="BL227" s="117"/>
      <c r="BM227" s="836">
        <f>CW227</f>
        <v/>
      </c>
      <c r="BN227" s="812">
        <f>Overview!$P$153</f>
        <v/>
      </c>
      <c r="BO227" s="117"/>
      <c r="BP227" s="117"/>
      <c r="BQ227" s="115"/>
      <c r="BR227" s="1478" t="inlineStr">
        <is>
          <t>N/A</t>
        </is>
      </c>
      <c r="BS227" s="1548"/>
      <c r="BT227" s="2071" t="inlineStr">
        <is>
          <t>GSM</t>
        </is>
      </c>
      <c r="BU227" s="2071">
        <v>1800</v>
      </c>
      <c r="BV227" s="415">
        <f>Overview!$H$29</f>
        <v/>
      </c>
      <c r="BW227" s="2010"/>
      <c r="BX227" s="2071"/>
      <c r="BY227" s="2072"/>
      <c r="BZ227" s="2072"/>
      <c r="CA227" s="1997" t="inlineStr">
        <is>
          <t>Back Face</t>
        </is>
      </c>
      <c r="CB227" s="200">
        <v>5</v>
      </c>
      <c r="CC227" s="902">
        <f>'2G-3G'!BX30</f>
        <v>698</v>
      </c>
      <c r="CD227" s="902">
        <f>'2G-3G'!BY30</f>
        <v>1747.4</v>
      </c>
      <c r="CE227" s="1523"/>
      <c r="CF227" s="1523"/>
      <c r="CG227" s="387" t="str">
        <f>IF(OR($BY$167="",$BY$167=""),"",$BY$167)</f>
        <v/>
      </c>
      <c r="CH227" s="387">
        <f>BZ227</f>
        <v/>
      </c>
      <c r="CI227" s="387">
        <f>CA227</f>
        <v/>
      </c>
      <c r="CJ227" s="1527"/>
      <c r="CK227" s="2042"/>
      <c r="CL227" s="206">
        <f>IF(CF227=""," ",IF(ABS(CE227-CF227)&lt;=0.125,"Valid","Not valid"))</f>
        <v/>
      </c>
      <c r="CM227" s="207">
        <f> IF(CE227="","",IF(AND(CE227&lt;&gt;"",CF227=""),IF(CE227&gt;=1,"Medir+Sig Max","No"),IF(CF227&lt;&gt;"",IF(CF227&gt;=1,"Medir+Sig Max","No"),"")))</f>
        <v/>
      </c>
      <c r="CN227" s="1787"/>
      <c r="CO227" s="220">
        <f>IF(CK227="",IF(AND(CE227="",CF227=""),"",IF(CF227="",IF(DE227&gt;1,ROUND(DE227*CE227,3),CE227),IF(DE227&gt;1,ROUND(DE227*CF227,3),CF227))),IF(AND(CE227="",CF227=""),"",IF(CF227="",IF(DE227&gt;1,ROUND(DE227*CE227*(1/(CK227)),3),CE227*(1/(CK227))),IF(DE227&gt;1,ROUND(DE227*CF227*(1/(CK227)),3),CF227*(1/(CK227))))))</f>
        <v/>
      </c>
      <c r="CP227" s="2043">
        <f>$CP$3</f>
        <v/>
      </c>
      <c r="CQ227" s="1472">
        <f>IF(CO227="","",IF(CO227&gt;CP227,"Fail","Pass"))</f>
        <v/>
      </c>
      <c r="CR227" s="1481">
        <f>IF(AND(MAX(CO226:CO233)=CO227,CO227&lt;&gt;0),COUNT($CR$3:CR226)+1,"")</f>
        <v/>
      </c>
      <c r="CS227" s="1565">
        <f>MyTimestamp(CO227)</f>
        <v/>
      </c>
      <c r="CT227" s="1531">
        <f>IF(CE227="",0,15)+IF(CF227="",0,15)</f>
        <v/>
      </c>
      <c r="CU227" s="1532">
        <f>IF(CT227=0,0,2)</f>
        <v/>
      </c>
      <c r="CV227" s="859" t="inlineStr">
        <is>
          <t>S/02</t>
        </is>
      </c>
      <c r="CW227" s="859" t="inlineStr">
        <is>
          <t>Dasy6</t>
        </is>
      </c>
      <c r="CX227" s="2038"/>
      <c r="CY227" s="2044"/>
      <c r="CZ227" s="1543">
        <f>10^(CJ227/20)*100-100</f>
        <v/>
      </c>
      <c r="DA227" s="1325">
        <f>IF('Tune-Up'!$H$21="","",'Tune-Up'!$H$21)</f>
        <v/>
      </c>
      <c r="DB227" s="701">
        <f>'2G-3G'!BZ30</f>
        <v/>
      </c>
      <c r="DC227" s="769">
        <f>IF(DA227="","",10^(DA227/10))</f>
        <v/>
      </c>
      <c r="DD227" s="1369">
        <f>IF(ISNUMBER(DB227)=FALSE,"",10^(DB227/10))</f>
        <v/>
      </c>
      <c r="DE227" s="1543">
        <f>IF(AND(ISNUMBER(DC227),ISNUMBER(DD227)),IF(DC227/DD227&gt;1,ROUND((DC227)/DD227,3),1),1)</f>
        <v/>
      </c>
      <c r="DF227" s="1541"/>
      <c r="DG227" s="1541"/>
      <c r="DH227" s="1541"/>
      <c r="DI227" s="1541"/>
      <c r="DJ227" s="1541"/>
      <c r="DK227" s="1541"/>
      <c r="DL227" s="1541"/>
      <c r="DM227" s="1541"/>
      <c r="DN227" s="1541"/>
      <c r="DO227" s="1541"/>
      <c r="DP227" s="1541"/>
      <c r="DQ227" s="1541"/>
      <c r="DR227" s="1541"/>
    </row>
    <row r="228" ht="12.75" x14ac:dyDescent="0.2">
      <c r="A228" s="1541"/>
      <c r="B228" s="1541"/>
      <c r="C228"/>
      <c r="D228" s="130">
        <f>IF(BX$226="Close to Ear","EN 62209-1","EN 62209-2")</f>
        <v/>
      </c>
      <c r="E228" s="130">
        <f>IF(CG228="Close to Ear","2016","2010/A1:2019")</f>
        <v/>
      </c>
      <c r="F228" s="1488" t="inlineStr">
        <is>
          <t>5.1</t>
        </is>
      </c>
      <c r="G228" s="1497"/>
      <c r="H228" s="120">
        <f>BV228</f>
        <v/>
      </c>
      <c r="I228" s="120">
        <f>BW228</f>
        <v/>
      </c>
      <c r="J228" s="687" t="str">
        <f>BT228</f>
        <v>GSM</v>
      </c>
      <c r="K228" s="194">
        <f>BU228</f>
        <v>1800</v>
      </c>
      <c r="L228" s="115"/>
      <c r="M228" s="120">
        <f>BZ228</f>
        <v>0</v>
      </c>
      <c r="N228" s="119"/>
      <c r="O228" s="131"/>
      <c r="P228" s="6597"/>
      <c r="Q228" s="131"/>
      <c r="R228" s="131"/>
      <c r="S228" s="120">
        <f>CG228</f>
        <v>0</v>
      </c>
      <c r="T228" s="120">
        <f>CC228</f>
        <v>698</v>
      </c>
      <c r="U228" s="120">
        <f>CD228</f>
        <v>1747.4</v>
      </c>
      <c r="V228" s="119"/>
      <c r="W228" s="197">
        <f>CK228*100</f>
        <v/>
      </c>
      <c r="X228" s="119"/>
      <c r="Y228" s="119"/>
      <c r="Z228" s="119"/>
      <c r="AA228" s="115"/>
      <c r="AB228" s="115"/>
      <c r="AC228" s="689">
        <f>IF(OR(BX$226="Close to Ear",BX$226="Close to Head"),"Head",IF(BX$226="Extremity","Extremity","Body"))</f>
        <v/>
      </c>
      <c r="AD228" s="690">
        <f>CA228</f>
        <v/>
      </c>
      <c r="AE228" s="688">
        <f>CB228</f>
        <v/>
      </c>
      <c r="AF228" s="115"/>
      <c r="AG228" s="808">
        <f>IF(AZ228="","N/A",IF(CQ228="Pass","P","F"))</f>
        <v/>
      </c>
      <c r="AH228" s="129"/>
      <c r="AI228" s="129"/>
      <c r="AJ228" s="129"/>
      <c r="AK228" s="119"/>
      <c r="AL228" s="115"/>
      <c r="AM228" s="119"/>
      <c r="AN228" s="119"/>
      <c r="AO228" s="692"/>
      <c r="AP228" s="692"/>
      <c r="AQ228" s="692"/>
      <c r="AR228" s="692"/>
      <c r="AS228" s="692"/>
      <c r="AT228" s="691">
        <f>CE228</f>
        <v/>
      </c>
      <c r="AU228" s="691">
        <f>CF228</f>
        <v/>
      </c>
      <c r="AV228" s="813"/>
      <c r="AW228" s="813"/>
      <c r="AX228" s="197">
        <f>CZ228</f>
        <v/>
      </c>
      <c r="AY228" s="197">
        <f>DE228</f>
        <v/>
      </c>
      <c r="AZ228" s="3379">
        <f>CO228</f>
        <v/>
      </c>
      <c r="BA228" s="3380"/>
      <c r="BB228" s="197">
        <f>CP228</f>
        <v/>
      </c>
      <c r="BC228" s="813"/>
      <c r="BD228" s="197">
        <f>CR228</f>
        <v/>
      </c>
      <c r="BE228" s="121">
        <f>CS228</f>
        <v/>
      </c>
      <c r="BF228" s="122">
        <f>CT228*60</f>
        <v/>
      </c>
      <c r="BG228" s="121">
        <f>BE228</f>
        <v/>
      </c>
      <c r="BH228" s="122">
        <f>CU228*60</f>
        <v/>
      </c>
      <c r="BI228" s="122">
        <f>CV228</f>
        <v/>
      </c>
      <c r="BJ228" s="117"/>
      <c r="BK228" s="812">
        <f>Overview!$E$7</f>
        <v/>
      </c>
      <c r="BL228" s="117"/>
      <c r="BM228" s="836">
        <f>CW228</f>
        <v/>
      </c>
      <c r="BN228" s="812">
        <f>Overview!$P$153</f>
        <v/>
      </c>
      <c r="BO228" s="117"/>
      <c r="BP228" s="117"/>
      <c r="BQ228" s="115"/>
      <c r="BR228" s="1478" t="inlineStr">
        <is>
          <t>N/A</t>
        </is>
      </c>
      <c r="BS228" s="1548"/>
      <c r="BT228" s="2071" t="inlineStr">
        <is>
          <t>GSM</t>
        </is>
      </c>
      <c r="BU228" s="2071">
        <v>1800</v>
      </c>
      <c r="BV228" s="415">
        <f>Overview!$H$29</f>
        <v/>
      </c>
      <c r="BW228" s="2010"/>
      <c r="BX228" s="2071"/>
      <c r="BY228" s="2072"/>
      <c r="BZ228" s="2072"/>
      <c r="CA228" s="1997" t="inlineStr">
        <is>
          <t>Left Edge</t>
        </is>
      </c>
      <c r="CB228" s="200">
        <v>5</v>
      </c>
      <c r="CC228" s="902">
        <f>'2G-3G'!BX30</f>
        <v>698</v>
      </c>
      <c r="CD228" s="902">
        <f>'2G-3G'!BY30</f>
        <v>1747.4</v>
      </c>
      <c r="CE228" s="1523"/>
      <c r="CF228" s="1523"/>
      <c r="CG228" s="387" t="str">
        <f>IF(OR($BY$167="",$BY$167=""),"",$BY$167)</f>
        <v/>
      </c>
      <c r="CH228" s="387">
        <f>BZ228</f>
        <v/>
      </c>
      <c r="CI228" s="387">
        <f>CA228</f>
        <v/>
      </c>
      <c r="CJ228" s="1527"/>
      <c r="CK228" s="2042"/>
      <c r="CL228" s="206">
        <f>IF(CF228=""," ",IF(ABS(CE228-CF228)&lt;=0.125,"Valid","Not valid"))</f>
        <v/>
      </c>
      <c r="CM228" s="207">
        <f> IF(CE228="","",IF(AND(CE228&lt;&gt;"",CF228=""),IF(CE228&gt;=1,"Medir+Sig Max","No"),IF(CF228&lt;&gt;"",IF(CF228&gt;=1,"Medir+Sig Max","No"),"")))</f>
        <v/>
      </c>
      <c r="CN228" s="1787"/>
      <c r="CO228" s="220">
        <f>IF(CK228="",IF(AND(CE228="",CF228=""),"",IF(CF228="",IF(DE228&gt;1,ROUND(DE228*CE228,3),CE228),IF(DE228&gt;1,ROUND(DE228*CF228,3),CF228))),IF(AND(CE228="",CF228=""),"",IF(CF228="",IF(DE228&gt;1,ROUND(DE228*CE228*(1/(CK228)),3),CE228*(1/(CK228))),IF(DE228&gt;1,ROUND(DE228*CF228*(1/(CK228)),3),CF228*(1/(CK228))))))</f>
        <v/>
      </c>
      <c r="CP228" s="2043">
        <f>$CP$3</f>
        <v/>
      </c>
      <c r="CQ228" s="1472">
        <f>IF(CO228="","",IF(CO228&gt;CP228,"Fail","Pass"))</f>
        <v/>
      </c>
      <c r="CR228" s="1481">
        <f>IF(AND(MAX(CO226:CO233)=CO228,CO228&lt;&gt;0),COUNT($CR$3:CR227)+1,"")</f>
        <v/>
      </c>
      <c r="CS228" s="1565">
        <f>MyTimestamp(CO228)</f>
        <v/>
      </c>
      <c r="CT228" s="1531">
        <f>IF(CE228="",0,15)+IF(CF228="",0,15)</f>
        <v/>
      </c>
      <c r="CU228" s="1532">
        <f>IF(CT228=0,0,2)</f>
        <v/>
      </c>
      <c r="CV228" s="859" t="inlineStr">
        <is>
          <t>S/02</t>
        </is>
      </c>
      <c r="CW228" s="859" t="inlineStr">
        <is>
          <t>Dasy6</t>
        </is>
      </c>
      <c r="CX228" s="2038"/>
      <c r="CY228" s="2044"/>
      <c r="CZ228" s="1543">
        <f>10^(CJ228/20)*100-100</f>
        <v/>
      </c>
      <c r="DA228" s="1325">
        <f>IF('Tune-Up'!$H$21="","",'Tune-Up'!$H$21)</f>
        <v/>
      </c>
      <c r="DB228" s="701">
        <f>'2G-3G'!BZ30</f>
        <v/>
      </c>
      <c r="DC228" s="769">
        <f>IF(DA228="","",10^(DA228/10))</f>
        <v/>
      </c>
      <c r="DD228" s="1369">
        <f>IF(ISNUMBER(DB228)=FALSE,"",10^(DB228/10))</f>
        <v/>
      </c>
      <c r="DE228" s="1543">
        <f>IF(AND(ISNUMBER(DC228),ISNUMBER(DD228)),IF(DC228/DD228&gt;1,ROUND((DC228)/DD228,3),1),1)</f>
        <v/>
      </c>
      <c r="DF228" s="1541"/>
      <c r="DG228" s="1541"/>
      <c r="DH228" s="1541"/>
      <c r="DI228" s="1541"/>
      <c r="DJ228" s="1541"/>
      <c r="DK228" s="1541"/>
      <c r="DL228" s="1541"/>
      <c r="DM228" s="1541"/>
      <c r="DN228" s="1541"/>
      <c r="DO228" s="1541"/>
      <c r="DP228" s="1541"/>
      <c r="DQ228" s="1541"/>
      <c r="DR228" s="1541"/>
    </row>
    <row r="229" ht="12.75" x14ac:dyDescent="0.2">
      <c r="A229" s="1541"/>
      <c r="B229" s="1541"/>
      <c r="C229"/>
      <c r="D229" s="130">
        <f>IF(BX$226="Close to Ear","EN 62209-1","EN 62209-2")</f>
        <v/>
      </c>
      <c r="E229" s="130">
        <f>IF(CG229="Close to Ear","2016","2010/A1:2019")</f>
        <v/>
      </c>
      <c r="F229" s="1488" t="inlineStr">
        <is>
          <t>5.1</t>
        </is>
      </c>
      <c r="G229" s="1497"/>
      <c r="H229" s="120">
        <f>BV229</f>
        <v/>
      </c>
      <c r="I229" s="120">
        <f>BW229</f>
        <v/>
      </c>
      <c r="J229" s="687" t="str">
        <f>BT229</f>
        <v>GSM</v>
      </c>
      <c r="K229" s="194">
        <f>BU229</f>
        <v>1800</v>
      </c>
      <c r="L229" s="115"/>
      <c r="M229" s="120">
        <f>BZ229</f>
        <v>0</v>
      </c>
      <c r="N229" s="119"/>
      <c r="O229" s="131"/>
      <c r="P229" s="6597"/>
      <c r="Q229" s="131"/>
      <c r="R229" s="131"/>
      <c r="S229" s="120">
        <f>CG229</f>
        <v>0</v>
      </c>
      <c r="T229" s="120">
        <f>CC229</f>
        <v>698</v>
      </c>
      <c r="U229" s="120">
        <f>CD229</f>
        <v>1747.4</v>
      </c>
      <c r="V229" s="119"/>
      <c r="W229" s="197">
        <f>CK229*100</f>
        <v/>
      </c>
      <c r="X229" s="119"/>
      <c r="Y229" s="119"/>
      <c r="Z229" s="119"/>
      <c r="AA229" s="115"/>
      <c r="AB229" s="115"/>
      <c r="AC229" s="689">
        <f>IF(OR(BX$226="Close to Ear",BX$226="Close to Head"),"Head",IF(BX$226="Extremity","Extremity","Body"))</f>
        <v/>
      </c>
      <c r="AD229" s="690">
        <f>CA229</f>
        <v/>
      </c>
      <c r="AE229" s="688">
        <f>CB229</f>
        <v/>
      </c>
      <c r="AF229" s="115"/>
      <c r="AG229" s="808">
        <f>IF(AZ229="","N/A",IF(CQ229="Pass","P","F"))</f>
        <v/>
      </c>
      <c r="AH229" s="129"/>
      <c r="AI229" s="129"/>
      <c r="AJ229" s="129"/>
      <c r="AK229" s="119"/>
      <c r="AL229" s="115"/>
      <c r="AM229" s="119"/>
      <c r="AN229" s="119"/>
      <c r="AO229" s="692"/>
      <c r="AP229" s="692"/>
      <c r="AQ229" s="692"/>
      <c r="AR229" s="692"/>
      <c r="AS229" s="692"/>
      <c r="AT229" s="691">
        <f>CE229</f>
        <v/>
      </c>
      <c r="AU229" s="691">
        <f>CF229</f>
        <v/>
      </c>
      <c r="AV229" s="813"/>
      <c r="AW229" s="813"/>
      <c r="AX229" s="197">
        <f>CZ229</f>
        <v/>
      </c>
      <c r="AY229" s="197">
        <f>DE229</f>
        <v/>
      </c>
      <c r="AZ229" s="3379">
        <f>CO229</f>
        <v/>
      </c>
      <c r="BA229" s="3380"/>
      <c r="BB229" s="197">
        <f>CP229</f>
        <v/>
      </c>
      <c r="BC229" s="813"/>
      <c r="BD229" s="197">
        <f>CR229</f>
        <v/>
      </c>
      <c r="BE229" s="121">
        <f>CS229</f>
        <v/>
      </c>
      <c r="BF229" s="122">
        <f>CT229*60</f>
        <v/>
      </c>
      <c r="BG229" s="121">
        <f>BE229</f>
        <v/>
      </c>
      <c r="BH229" s="122">
        <f>CU229*60</f>
        <v/>
      </c>
      <c r="BI229" s="122">
        <f>CV229</f>
        <v/>
      </c>
      <c r="BJ229" s="117"/>
      <c r="BK229" s="812">
        <f>Overview!$E$7</f>
        <v/>
      </c>
      <c r="BL229" s="117"/>
      <c r="BM229" s="836">
        <f>CW229</f>
        <v/>
      </c>
      <c r="BN229" s="812">
        <f>Overview!$P$153</f>
        <v/>
      </c>
      <c r="BO229" s="117"/>
      <c r="BP229" s="117"/>
      <c r="BQ229" s="115"/>
      <c r="BR229" s="1478" t="inlineStr">
        <is>
          <t>N/A</t>
        </is>
      </c>
      <c r="BS229" s="1548"/>
      <c r="BT229" s="1891" t="inlineStr">
        <is>
          <t>GSM</t>
        </is>
      </c>
      <c r="BU229" s="1891">
        <v>1800</v>
      </c>
      <c r="BV229" s="417">
        <f>Overview!$H$29</f>
        <v/>
      </c>
      <c r="BW229" s="2010"/>
      <c r="BX229" s="1891"/>
      <c r="BY229" s="2072"/>
      <c r="BZ229" s="2072"/>
      <c r="CA229" s="1997" t="inlineStr">
        <is>
          <t>Right Edge</t>
        </is>
      </c>
      <c r="CB229" s="200">
        <v>5</v>
      </c>
      <c r="CC229" s="902">
        <f>'2G-3G'!BX30</f>
        <v>698</v>
      </c>
      <c r="CD229" s="902">
        <f>'2G-3G'!BY30</f>
        <v>1747.4</v>
      </c>
      <c r="CE229" s="1523"/>
      <c r="CF229" s="1523"/>
      <c r="CG229" s="387" t="str">
        <f>IF(OR($BY$167="",$BY$167=""),"",$BY$167)</f>
        <v/>
      </c>
      <c r="CH229" s="387">
        <f>BZ229</f>
        <v/>
      </c>
      <c r="CI229" s="387">
        <f>CA229</f>
        <v/>
      </c>
      <c r="CJ229" s="1527"/>
      <c r="CK229" s="2042"/>
      <c r="CL229" s="206">
        <f>IF(CF229=""," ",IF(ABS(CE229-CF229)&lt;=0.125,"Valid","Not valid"))</f>
        <v/>
      </c>
      <c r="CM229" s="207">
        <f> IF(CE229="","",IF(AND(CE229&lt;&gt;"",CF229=""),IF(CE229&gt;=1,"Medir+Sig Max","No"),IF(CF229&lt;&gt;"",IF(CF229&gt;=1,"Medir+Sig Max","No"),"")))</f>
        <v/>
      </c>
      <c r="CN229" s="1787"/>
      <c r="CO229" s="220">
        <f>IF(CK229="",IF(AND(CE229="",CF229=""),"",IF(CF229="",IF(DE229&gt;1,ROUND(DE229*CE229,3),CE229),IF(DE229&gt;1,ROUND(DE229*CF229,3),CF229))),IF(AND(CE229="",CF229=""),"",IF(CF229="",IF(DE229&gt;1,ROUND(DE229*CE229*(1/(CK229)),3),CE229*(1/(CK229))),IF(DE229&gt;1,ROUND(DE229*CF229*(1/(CK229)),3),CF229*(1/(CK229))))))</f>
        <v/>
      </c>
      <c r="CP229" s="2043">
        <f>$CP$3</f>
        <v/>
      </c>
      <c r="CQ229" s="1472">
        <f>IF(CO229="","",IF(CO229&gt;CP229,"Fail","Pass"))</f>
        <v/>
      </c>
      <c r="CR229" s="1481">
        <f>IF(AND(MAX(CO226:CO233)=CO229,CO229&lt;&gt;0),COUNT($CR$3:CR228)+1,"")</f>
        <v/>
      </c>
      <c r="CS229" s="1565">
        <f>MyTimestamp(CO229)</f>
        <v/>
      </c>
      <c r="CT229" s="1531">
        <f>IF(CE229="",0,15)+IF(CF229="",0,15)</f>
        <v/>
      </c>
      <c r="CU229" s="1532">
        <f>IF(CT229=0,0,2)</f>
        <v/>
      </c>
      <c r="CV229" s="859" t="inlineStr">
        <is>
          <t>S/02</t>
        </is>
      </c>
      <c r="CW229" s="859" t="inlineStr">
        <is>
          <t>Dasy6</t>
        </is>
      </c>
      <c r="CX229" s="2038"/>
      <c r="CY229" s="2044"/>
      <c r="CZ229" s="1543">
        <f>10^(CJ229/20)*100-100</f>
        <v/>
      </c>
      <c r="DA229" s="1325">
        <f>IF('Tune-Up'!$H$21="","",'Tune-Up'!$H$21)</f>
        <v/>
      </c>
      <c r="DB229" s="701">
        <f>'2G-3G'!BZ30</f>
        <v/>
      </c>
      <c r="DC229" s="769">
        <f>IF(DA229="","",10^(DA229/10))</f>
        <v/>
      </c>
      <c r="DD229" s="1369">
        <f>IF(ISNUMBER(DB229)=FALSE,"",10^(DB229/10))</f>
        <v/>
      </c>
      <c r="DE229" s="1543">
        <f>IF(AND(ISNUMBER(DC229),ISNUMBER(DD229)),IF(DC229/DD229&gt;1,ROUND((DC229)/DD229,3),1),1)</f>
        <v/>
      </c>
      <c r="DF229" s="1541"/>
      <c r="DG229" s="1541"/>
      <c r="DH229" s="1541"/>
      <c r="DI229" s="1541"/>
      <c r="DJ229" s="1541"/>
      <c r="DK229" s="1541"/>
      <c r="DL229" s="1541"/>
      <c r="DM229" s="1541"/>
      <c r="DN229" s="1541"/>
      <c r="DO229" s="1541"/>
      <c r="DP229" s="1541"/>
      <c r="DQ229" s="1541"/>
      <c r="DR229" s="1541"/>
    </row>
    <row r="230" ht="12.75" x14ac:dyDescent="0.2">
      <c r="A230" s="1541"/>
      <c r="B230" s="1541"/>
      <c r="C230"/>
      <c r="D230" s="130">
        <f>IF(BX$226="Close to Ear","EN 62209-1","EN 62209-2")</f>
        <v/>
      </c>
      <c r="E230" s="130">
        <f>IF(CG230="Close to Ear","2016","2010/A1:2019")</f>
        <v/>
      </c>
      <c r="F230" s="1488" t="inlineStr">
        <is>
          <t>5.1</t>
        </is>
      </c>
      <c r="G230" s="1497"/>
      <c r="H230" s="120">
        <f>BV230</f>
        <v/>
      </c>
      <c r="I230" s="120">
        <f>BW230</f>
        <v/>
      </c>
      <c r="J230" s="687" t="str">
        <f>BT230</f>
        <v>GSM</v>
      </c>
      <c r="K230" s="194">
        <f>BU230</f>
        <v>1800</v>
      </c>
      <c r="L230" s="115"/>
      <c r="M230" s="120">
        <f>BZ230</f>
        <v>0</v>
      </c>
      <c r="N230" s="119"/>
      <c r="O230" s="131"/>
      <c r="P230" s="6597"/>
      <c r="Q230" s="131"/>
      <c r="R230" s="131"/>
      <c r="S230" s="120">
        <f>CG230</f>
        <v>0</v>
      </c>
      <c r="T230" s="120">
        <f>CC230</f>
        <v>698</v>
      </c>
      <c r="U230" s="120">
        <f>CD230</f>
        <v>1747.4</v>
      </c>
      <c r="V230" s="119"/>
      <c r="W230" s="197">
        <f>CK230*100</f>
        <v/>
      </c>
      <c r="X230" s="119"/>
      <c r="Y230" s="119"/>
      <c r="Z230" s="119"/>
      <c r="AA230" s="115"/>
      <c r="AB230" s="115"/>
      <c r="AC230" s="689">
        <f>IF(OR(BX$226="Close to Ear",BX$226="Close to Head"),"Head",IF(BX$226="Extremity","Extremity","Body"))</f>
        <v/>
      </c>
      <c r="AD230" s="690">
        <f>CA230</f>
        <v/>
      </c>
      <c r="AE230" s="688">
        <f>CB230</f>
        <v/>
      </c>
      <c r="AF230" s="115"/>
      <c r="AG230" s="808">
        <f>IF(AZ230="","N/A",IF(CQ230="Pass","P","F"))</f>
        <v/>
      </c>
      <c r="AH230" s="129"/>
      <c r="AI230" s="129"/>
      <c r="AJ230" s="129"/>
      <c r="AK230" s="119"/>
      <c r="AL230" s="115"/>
      <c r="AM230" s="119"/>
      <c r="AN230" s="119"/>
      <c r="AO230" s="692"/>
      <c r="AP230" s="692"/>
      <c r="AQ230" s="692"/>
      <c r="AR230" s="692"/>
      <c r="AS230" s="692"/>
      <c r="AT230" s="691">
        <f>CE230</f>
        <v/>
      </c>
      <c r="AU230" s="691">
        <f>CF230</f>
        <v/>
      </c>
      <c r="AV230" s="813"/>
      <c r="AW230" s="813"/>
      <c r="AX230" s="197">
        <f>CZ230</f>
        <v/>
      </c>
      <c r="AY230" s="197">
        <f>DE230</f>
        <v/>
      </c>
      <c r="AZ230" s="3379">
        <f>CO230</f>
        <v/>
      </c>
      <c r="BA230" s="3380"/>
      <c r="BB230" s="197">
        <f>CP230</f>
        <v/>
      </c>
      <c r="BC230" s="813"/>
      <c r="BD230" s="197">
        <f>CR230</f>
        <v/>
      </c>
      <c r="BE230" s="121">
        <f>CS230</f>
        <v/>
      </c>
      <c r="BF230" s="122">
        <f>CT230*60</f>
        <v/>
      </c>
      <c r="BG230" s="121">
        <f>BE230</f>
        <v/>
      </c>
      <c r="BH230" s="122">
        <f>CU230*60</f>
        <v/>
      </c>
      <c r="BI230" s="122">
        <f>CV230</f>
        <v/>
      </c>
      <c r="BJ230" s="117"/>
      <c r="BK230" s="812">
        <f>Overview!$E$7</f>
        <v/>
      </c>
      <c r="BL230" s="117"/>
      <c r="BM230" s="836">
        <f>CW230</f>
        <v/>
      </c>
      <c r="BN230" s="812">
        <f>Overview!$P$153</f>
        <v/>
      </c>
      <c r="BO230" s="117"/>
      <c r="BP230" s="117"/>
      <c r="BQ230" s="115"/>
      <c r="BR230" s="1478" t="inlineStr">
        <is>
          <t>N/A</t>
        </is>
      </c>
      <c r="BS230" s="1548"/>
      <c r="BT230" s="2071" t="inlineStr">
        <is>
          <t>GSM</t>
        </is>
      </c>
      <c r="BU230" s="2071">
        <v>1800</v>
      </c>
      <c r="BV230" s="415">
        <f>Overview!$H$29</f>
        <v/>
      </c>
      <c r="BW230" s="2010"/>
      <c r="BX230" s="2071"/>
      <c r="BY230" s="2072"/>
      <c r="BZ230" s="2072"/>
      <c r="CA230" s="1997" t="inlineStr">
        <is>
          <t>Top Edge</t>
        </is>
      </c>
      <c r="CB230" s="200">
        <v>5</v>
      </c>
      <c r="CC230" s="902">
        <f>'2G-3G'!BX30</f>
        <v>698</v>
      </c>
      <c r="CD230" s="902">
        <f>'2G-3G'!BY30</f>
        <v>1747.4</v>
      </c>
      <c r="CE230" s="1523"/>
      <c r="CF230" s="1523"/>
      <c r="CG230" s="387" t="str">
        <f>IF(OR($BY$167="",$BY$167=""),"",$BY$167)</f>
        <v/>
      </c>
      <c r="CH230" s="387">
        <f>BZ230</f>
        <v/>
      </c>
      <c r="CI230" s="387">
        <f>CA230</f>
        <v/>
      </c>
      <c r="CJ230" s="1527"/>
      <c r="CK230" s="2042"/>
      <c r="CL230" s="206">
        <f>IF(CF230=""," ",IF(ABS(CE230-CF230)&lt;=0.125,"Valid","Not valid"))</f>
        <v/>
      </c>
      <c r="CM230" s="207">
        <f> IF(CE230="","",IF(AND(CE230&lt;&gt;"",CF230=""),IF(CE230&gt;=1,"Medir+Sig Max","No"),IF(CF230&lt;&gt;"",IF(CF230&gt;=1,"Medir+Sig Max","No"),"")))</f>
        <v/>
      </c>
      <c r="CN230" s="1787"/>
      <c r="CO230" s="220">
        <f>IF(CK230="",IF(AND(CE230="",CF230=""),"",IF(CF230="",IF(DE230&gt;1,ROUND(DE230*CE230,3),CE230),IF(DE230&gt;1,ROUND(DE230*CF230,3),CF230))),IF(AND(CE230="",CF230=""),"",IF(CF230="",IF(DE230&gt;1,ROUND(DE230*CE230*(1/(CK230)),3),CE230*(1/(CK230))),IF(DE230&gt;1,ROUND(DE230*CF230*(1/(CK230)),3),CF230*(1/(CK230))))))</f>
        <v/>
      </c>
      <c r="CP230" s="2043">
        <f>$CP$3</f>
        <v/>
      </c>
      <c r="CQ230" s="1472">
        <f>IF(CO230="","",IF(CO230&gt;CP230,"Fail","Pass"))</f>
        <v/>
      </c>
      <c r="CR230" s="1481">
        <f>IF(AND(MAX(CO226:CO233)=CO230,CO230&lt;&gt;0),COUNT($CR$3:CR229)+1,"")</f>
        <v/>
      </c>
      <c r="CS230" s="1565">
        <f>MyTimestamp(CO230)</f>
        <v/>
      </c>
      <c r="CT230" s="1531">
        <f>IF(CE230="",0,15)+IF(CF230="",0,15)</f>
        <v/>
      </c>
      <c r="CU230" s="1532">
        <f>IF(CT230=0,0,2)</f>
        <v/>
      </c>
      <c r="CV230" s="859" t="inlineStr">
        <is>
          <t>S/02</t>
        </is>
      </c>
      <c r="CW230" s="859" t="inlineStr">
        <is>
          <t>Dasy6</t>
        </is>
      </c>
      <c r="CX230" s="2038"/>
      <c r="CY230" s="2044"/>
      <c r="CZ230" s="1543">
        <f>10^(CJ230/20)*100-100</f>
        <v/>
      </c>
      <c r="DA230" s="1325">
        <f>IF('Tune-Up'!$H$21="","",'Tune-Up'!$H$21)</f>
        <v/>
      </c>
      <c r="DB230" s="701">
        <f>'2G-3G'!BZ30</f>
        <v/>
      </c>
      <c r="DC230" s="769">
        <f>IF(DA230="","",10^(DA230/10))</f>
        <v/>
      </c>
      <c r="DD230" s="1369">
        <f>IF(ISNUMBER(DB230)=FALSE,"",10^(DB230/10))</f>
        <v/>
      </c>
      <c r="DE230" s="1543">
        <f>IF(AND(ISNUMBER(DC230),ISNUMBER(DD230)),IF(DC230/DD230&gt;1,ROUND((DC230)/DD230,3),1),1)</f>
        <v/>
      </c>
      <c r="DF230" s="1541"/>
      <c r="DG230" s="1541"/>
      <c r="DH230" s="1541"/>
      <c r="DI230" s="1541"/>
      <c r="DJ230" s="1541"/>
      <c r="DK230" s="1541"/>
      <c r="DL230" s="1541"/>
      <c r="DM230" s="1541"/>
      <c r="DN230" s="1541"/>
      <c r="DO230" s="1541"/>
      <c r="DP230" s="1541"/>
      <c r="DQ230" s="1541"/>
      <c r="DR230" s="1541"/>
    </row>
    <row r="231" ht="12.75" x14ac:dyDescent="0.2">
      <c r="A231" s="1541"/>
      <c r="B231" s="1541"/>
      <c r="C231"/>
      <c r="D231" s="130">
        <f>IF(BX$226="Close to Ear","EN 62209-1","EN 62209-2")</f>
        <v/>
      </c>
      <c r="E231" s="130">
        <f>IF(CG231="Close to Ear","2016","2010/A1:2019")</f>
        <v/>
      </c>
      <c r="F231" s="1488" t="inlineStr">
        <is>
          <t>5.1</t>
        </is>
      </c>
      <c r="G231" s="1497"/>
      <c r="H231" s="120">
        <f>BV231</f>
        <v/>
      </c>
      <c r="I231" s="120">
        <f>BW231</f>
        <v/>
      </c>
      <c r="J231" s="687" t="str">
        <f>BT231</f>
        <v>GSM</v>
      </c>
      <c r="K231" s="194">
        <f>BU231</f>
        <v>1800</v>
      </c>
      <c r="L231" s="115"/>
      <c r="M231" s="120">
        <f>BZ231</f>
        <v>0</v>
      </c>
      <c r="N231" s="119"/>
      <c r="O231" s="131"/>
      <c r="P231" s="6597"/>
      <c r="Q231" s="131"/>
      <c r="R231" s="131"/>
      <c r="S231" s="120">
        <f>CG231</f>
        <v>0</v>
      </c>
      <c r="T231" s="120">
        <f>CC231</f>
        <v>698</v>
      </c>
      <c r="U231" s="120">
        <f>CD231</f>
        <v>1747.4</v>
      </c>
      <c r="V231" s="119"/>
      <c r="W231" s="197">
        <f>CK231*100</f>
        <v/>
      </c>
      <c r="X231" s="119"/>
      <c r="Y231" s="119"/>
      <c r="Z231" s="119"/>
      <c r="AA231" s="115"/>
      <c r="AB231" s="115"/>
      <c r="AC231" s="689">
        <f>IF(OR(BX$226="Close to Ear",BX$226="Close to Head"),"Head",IF(BX$226="Extremity","Extremity","Body"))</f>
        <v/>
      </c>
      <c r="AD231" s="690">
        <f>CA231</f>
        <v/>
      </c>
      <c r="AE231" s="688">
        <f>CB231</f>
        <v/>
      </c>
      <c r="AF231" s="115"/>
      <c r="AG231" s="808">
        <f>IF(AZ231="","N/A",IF(CQ231="Pass","P","F"))</f>
        <v/>
      </c>
      <c r="AH231" s="129"/>
      <c r="AI231" s="129"/>
      <c r="AJ231" s="129"/>
      <c r="AK231" s="119"/>
      <c r="AL231" s="115"/>
      <c r="AM231" s="119"/>
      <c r="AN231" s="119"/>
      <c r="AO231" s="692"/>
      <c r="AP231" s="692"/>
      <c r="AQ231" s="692"/>
      <c r="AR231" s="692"/>
      <c r="AS231" s="692"/>
      <c r="AT231" s="691">
        <f>CE231</f>
        <v/>
      </c>
      <c r="AU231" s="691">
        <f>CF231</f>
        <v/>
      </c>
      <c r="AV231" s="813"/>
      <c r="AW231" s="813"/>
      <c r="AX231" s="197">
        <f>CZ231</f>
        <v/>
      </c>
      <c r="AY231" s="197">
        <f>DE231</f>
        <v/>
      </c>
      <c r="AZ231" s="3379">
        <f>CO231</f>
        <v/>
      </c>
      <c r="BA231" s="3380"/>
      <c r="BB231" s="197">
        <f>CP231</f>
        <v/>
      </c>
      <c r="BC231" s="813"/>
      <c r="BD231" s="197">
        <f>CR231</f>
        <v/>
      </c>
      <c r="BE231" s="121">
        <f>CS231</f>
        <v/>
      </c>
      <c r="BF231" s="122">
        <f>CT231*60</f>
        <v/>
      </c>
      <c r="BG231" s="121">
        <f>BE231</f>
        <v/>
      </c>
      <c r="BH231" s="122">
        <f>CU231*60</f>
        <v/>
      </c>
      <c r="BI231" s="122">
        <f>CV231</f>
        <v/>
      </c>
      <c r="BJ231" s="117"/>
      <c r="BK231" s="812">
        <f>Overview!$E$7</f>
        <v/>
      </c>
      <c r="BL231" s="117"/>
      <c r="BM231" s="836">
        <f>CW231</f>
        <v/>
      </c>
      <c r="BN231" s="812">
        <f>Overview!$P$153</f>
        <v/>
      </c>
      <c r="BO231" s="117"/>
      <c r="BP231" s="117"/>
      <c r="BQ231" s="115"/>
      <c r="BR231" s="1478" t="inlineStr">
        <is>
          <t>N/A</t>
        </is>
      </c>
      <c r="BS231" s="1548"/>
      <c r="BT231" s="2071" t="inlineStr">
        <is>
          <t>GSM</t>
        </is>
      </c>
      <c r="BU231" s="2071">
        <v>1800</v>
      </c>
      <c r="BV231" s="415">
        <f>Overview!$H$29</f>
        <v/>
      </c>
      <c r="BW231" s="2010"/>
      <c r="BX231" s="2071"/>
      <c r="BY231" s="2072"/>
      <c r="BZ231" s="2072"/>
      <c r="CA231" s="1997" t="inlineStr">
        <is>
          <t>Bottom Edge</t>
        </is>
      </c>
      <c r="CB231" s="200">
        <v>5</v>
      </c>
      <c r="CC231" s="902">
        <f>'2G-3G'!BX30</f>
        <v>698</v>
      </c>
      <c r="CD231" s="902">
        <f>'2G-3G'!BY30</f>
        <v>1747.4</v>
      </c>
      <c r="CE231" s="1523"/>
      <c r="CF231" s="1523"/>
      <c r="CG231" s="387" t="str">
        <f>IF(OR($BY$167="",$BY$167=""),"",$BY$167)</f>
        <v/>
      </c>
      <c r="CH231" s="387">
        <f>BZ231</f>
        <v/>
      </c>
      <c r="CI231" s="387">
        <f>CA231</f>
        <v/>
      </c>
      <c r="CJ231" s="1527"/>
      <c r="CK231" s="2042"/>
      <c r="CL231" s="206">
        <f>IF(CF231=""," ",IF(ABS(CE231-CF231)&lt;=0.125,"Valid","Not valid"))</f>
        <v/>
      </c>
      <c r="CM231" s="207">
        <f> IF(CE231="","",IF(AND(CE231&lt;&gt;"",CF231=""),IF(CE231&gt;=1,"Medir+Sig Max","No"),IF(CF231&lt;&gt;"",IF(CF231&gt;=1,"Medir+Sig Max","No"),"")))</f>
        <v/>
      </c>
      <c r="CN231" s="1787"/>
      <c r="CO231" s="220">
        <f>IF(CK231="",IF(AND(CE231="",CF231=""),"",IF(CF231="",IF(DE231&gt;1,ROUND(DE231*CE231,3),CE231),IF(DE231&gt;1,ROUND(DE231*CF231,3),CF231))),IF(AND(CE231="",CF231=""),"",IF(CF231="",IF(DE231&gt;1,ROUND(DE231*CE231*(1/(CK231)),3),CE231*(1/(CK231))),IF(DE231&gt;1,ROUND(DE231*CF231*(1/(CK231)),3),CF231*(1/(CK231))))))</f>
        <v/>
      </c>
      <c r="CP231" s="2043">
        <f>$CP$3</f>
        <v/>
      </c>
      <c r="CQ231" s="1472">
        <f>IF(CO231="","",IF(CO231&gt;CP231,"Fail","Pass"))</f>
        <v/>
      </c>
      <c r="CR231" s="1481">
        <f>IF(AND(MAX(CO226:CO233)=CO231,CO231&lt;&gt;0),COUNT($CR$3:CR230)+1,"")</f>
        <v/>
      </c>
      <c r="CS231" s="1565">
        <f>MyTimestamp(CO231)</f>
        <v/>
      </c>
      <c r="CT231" s="1531">
        <f>IF(CE231="",0,15)+IF(CF231="",0,15)</f>
        <v/>
      </c>
      <c r="CU231" s="1532">
        <f>IF(CT231=0,0,2)</f>
        <v/>
      </c>
      <c r="CV231" s="859" t="inlineStr">
        <is>
          <t>S/02</t>
        </is>
      </c>
      <c r="CW231" s="859" t="inlineStr">
        <is>
          <t>Dasy6</t>
        </is>
      </c>
      <c r="CX231" s="2038"/>
      <c r="CY231" s="2044"/>
      <c r="CZ231" s="1543">
        <f>10^(CJ231/20)*100-100</f>
        <v/>
      </c>
      <c r="DA231" s="1325">
        <f>IF('Tune-Up'!$H$21="","",'Tune-Up'!$H$21)</f>
        <v/>
      </c>
      <c r="DB231" s="701">
        <f>'2G-3G'!BZ30</f>
        <v/>
      </c>
      <c r="DC231" s="769">
        <f>IF(DA231="","",10^(DA231/10))</f>
        <v/>
      </c>
      <c r="DD231" s="1369">
        <f>IF(ISNUMBER(DB231)=FALSE,"",10^(DB231/10))</f>
        <v/>
      </c>
      <c r="DE231" s="1543">
        <f>IF(AND(ISNUMBER(DC231),ISNUMBER(DD231)),IF(DC231/DD231&gt;1,ROUND((DC231)/DD231,3),1),1)</f>
        <v/>
      </c>
      <c r="DF231" s="1541"/>
      <c r="DG231" s="1541"/>
      <c r="DH231" s="1541"/>
      <c r="DI231" s="1541"/>
      <c r="DJ231" s="1541"/>
      <c r="DK231" s="1541"/>
      <c r="DL231" s="1541"/>
      <c r="DM231" s="1541"/>
      <c r="DN231" s="1541"/>
      <c r="DO231" s="1541"/>
      <c r="DP231" s="1541"/>
      <c r="DQ231" s="1541"/>
      <c r="DR231" s="1541"/>
    </row>
    <row r="232" ht="12.75" x14ac:dyDescent="0.2">
      <c r="A232" s="1541"/>
      <c r="B232" s="1541"/>
      <c r="C232"/>
      <c r="D232" s="130">
        <f>IF(BX$226="Close to Ear","EN 62209-1","EN 62209-2")</f>
        <v/>
      </c>
      <c r="E232" s="130">
        <f>IF(CG232="Close to Ear","2016","2010/A1:2019")</f>
        <v/>
      </c>
      <c r="F232" s="1488" t="inlineStr">
        <is>
          <t>5.1</t>
        </is>
      </c>
      <c r="G232" s="1497"/>
      <c r="H232" s="120">
        <f>BV232</f>
        <v/>
      </c>
      <c r="I232" s="120">
        <f>BW232</f>
        <v/>
      </c>
      <c r="J232" s="687" t="str">
        <f>BT232</f>
        <v>GSM</v>
      </c>
      <c r="K232" s="194">
        <f>BU232</f>
        <v>1800</v>
      </c>
      <c r="L232" s="115"/>
      <c r="M232" s="120">
        <f>BZ232</f>
        <v>0</v>
      </c>
      <c r="N232" s="119"/>
      <c r="O232" s="131"/>
      <c r="P232" s="6597"/>
      <c r="Q232" s="131"/>
      <c r="R232" s="131"/>
      <c r="S232" s="120">
        <f>CG232</f>
        <v>0</v>
      </c>
      <c r="T232" s="120">
        <f>CC232</f>
        <v>512</v>
      </c>
      <c r="U232" s="120">
        <f>CD232</f>
        <v>1710.2</v>
      </c>
      <c r="V232" s="119"/>
      <c r="W232" s="197">
        <f>CK232*100</f>
        <v/>
      </c>
      <c r="X232" s="119"/>
      <c r="Y232" s="119"/>
      <c r="Z232" s="119"/>
      <c r="AA232" s="115"/>
      <c r="AB232" s="115"/>
      <c r="AC232" s="689">
        <f>IF(OR(BX$226="Close to Ear",BX$226="Close to Head"),"Head",IF(BX$226="Extremity","Extremity","Body"))</f>
        <v/>
      </c>
      <c r="AD232" s="690">
        <f>CA232</f>
        <v/>
      </c>
      <c r="AE232" s="688">
        <f>CB232</f>
        <v/>
      </c>
      <c r="AF232" s="115"/>
      <c r="AG232" s="808">
        <f>IF(AZ232="","N/A",IF(CQ232="Pass","P","F"))</f>
        <v/>
      </c>
      <c r="AH232" s="129"/>
      <c r="AI232" s="129"/>
      <c r="AJ232" s="129"/>
      <c r="AK232" s="119"/>
      <c r="AL232" s="115"/>
      <c r="AM232" s="119"/>
      <c r="AN232" s="119"/>
      <c r="AO232" s="692"/>
      <c r="AP232" s="692"/>
      <c r="AQ232" s="692"/>
      <c r="AR232" s="692"/>
      <c r="AS232" s="692"/>
      <c r="AT232" s="691">
        <f>CE232</f>
        <v/>
      </c>
      <c r="AU232" s="691">
        <f>CF232</f>
        <v/>
      </c>
      <c r="AV232" s="813"/>
      <c r="AW232" s="813"/>
      <c r="AX232" s="197">
        <f>CZ232</f>
        <v/>
      </c>
      <c r="AY232" s="197">
        <f>DE232</f>
        <v/>
      </c>
      <c r="AZ232" s="3379">
        <f>CO232</f>
        <v/>
      </c>
      <c r="BA232" s="3380"/>
      <c r="BB232" s="197">
        <f>CP232</f>
        <v/>
      </c>
      <c r="BC232" s="813"/>
      <c r="BD232" s="197">
        <f>CR232</f>
        <v/>
      </c>
      <c r="BE232" s="121">
        <f>CS232</f>
        <v/>
      </c>
      <c r="BF232" s="122">
        <f>CT232*60</f>
        <v/>
      </c>
      <c r="BG232" s="121">
        <f>BE232</f>
        <v/>
      </c>
      <c r="BH232" s="122">
        <f>CU232*60</f>
        <v/>
      </c>
      <c r="BI232" s="122">
        <f>CV232</f>
        <v/>
      </c>
      <c r="BJ232" s="117"/>
      <c r="BK232" s="812">
        <f>Overview!$E$7</f>
        <v/>
      </c>
      <c r="BL232" s="117"/>
      <c r="BM232" s="836">
        <f>CW232</f>
        <v/>
      </c>
      <c r="BN232" s="812">
        <f>Overview!$P$153</f>
        <v/>
      </c>
      <c r="BO232" s="117"/>
      <c r="BP232" s="117"/>
      <c r="BQ232" s="115"/>
      <c r="BR232" s="1478" t="inlineStr">
        <is>
          <t>N/A</t>
        </is>
      </c>
      <c r="BS232" s="1548"/>
      <c r="BT232" s="2071" t="inlineStr">
        <is>
          <t>GSM</t>
        </is>
      </c>
      <c r="BU232" s="2071">
        <v>1800</v>
      </c>
      <c r="BV232" s="415">
        <f>Overview!$H$29</f>
        <v/>
      </c>
      <c r="BW232" s="2010"/>
      <c r="BX232" s="2071"/>
      <c r="BY232" s="2072"/>
      <c r="BZ232" s="2072"/>
      <c r="CA232" s="416" t="str">
        <f>IF(COUNT(CF226:CF231)=0,IF(COUNT(CE226:CE231)=0,"TBD",VLOOKUP(MAX(CE226:CE231),CE226:CI231,5,FALSE)),VLOOKUP(MAX(CF226:CF231),CF226:CI231,4,FALSE))</f>
        <v>TBD</v>
      </c>
      <c r="CB232" s="200">
        <v>5</v>
      </c>
      <c r="CC232" s="902">
        <f>'2G-3G'!BX31</f>
        <v>512</v>
      </c>
      <c r="CD232" s="902">
        <f>'2G-3G'!BY31</f>
        <v>1710.2</v>
      </c>
      <c r="CE232" s="1523"/>
      <c r="CF232" s="1523"/>
      <c r="CG232" s="387" t="str">
        <f>IF(OR($BY$167="",$BY$167=""),"",$BY$167)</f>
        <v/>
      </c>
      <c r="CH232" s="387">
        <f>BZ232</f>
        <v/>
      </c>
      <c r="CI232" s="387">
        <f>CA232</f>
        <v/>
      </c>
      <c r="CJ232" s="1527"/>
      <c r="CK232" s="2042"/>
      <c r="CL232" s="206">
        <f>IF(CF232=""," ",IF(ABS(CE232-CF232)&lt;=0.125,"Valid","Not valid"))</f>
        <v/>
      </c>
      <c r="CM232" s="207">
        <f> IF(CE232="","",IF(AND(CE232&lt;&gt;"",CF232=""),IF(CE232&gt;=1,"Medir+Sig Max","No"),IF(CF232&lt;&gt;"",IF(CF232&gt;=1,"Medir+Sig Max","No"),"")))</f>
        <v/>
      </c>
      <c r="CN232" s="1787"/>
      <c r="CO232" s="220">
        <f>IF(CK232="",IF(AND(CE232="",CF232=""),"",IF(CF232="",IF(DE232&gt;1,ROUND(DE232*CE232,3),CE232),IF(DE232&gt;1,ROUND(DE232*CF232,3),CF232))),IF(AND(CE232="",CF232=""),"",IF(CF232="",IF(DE232&gt;1,ROUND(DE232*CE232*(1/(CK232)),3),CE232*(1/(CK232))),IF(DE232&gt;1,ROUND(DE232*CF232*(1/(CK232)),3),CF232*(1/(CK232))))))</f>
        <v/>
      </c>
      <c r="CP232" s="2043">
        <f>$CP$3</f>
        <v/>
      </c>
      <c r="CQ232" s="1472">
        <f>IF(CO232="","",IF(CO232&gt;CP232,"Fail","Pass"))</f>
        <v/>
      </c>
      <c r="CR232" s="1481">
        <f>IF(AND(MAX(CO226:CO233)=CO232,CO232&lt;&gt;0),COUNT($CR$3:CR231)+1,"")</f>
        <v/>
      </c>
      <c r="CS232" s="1565">
        <f>MyTimestamp(CO232)</f>
        <v/>
      </c>
      <c r="CT232" s="1531">
        <f>IF(CE232="",0,15)+IF(CF232="",0,15)</f>
        <v/>
      </c>
      <c r="CU232" s="1532">
        <f>IF(CT232=0,0,2)</f>
        <v/>
      </c>
      <c r="CV232" s="859" t="inlineStr">
        <is>
          <t>S/02</t>
        </is>
      </c>
      <c r="CW232" s="859" t="inlineStr">
        <is>
          <t>Dasy6</t>
        </is>
      </c>
      <c r="CX232" s="2038"/>
      <c r="CY232" s="2044"/>
      <c r="CZ232" s="1543">
        <f>10^(CJ232/20)*100-100</f>
        <v/>
      </c>
      <c r="DA232" s="1325">
        <f>IF('Tune-Up'!$H$21="","",'Tune-Up'!$H$21)</f>
        <v/>
      </c>
      <c r="DB232" s="701">
        <f>'2G-3G'!BZ31</f>
        <v/>
      </c>
      <c r="DC232" s="769">
        <f>IF(DA232="","",10^(DA232/10))</f>
        <v/>
      </c>
      <c r="DD232" s="1369">
        <f>IF(ISNUMBER(DB232)=FALSE,"",10^(DB232/10))</f>
        <v/>
      </c>
      <c r="DE232" s="1543">
        <f>IF(AND(ISNUMBER(DC232),ISNUMBER(DD232)),IF(DC232/DD232&gt;1,ROUND((DC232)/DD232,3),1),1)</f>
        <v/>
      </c>
      <c r="DF232" s="1541"/>
      <c r="DG232" s="1541"/>
      <c r="DH232" s="1541"/>
      <c r="DI232" s="1541"/>
      <c r="DJ232" s="1541"/>
      <c r="DK232" s="1541"/>
      <c r="DL232" s="1541"/>
      <c r="DM232" s="1541"/>
      <c r="DN232" s="1541"/>
      <c r="DO232" s="1541"/>
      <c r="DP232" s="1541"/>
      <c r="DQ232" s="1541"/>
      <c r="DR232" s="1541"/>
    </row>
    <row r="233" ht="12.75" x14ac:dyDescent="0.2">
      <c r="A233" s="1541"/>
      <c r="B233" s="1541"/>
      <c r="C233"/>
      <c r="D233" s="130">
        <f>IF(BX$226="Close to Ear","EN 62209-1","EN 62209-2")</f>
        <v/>
      </c>
      <c r="E233" s="130">
        <f>IF(CG233="Close to Ear","2016","2010/A1:2019")</f>
        <v/>
      </c>
      <c r="F233" s="1488" t="inlineStr">
        <is>
          <t>5.1</t>
        </is>
      </c>
      <c r="G233" s="1497"/>
      <c r="H233" s="120">
        <f>BV233</f>
        <v/>
      </c>
      <c r="I233" s="120">
        <f>BW233</f>
        <v/>
      </c>
      <c r="J233" s="687" t="str">
        <f>BT233</f>
        <v>GSM</v>
      </c>
      <c r="K233" s="194">
        <f>BU233</f>
        <v>1800</v>
      </c>
      <c r="L233" s="115"/>
      <c r="M233" s="120">
        <f>BZ233</f>
        <v>0</v>
      </c>
      <c r="N233" s="119"/>
      <c r="O233" s="131"/>
      <c r="P233" s="6597"/>
      <c r="Q233" s="131"/>
      <c r="R233" s="131"/>
      <c r="S233" s="120">
        <f>CG233</f>
        <v>0</v>
      </c>
      <c r="T233" s="120">
        <f>CC233</f>
        <v>885</v>
      </c>
      <c r="U233" s="120">
        <f>CD233</f>
        <v>1784.8</v>
      </c>
      <c r="V233" s="119"/>
      <c r="W233" s="197">
        <f>CK233*100</f>
        <v/>
      </c>
      <c r="X233" s="119"/>
      <c r="Y233" s="119"/>
      <c r="Z233" s="119"/>
      <c r="AA233" s="115"/>
      <c r="AB233" s="115"/>
      <c r="AC233" s="689">
        <f>IF(OR(BX$226="Close to Ear",BX$226="Close to Head"),"Head",IF(BX$226="Extremity","Extremity","Body"))</f>
        <v/>
      </c>
      <c r="AD233" s="690">
        <f>CA233</f>
        <v/>
      </c>
      <c r="AE233" s="688">
        <f>CB233</f>
        <v/>
      </c>
      <c r="AF233" s="115"/>
      <c r="AG233" s="808">
        <f>IF(AZ233="","N/A",IF(CQ233="Pass","P","F"))</f>
        <v/>
      </c>
      <c r="AH233" s="129"/>
      <c r="AI233" s="129"/>
      <c r="AJ233" s="129"/>
      <c r="AK233" s="119"/>
      <c r="AL233" s="115"/>
      <c r="AM233" s="119"/>
      <c r="AN233" s="119"/>
      <c r="AO233" s="692"/>
      <c r="AP233" s="692"/>
      <c r="AQ233" s="692"/>
      <c r="AR233" s="692"/>
      <c r="AS233" s="692"/>
      <c r="AT233" s="691">
        <f>CE233</f>
        <v/>
      </c>
      <c r="AU233" s="691">
        <f>CF233</f>
        <v/>
      </c>
      <c r="AV233" s="813"/>
      <c r="AW233" s="813"/>
      <c r="AX233" s="197">
        <f>CZ233</f>
        <v/>
      </c>
      <c r="AY233" s="197">
        <f>DE233</f>
        <v/>
      </c>
      <c r="AZ233" s="3379">
        <f>CO233</f>
        <v/>
      </c>
      <c r="BA233" s="3380"/>
      <c r="BB233" s="197">
        <f>CP233</f>
        <v/>
      </c>
      <c r="BC233" s="813"/>
      <c r="BD233" s="197">
        <f>CR233</f>
        <v/>
      </c>
      <c r="BE233" s="121">
        <f>CS233</f>
        <v/>
      </c>
      <c r="BF233" s="122">
        <f>CT233*60</f>
        <v/>
      </c>
      <c r="BG233" s="121">
        <f>BE233</f>
        <v/>
      </c>
      <c r="BH233" s="122">
        <f>CU233*60</f>
        <v/>
      </c>
      <c r="BI233" s="122">
        <f>CV233</f>
        <v/>
      </c>
      <c r="BJ233" s="117"/>
      <c r="BK233" s="812">
        <f>Overview!$E$7</f>
        <v/>
      </c>
      <c r="BL233" s="117"/>
      <c r="BM233" s="836">
        <f>CW233</f>
        <v/>
      </c>
      <c r="BN233" s="812">
        <f>Overview!$P$153</f>
        <v/>
      </c>
      <c r="BO233" s="117"/>
      <c r="BP233" s="117"/>
      <c r="BQ233" s="115"/>
      <c r="BR233" s="1478" t="inlineStr">
        <is>
          <t>N/A</t>
        </is>
      </c>
      <c r="BS233" s="1548"/>
      <c r="BT233" s="2071" t="inlineStr">
        <is>
          <t>GSM</t>
        </is>
      </c>
      <c r="BU233" s="2071">
        <v>1800</v>
      </c>
      <c r="BV233" s="415">
        <f>Overview!$H$29</f>
        <v/>
      </c>
      <c r="BW233" s="2010"/>
      <c r="BX233" s="2075"/>
      <c r="BY233" s="2072"/>
      <c r="BZ233" s="2072"/>
      <c r="CA233" s="418" t="str">
        <f>IF(COUNT(CF226:CF231)=0,IF(COUNT(CE226:CE231)=0,"TBD",VLOOKUP(MAX(CE226:CE231),CE226:CI231,5,FALSE)),VLOOKUP(MAX(CF226:CF231),CF226:CI231,4,FALSE))</f>
        <v>TBD</v>
      </c>
      <c r="CB233" s="201">
        <v>5</v>
      </c>
      <c r="CC233" s="857">
        <f>'2G-3G'!BX32</f>
        <v>885</v>
      </c>
      <c r="CD233" s="857">
        <f>'2G-3G'!BY32</f>
        <v>1784.8</v>
      </c>
      <c r="CE233" s="1874"/>
      <c r="CF233" s="1874"/>
      <c r="CG233" s="388" t="str">
        <f>IF(OR($BY$167="",$BY$167=""),"",$BY$167)</f>
        <v/>
      </c>
      <c r="CH233" s="388">
        <f>BZ233</f>
        <v/>
      </c>
      <c r="CI233" s="388">
        <f>CA233</f>
        <v/>
      </c>
      <c r="CJ233" s="2046"/>
      <c r="CK233" s="2047"/>
      <c r="CL233" s="212">
        <f>IF(CF233=""," ",IF(ABS(CE233-CF233)&lt;=0.125,"Valid","Not valid"))</f>
        <v/>
      </c>
      <c r="CM233" s="213">
        <f> IF(CE233="","",IF(AND(CE233&lt;&gt;"",CF233=""),IF(CE233&gt;=1,"Medir+Sig Max","No"),IF(CF233&lt;&gt;"",IF(CF233&gt;=1,"Medir+Sig Max","No"),"")))</f>
        <v/>
      </c>
      <c r="CN233" s="1794"/>
      <c r="CO233" s="221">
        <f>IF(CK233="",IF(AND(CE233="",CF233=""),"",IF(CF233="",IF(DE233&gt;1,ROUND(DE233*CE233,3),CE233),IF(DE233&gt;1,ROUND(DE233*CF233,3),CF233))),IF(AND(CE233="",CF233=""),"",IF(CF233="",IF(DE233&gt;1,ROUND(DE233*CE233*(1/(CK233)),3),CE233*(1/(CK233))),IF(DE233&gt;1,ROUND(DE233*CF233*(1/(CK233)),3),CF233*(1/(CK233))))))</f>
        <v/>
      </c>
      <c r="CP233" s="2048">
        <f>$CP$3</f>
        <v/>
      </c>
      <c r="CQ233" s="1473">
        <f>IF(CO233="","",IF(CO233&gt;CP233,"Fail","Pass"))</f>
        <v/>
      </c>
      <c r="CR233" s="1482">
        <f>IF(AND(MAX(CO226:CO233)=CO233,CO233&lt;&gt;0),COUNT($CR$3:CR232)+1,"")</f>
        <v/>
      </c>
      <c r="CS233" s="1566">
        <f>MyTimestamp(CO233)</f>
        <v/>
      </c>
      <c r="CT233" s="1535">
        <f>IF(CE233="",0,15)+IF(CF233="",0,15)</f>
        <v/>
      </c>
      <c r="CU233" s="1536">
        <f>IF(CT233=0,0,2)</f>
        <v/>
      </c>
      <c r="CV233" s="861" t="inlineStr">
        <is>
          <t>S/02</t>
        </is>
      </c>
      <c r="CW233" s="861" t="inlineStr">
        <is>
          <t>Dasy6</t>
        </is>
      </c>
      <c r="CX233" s="2038"/>
      <c r="CY233" s="2050"/>
      <c r="CZ233" s="1545">
        <f>10^(CJ233/20)*100-100</f>
        <v/>
      </c>
      <c r="DA233" s="1327">
        <f>IF('Tune-Up'!$H$21="","",'Tune-Up'!$H$21)</f>
        <v/>
      </c>
      <c r="DB233" s="703">
        <f>'2G-3G'!BZ32</f>
        <v/>
      </c>
      <c r="DC233" s="771">
        <f>IF(DA233="","",10^(DA233/10))</f>
        <v/>
      </c>
      <c r="DD233" s="1371">
        <f>IF(ISNUMBER(DB233)=FALSE,"",10^(DB233/10))</f>
        <v/>
      </c>
      <c r="DE233" s="1545">
        <f>IF(AND(ISNUMBER(DC233),ISNUMBER(DD233)),IF(DC233/DD233&gt;1,ROUND((DC233)/DD233,3),1),1)</f>
        <v/>
      </c>
      <c r="DF233" s="1541"/>
      <c r="DG233" s="1541"/>
      <c r="DH233" s="1541"/>
      <c r="DI233" s="1541"/>
      <c r="DJ233" s="1541"/>
      <c r="DK233" s="1541"/>
      <c r="DL233" s="1541"/>
      <c r="DM233" s="1541"/>
      <c r="DN233" s="1541"/>
      <c r="DO233" s="1541"/>
      <c r="DP233" s="1541"/>
      <c r="DQ233" s="1541"/>
      <c r="DR233" s="1541"/>
    </row>
    <row r="234" ht="12.75" x14ac:dyDescent="0.2">
      <c r="A234" s="1541"/>
      <c r="B234" s="1541"/>
      <c r="C234"/>
      <c r="D234" s="130">
        <f>IF(BX$226="Close to Ear","EN 62209-1","EN 62209-2")</f>
        <v/>
      </c>
      <c r="E234" s="130">
        <f>IF(CG234="Close to Ear","2016","2010/A1:2019")</f>
        <v/>
      </c>
      <c r="F234" s="1488" t="inlineStr">
        <is>
          <t>5.1</t>
        </is>
      </c>
      <c r="G234" s="1497"/>
      <c r="H234" s="120">
        <f>BV234</f>
        <v/>
      </c>
      <c r="I234" s="120">
        <f>BW234</f>
        <v/>
      </c>
      <c r="J234" s="687">
        <f>BT234</f>
        <v/>
      </c>
      <c r="K234" s="194">
        <f>BU234</f>
        <v/>
      </c>
      <c r="L234" s="115"/>
      <c r="M234" s="120">
        <f>BZ234</f>
        <v/>
      </c>
      <c r="N234" s="119"/>
      <c r="O234" s="131"/>
      <c r="P234" s="6597"/>
      <c r="Q234" s="131"/>
      <c r="R234" s="131"/>
      <c r="S234" s="120">
        <f>CG234</f>
        <v/>
      </c>
      <c r="T234" s="120">
        <f>CC234</f>
        <v/>
      </c>
      <c r="U234" s="120">
        <f>CD234</f>
        <v/>
      </c>
      <c r="V234" s="119"/>
      <c r="W234" s="197">
        <f>CK234*100</f>
        <v/>
      </c>
      <c r="X234" s="119"/>
      <c r="Y234" s="119"/>
      <c r="Z234" s="119"/>
      <c r="AA234" s="115"/>
      <c r="AB234" s="115"/>
      <c r="AC234" s="689">
        <f>IF(OR(BX$226="Close to Ear",BX$226="Close to Head"),"Head",IF(BX$226="Extremity","Extremity","Body"))</f>
        <v/>
      </c>
      <c r="AD234" s="690">
        <f>CA234</f>
        <v/>
      </c>
      <c r="AE234" s="688">
        <f>CB234</f>
        <v/>
      </c>
      <c r="AF234" s="115"/>
      <c r="AG234" s="808">
        <f>IF(AZ234="","N/A",IF(CQ234="Pass","P","F"))</f>
        <v/>
      </c>
      <c r="AH234" s="129"/>
      <c r="AI234" s="129"/>
      <c r="AJ234" s="129"/>
      <c r="AK234" s="119"/>
      <c r="AL234" s="115"/>
      <c r="AM234" s="119"/>
      <c r="AN234" s="119"/>
      <c r="AO234" s="692"/>
      <c r="AP234" s="692"/>
      <c r="AQ234" s="692"/>
      <c r="AR234" s="692"/>
      <c r="AS234" s="692"/>
      <c r="AT234" s="691">
        <f>CE234</f>
        <v/>
      </c>
      <c r="AU234" s="691">
        <f>CF234</f>
        <v/>
      </c>
      <c r="AV234" s="813"/>
      <c r="AW234" s="813"/>
      <c r="AX234" s="197">
        <f>CZ234</f>
        <v/>
      </c>
      <c r="AY234" s="197">
        <f>DE234</f>
        <v/>
      </c>
      <c r="AZ234" s="3379">
        <f>CO234</f>
        <v/>
      </c>
      <c r="BA234" s="3380"/>
      <c r="BB234" s="197">
        <f>CP234</f>
        <v/>
      </c>
      <c r="BC234" s="813"/>
      <c r="BD234" s="197">
        <f>CR234</f>
        <v/>
      </c>
      <c r="BE234" s="121">
        <f>CS234</f>
        <v/>
      </c>
      <c r="BF234" s="122">
        <f>CT234*60</f>
        <v/>
      </c>
      <c r="BG234" s="121">
        <f>BE234</f>
        <v/>
      </c>
      <c r="BH234" s="122">
        <f>CU234*60</f>
        <v/>
      </c>
      <c r="BI234" s="122">
        <f>CV234</f>
        <v/>
      </c>
      <c r="BJ234" s="117"/>
      <c r="BK234" s="812">
        <f>Overview!$E$7</f>
        <v/>
      </c>
      <c r="BL234" s="117"/>
      <c r="BM234" s="836">
        <f>CW234</f>
        <v/>
      </c>
      <c r="BN234" s="812">
        <f>Overview!$P$153</f>
        <v/>
      </c>
      <c r="BO234" s="117"/>
      <c r="BP234" s="117"/>
      <c r="BQ234" s="115"/>
      <c r="BR234" s="1478" t="inlineStr">
        <is>
          <t>N/A</t>
        </is>
      </c>
      <c r="BS234" s="1548"/>
      <c r="BT234" s="2071" t="inlineStr">
        <is>
          <t>GSM</t>
        </is>
      </c>
      <c r="BU234" s="2071">
        <v>1800</v>
      </c>
      <c r="BV234" s="415">
        <f>Overview!$H$29</f>
        <v/>
      </c>
      <c r="BW234" s="2010"/>
      <c r="BX234" s="2075"/>
      <c r="BY234" s="2072"/>
      <c r="BZ234" s="2072"/>
      <c r="CA234" s="418" t="str">
        <f>CONCATENATE(CA232," - Battery check 1")</f>
        <v>TBD - Battery check 1</v>
      </c>
      <c r="CB234" s="201">
        <v>5</v>
      </c>
      <c r="CC234" s="857">
        <f>IF(COUNT($CO$226:$CO$233)=0,"N/A",INDEX($CC$226:$CC$233,MATCH(MAX($CO$226:$CO$233),$CO$226:$CO$233,0)))</f>
        <v/>
      </c>
      <c r="CD234" s="857">
        <f>IF(COUNT($CO$226:$CO$233)=0,"N/A",INDEX($CD$226:$CD$233,MATCH(MAX($CO$226:$CO$233),$CO$226:$CO$233,0)))</f>
        <v/>
      </c>
      <c r="CE234" s="1874"/>
      <c r="CF234" s="1874"/>
      <c r="CG234" s="388" t="inlineStr">
        <is>
          <t>N/A</t>
        </is>
      </c>
      <c r="CH234" s="388">
        <f>BZ234</f>
        <v/>
      </c>
      <c r="CI234" s="388">
        <f>CA234</f>
        <v/>
      </c>
      <c r="CJ234" s="2046"/>
      <c r="CK234" s="2047"/>
      <c r="CL234" s="212">
        <f>IF(CF234=""," ",IF(ABS(CE234-CF234)&lt;=0.125,"Valid","Not valid"))</f>
        <v/>
      </c>
      <c r="CM234" s="213">
        <f> IF(CE234="","",IF(AND(CE234&lt;&gt;"",CF234=""),IF(CE234&gt;=1,"Medir+Sig Max","No"),IF(CF234&lt;&gt;"",IF(CF234&gt;=1,"Medir+Sig Max","No"),"")))</f>
        <v/>
      </c>
      <c r="CN234" s="1794"/>
      <c r="CO234" s="221">
        <f>IF(CK234="",IF(AND(CE234="",CF234=""),"",IF(CF234="",IF(DE234&gt;1,ROUND(DE234*CE234,3),CE234),IF(DE234&gt;1,ROUND(DE234*CF234,3),CF234))),IF(AND(CE234="",CF234=""),"",IF(CF234="",IF(DE234&gt;1,ROUND(DE234*CE234*(1/(CK234)),3),CE234*(1/(CK234))),IF(DE234&gt;1,ROUND(DE234*CF234*(1/(CK234)),3),CF234*(1/(CK234))))))</f>
        <v/>
      </c>
      <c r="CP234" s="2048">
        <f>$CP$3</f>
        <v/>
      </c>
      <c r="CQ234" s="1473">
        <f>IF(CO234="","",IF(CO234&gt;CP234,"Fail","Pass"))</f>
        <v/>
      </c>
      <c r="CR234" s="1482">
        <f>IF(CO234&lt;&gt;"",MAX($CR$3:CR233)+1,"")</f>
        <v/>
      </c>
      <c r="CS234" s="1566">
        <f>MyTimestamp(CQ234)</f>
        <v/>
      </c>
      <c r="CT234" s="1535">
        <f>IF(COUNT(CE234:CF234)=1,15,IF(COUNT(CE234:CF234)=0,0,30))</f>
        <v/>
      </c>
      <c r="CU234" s="1536">
        <f>IF(CT234=0,0,2)</f>
        <v/>
      </c>
      <c r="CV234" s="861" t="inlineStr">
        <is>
          <t>S/02</t>
        </is>
      </c>
      <c r="CW234" s="861" t="inlineStr">
        <is>
          <t>Dasy6</t>
        </is>
      </c>
      <c r="CX234" s="2038"/>
      <c r="CY234" s="2050"/>
      <c r="CZ234" s="1545">
        <f>10^(CJ234/20)*100-100</f>
        <v/>
      </c>
      <c r="DA234" s="1327">
        <f>IF('Tune-Up'!$H$21="","",'Tune-Up'!$H$21)</f>
        <v/>
      </c>
      <c r="DB234" s="703">
        <f>IF(COUNT($CO$226:$CO$233)=0,"N/A",IFERROR(INDEX($DB$226:$DB$233,MATCH(MAX($CO$226:$CO$233),$CO$226:$CO$233,0)),"N/A"))</f>
        <v/>
      </c>
      <c r="DC234" s="771">
        <f>IF(DA234="","",10^(DA234/10))</f>
        <v/>
      </c>
      <c r="DD234" s="1371">
        <f>IF(ISNUMBER(DB234)=FALSE,"N/A",10^(DB234/10))</f>
        <v/>
      </c>
      <c r="DE234" s="1545">
        <f>IF(AND(ISNUMBER(DC234),ISNUMBER(DD234)),IF(DC234/DD234&gt;1,ROUND((DC234)/DD234,3),1),1)</f>
        <v/>
      </c>
      <c r="DF234" s="1541"/>
      <c r="DG234" s="1541"/>
      <c r="DH234" s="1541"/>
      <c r="DI234" s="1541"/>
      <c r="DJ234" s="1541"/>
      <c r="DK234" s="1541"/>
      <c r="DL234" s="1541"/>
      <c r="DM234" s="1541"/>
      <c r="DN234" s="1541"/>
      <c r="DO234" s="1541"/>
      <c r="DP234" s="1541"/>
      <c r="DQ234" s="1541"/>
      <c r="DR234" s="1541"/>
    </row>
    <row r="235" ht="12.75" x14ac:dyDescent="0.2">
      <c r="A235" s="1541"/>
      <c r="B235" s="1541"/>
      <c r="C235"/>
      <c r="D235" s="130">
        <f>IF(BX$226="Close to Ear","EN 62209-1","EN 62209-2")</f>
        <v/>
      </c>
      <c r="E235" s="130">
        <f>IF(CG235="Close to Ear","2016","2010/A1:2019")</f>
        <v/>
      </c>
      <c r="F235" s="1488" t="inlineStr">
        <is>
          <t>5.1</t>
        </is>
      </c>
      <c r="G235" s="1497"/>
      <c r="H235" s="120">
        <f>BV235</f>
        <v/>
      </c>
      <c r="I235" s="120">
        <f>BW235</f>
        <v/>
      </c>
      <c r="J235" s="687">
        <f>BT235</f>
        <v/>
      </c>
      <c r="K235" s="194">
        <f>BU235</f>
        <v/>
      </c>
      <c r="L235" s="115"/>
      <c r="M235" s="120">
        <f>BZ235</f>
        <v/>
      </c>
      <c r="N235" s="119"/>
      <c r="O235" s="131"/>
      <c r="P235" s="6597"/>
      <c r="Q235" s="131"/>
      <c r="R235" s="131"/>
      <c r="S235" s="120">
        <f>CG235</f>
        <v/>
      </c>
      <c r="T235" s="120">
        <f>CC235</f>
        <v/>
      </c>
      <c r="U235" s="120">
        <f>CD235</f>
        <v/>
      </c>
      <c r="V235" s="119"/>
      <c r="W235" s="197">
        <f>CK235*100</f>
        <v/>
      </c>
      <c r="X235" s="119"/>
      <c r="Y235" s="119"/>
      <c r="Z235" s="119"/>
      <c r="AA235" s="115"/>
      <c r="AB235" s="115"/>
      <c r="AC235" s="689">
        <f>IF(OR(BX$226="Close to Ear",BX$226="Close to Head"),"Head",IF(BX$226="Extremity","Extremity","Body"))</f>
        <v/>
      </c>
      <c r="AD235" s="690">
        <f>CA235</f>
        <v/>
      </c>
      <c r="AE235" s="688">
        <f>CB235</f>
        <v/>
      </c>
      <c r="AF235" s="115"/>
      <c r="AG235" s="808">
        <f>IF(AZ235="","N/A",IF(CQ235="Pass","P","F"))</f>
        <v/>
      </c>
      <c r="AH235" s="129"/>
      <c r="AI235" s="129"/>
      <c r="AJ235" s="129"/>
      <c r="AK235" s="119"/>
      <c r="AL235" s="115"/>
      <c r="AM235" s="119"/>
      <c r="AN235" s="119"/>
      <c r="AO235" s="692"/>
      <c r="AP235" s="692"/>
      <c r="AQ235" s="692"/>
      <c r="AR235" s="692"/>
      <c r="AS235" s="692"/>
      <c r="AT235" s="691">
        <f>CE235</f>
        <v/>
      </c>
      <c r="AU235" s="691">
        <f>CF235</f>
        <v/>
      </c>
      <c r="AV235" s="813"/>
      <c r="AW235" s="813"/>
      <c r="AX235" s="197">
        <f>CZ235</f>
        <v/>
      </c>
      <c r="AY235" s="197">
        <f>DE235</f>
        <v/>
      </c>
      <c r="AZ235" s="3379">
        <f>CO235</f>
        <v/>
      </c>
      <c r="BA235" s="3380"/>
      <c r="BB235" s="197">
        <f>CP235</f>
        <v/>
      </c>
      <c r="BC235" s="813"/>
      <c r="BD235" s="197">
        <f>CR235</f>
        <v/>
      </c>
      <c r="BE235" s="121">
        <f>CS235</f>
        <v/>
      </c>
      <c r="BF235" s="122">
        <f>CT235*60</f>
        <v/>
      </c>
      <c r="BG235" s="121">
        <f>BE235</f>
        <v/>
      </c>
      <c r="BH235" s="122">
        <f>CU235*60</f>
        <v/>
      </c>
      <c r="BI235" s="122">
        <f>CV235</f>
        <v/>
      </c>
      <c r="BJ235" s="117"/>
      <c r="BK235" s="812">
        <f>Overview!$E$7</f>
        <v/>
      </c>
      <c r="BL235" s="117"/>
      <c r="BM235" s="836">
        <f>CW235</f>
        <v/>
      </c>
      <c r="BN235" s="812">
        <f>Overview!$P$153</f>
        <v/>
      </c>
      <c r="BO235" s="117"/>
      <c r="BP235" s="117"/>
      <c r="BQ235" s="115"/>
      <c r="BR235" s="1478" t="inlineStr">
        <is>
          <t>N/A</t>
        </is>
      </c>
      <c r="BS235" s="1548"/>
      <c r="BT235" s="2071" t="inlineStr">
        <is>
          <t>GSM</t>
        </is>
      </c>
      <c r="BU235" s="2071">
        <v>1800</v>
      </c>
      <c r="BV235" s="415">
        <f>Overview!$H$29</f>
        <v/>
      </c>
      <c r="BW235" s="2010"/>
      <c r="BX235" s="2075"/>
      <c r="BY235" s="2072"/>
      <c r="BZ235" s="2072"/>
      <c r="CA235" s="418" t="str">
        <f>CONCATENATE(CA233," - Battery check 2")</f>
        <v>TBD - Battery check 2</v>
      </c>
      <c r="CB235" s="201">
        <v>5</v>
      </c>
      <c r="CC235" s="857">
        <f>IF(COUNT($CO$226:$CO$233)=0,"N/A",INDEX($CC$226:$CC$233,MATCH(MAX($CO$226:$CO$233),$CO$226:$CO$233,0)))</f>
        <v/>
      </c>
      <c r="CD235" s="857">
        <f>IF(COUNT($CO$226:$CO$233)=0,"N/A",INDEX($CD$226:$CD$233,MATCH(MAX($CO$226:$CO$233),$CO$226:$CO$233,0)))</f>
        <v/>
      </c>
      <c r="CE235" s="1874"/>
      <c r="CF235" s="1874"/>
      <c r="CG235" s="388" t="inlineStr">
        <is>
          <t>N/A</t>
        </is>
      </c>
      <c r="CH235" s="388">
        <f>BZ235</f>
        <v/>
      </c>
      <c r="CI235" s="388">
        <f>CA235</f>
        <v/>
      </c>
      <c r="CJ235" s="2046"/>
      <c r="CK235" s="2047"/>
      <c r="CL235" s="212">
        <f>IF(CF235=""," ",IF(ABS(CE235-CF235)&lt;=0.125,"Valid","Not valid"))</f>
        <v/>
      </c>
      <c r="CM235" s="213">
        <f> IF(CE235="","",IF(AND(CE235&lt;&gt;"",CF235=""),IF(CE235&gt;=1,"Medir+Sig Max","No"),IF(CF235&lt;&gt;"",IF(CF235&gt;=1,"Medir+Sig Max","No"),"")))</f>
        <v/>
      </c>
      <c r="CN235" s="1794"/>
      <c r="CO235" s="221">
        <f>IF(CK235="",IF(AND(CE235="",CF235=""),"",IF(CF235="",IF(DE235&gt;1,ROUND(DE235*CE235,3),CE235),IF(DE235&gt;1,ROUND(DE235*CF235,3),CF235))),IF(AND(CE235="",CF235=""),"",IF(CF235="",IF(DE235&gt;1,ROUND(DE235*CE235*(1/(CK235)),3),CE235*(1/(CK235))),IF(DE235&gt;1,ROUND(DE235*CF235*(1/(CK235)),3),CF235*(1/(CK235))))))</f>
        <v/>
      </c>
      <c r="CP235" s="2048">
        <f>$CP$3</f>
        <v/>
      </c>
      <c r="CQ235" s="1473">
        <f>IF(CO235="","",IF(CO235&gt;CP235,"Fail","Pass"))</f>
        <v/>
      </c>
      <c r="CR235" s="1482">
        <f>IF(CO235&lt;&gt;"",MAX($CR$3:CR234)+1,"")</f>
        <v/>
      </c>
      <c r="CS235" s="1566">
        <f>MyTimestamp(CQ235)</f>
        <v/>
      </c>
      <c r="CT235" s="1535">
        <f>IF(COUNT(CE235:CF235)=1,15,IF(COUNT(CE235:CF235)=0,0,30))</f>
        <v/>
      </c>
      <c r="CU235" s="1536">
        <f>IF(CT235=0,0,2)</f>
        <v/>
      </c>
      <c r="CV235" s="861" t="inlineStr">
        <is>
          <t>S/02</t>
        </is>
      </c>
      <c r="CW235" s="861" t="inlineStr">
        <is>
          <t>Dasy6</t>
        </is>
      </c>
      <c r="CX235" s="2038"/>
      <c r="CY235" s="2050"/>
      <c r="CZ235" s="1545">
        <f>10^(CJ235/20)*100-100</f>
        <v/>
      </c>
      <c r="DA235" s="1327">
        <f>IF('Tune-Up'!$H$21="","",'Tune-Up'!$H$21)</f>
        <v/>
      </c>
      <c r="DB235" s="703">
        <f>IF(COUNT($CO$226:$CO$233)=0,"N/A",IFERROR(INDEX($DB$226:$DB$233,MATCH(MAX($CO$226:$CO$233),$CO$226:$CO$233,0)),"N/A"))</f>
        <v/>
      </c>
      <c r="DC235" s="771">
        <f>IF(DA235="","",10^(DA235/10))</f>
        <v/>
      </c>
      <c r="DD235" s="1371">
        <f>IF(ISNUMBER(DB235)=FALSE,"N/A",10^(DB235/10))</f>
        <v/>
      </c>
      <c r="DE235" s="1545">
        <f>IF(AND(ISNUMBER(DC235),ISNUMBER(DD235)),IF(DC235/DD235&gt;1,ROUND((DC235)/DD235,3),1),1)</f>
        <v/>
      </c>
      <c r="DF235" s="1541"/>
      <c r="DG235" s="1541"/>
      <c r="DH235" s="1541"/>
      <c r="DI235" s="1541"/>
      <c r="DJ235" s="1541"/>
      <c r="DK235" s="1541"/>
      <c r="DL235" s="1541"/>
      <c r="DM235" s="1541"/>
      <c r="DN235" s="1541"/>
      <c r="DO235" s="1541"/>
      <c r="DP235" s="1541"/>
      <c r="DQ235" s="1541"/>
      <c r="DR235" s="1541"/>
    </row>
    <row r="236" ht="12.75" x14ac:dyDescent="0.2">
      <c r="A236" s="1541"/>
      <c r="B236" s="1541"/>
      <c r="C236"/>
      <c r="D236" s="130">
        <f>IF(BX$226="Close to Ear","EN 62209-1","EN 62209-2")</f>
        <v/>
      </c>
      <c r="E236" s="130">
        <f>IF(CG236="Close to Ear","2016","2010/A1:2019")</f>
        <v/>
      </c>
      <c r="F236" s="1488" t="inlineStr">
        <is>
          <t>5.1</t>
        </is>
      </c>
      <c r="G236" s="1497"/>
      <c r="H236" s="120">
        <f>BV236</f>
        <v/>
      </c>
      <c r="I236" s="120">
        <f>BW236</f>
        <v/>
      </c>
      <c r="J236" s="687">
        <f>BT236</f>
        <v/>
      </c>
      <c r="K236" s="194">
        <f>BU236</f>
        <v/>
      </c>
      <c r="L236" s="115"/>
      <c r="M236" s="120">
        <f>BZ236</f>
        <v/>
      </c>
      <c r="N236" s="119"/>
      <c r="O236" s="131"/>
      <c r="P236" s="6597"/>
      <c r="Q236" s="131"/>
      <c r="R236" s="131"/>
      <c r="S236" s="120">
        <f>CG236</f>
        <v/>
      </c>
      <c r="T236" s="120">
        <f>CC236</f>
        <v/>
      </c>
      <c r="U236" s="120">
        <f>CD236</f>
        <v/>
      </c>
      <c r="V236" s="119"/>
      <c r="W236" s="197">
        <f>CK236*100</f>
        <v/>
      </c>
      <c r="X236" s="119"/>
      <c r="Y236" s="119"/>
      <c r="Z236" s="119"/>
      <c r="AA236" s="115"/>
      <c r="AB236" s="115"/>
      <c r="AC236" s="689">
        <f>IF(OR(BX$226="Close to Ear",BX$226="Close to Head"),"Head",IF(BX$226="Extremity","Extremity","Body"))</f>
        <v/>
      </c>
      <c r="AD236" s="690">
        <f>CA236</f>
        <v/>
      </c>
      <c r="AE236" s="688">
        <f>CB236</f>
        <v/>
      </c>
      <c r="AF236" s="115"/>
      <c r="AG236" s="808">
        <f>IF(AZ236="","N/A",IF(CQ236="Pass","P","F"))</f>
        <v/>
      </c>
      <c r="AH236" s="129"/>
      <c r="AI236" s="129"/>
      <c r="AJ236" s="129"/>
      <c r="AK236" s="119"/>
      <c r="AL236" s="115"/>
      <c r="AM236" s="119"/>
      <c r="AN236" s="119"/>
      <c r="AO236" s="692"/>
      <c r="AP236" s="692"/>
      <c r="AQ236" s="692"/>
      <c r="AR236" s="692"/>
      <c r="AS236" s="692"/>
      <c r="AT236" s="691">
        <f>CE236</f>
        <v/>
      </c>
      <c r="AU236" s="691">
        <f>CF236</f>
        <v/>
      </c>
      <c r="AV236" s="813"/>
      <c r="AW236" s="813"/>
      <c r="AX236" s="197">
        <f>CZ236</f>
        <v/>
      </c>
      <c r="AY236" s="197">
        <f>DE236</f>
        <v/>
      </c>
      <c r="AZ236" s="3379">
        <f>CO236</f>
        <v/>
      </c>
      <c r="BA236" s="3380"/>
      <c r="BB236" s="197">
        <f>CP236</f>
        <v/>
      </c>
      <c r="BC236" s="813"/>
      <c r="BD236" s="197">
        <f>CR236</f>
        <v/>
      </c>
      <c r="BE236" s="121">
        <f>CS236</f>
        <v/>
      </c>
      <c r="BF236" s="122">
        <f>CT236*60</f>
        <v/>
      </c>
      <c r="BG236" s="121">
        <f>BE236</f>
        <v/>
      </c>
      <c r="BH236" s="122">
        <f>CU236*60</f>
        <v/>
      </c>
      <c r="BI236" s="122">
        <f>CV236</f>
        <v/>
      </c>
      <c r="BJ236" s="117"/>
      <c r="BK236" s="812">
        <f>Overview!$E$7</f>
        <v/>
      </c>
      <c r="BL236" s="117"/>
      <c r="BM236" s="836">
        <f>CW236</f>
        <v/>
      </c>
      <c r="BN236" s="812">
        <f>Overview!$P$153</f>
        <v/>
      </c>
      <c r="BO236" s="117"/>
      <c r="BP236" s="117"/>
      <c r="BQ236" s="115"/>
      <c r="BR236" s="1478" t="inlineStr">
        <is>
          <t>N/A</t>
        </is>
      </c>
      <c r="BS236" s="1548"/>
      <c r="BT236" s="2071" t="inlineStr">
        <is>
          <t>GSM</t>
        </is>
      </c>
      <c r="BU236" s="2071">
        <v>1800</v>
      </c>
      <c r="BV236" s="415">
        <f>Overview!$H$29</f>
        <v/>
      </c>
      <c r="BW236" s="2010"/>
      <c r="BX236" s="2075"/>
      <c r="BY236" s="2072"/>
      <c r="BZ236" s="2072"/>
      <c r="CA236" s="418" t="inlineStr">
        <is>
          <t>Front Face</t>
        </is>
      </c>
      <c r="CB236" s="201">
        <v>25</v>
      </c>
      <c r="CC236" s="857">
        <f>IF(COUNT($CO$226:$CO$233)=0,"N/A",INDEX($CC$226:$CC$233,MATCH(MAX($CO$226:$CO$233),$CO$226:$CO$233,0)))</f>
        <v/>
      </c>
      <c r="CD236" s="857">
        <f>IF(COUNT($CO$226:$CO$233)=0,"N/A",INDEX($CD$226:$CD$233,MATCH(MAX($CO$226:$CO$233),$CO$226:$CO$233,0)))</f>
        <v/>
      </c>
      <c r="CE236" s="1874"/>
      <c r="CF236" s="1874"/>
      <c r="CG236" s="388" t="inlineStr">
        <is>
          <t>N/A</t>
        </is>
      </c>
      <c r="CH236" s="388">
        <f>BZ236</f>
        <v/>
      </c>
      <c r="CI236" s="388">
        <f>CA236</f>
        <v/>
      </c>
      <c r="CJ236" s="2046"/>
      <c r="CK236" s="2047"/>
      <c r="CL236" s="212">
        <f>IF(CF236=""," ",IF(ABS(CE236-CF236)&lt;=0.125,"Valid","Not valid"))</f>
        <v/>
      </c>
      <c r="CM236" s="213">
        <f> IF(CE236="","",IF(AND(CE236&lt;&gt;"",CF236=""),IF(CE236&gt;=1,"Medir+Sig Max","No"),IF(CF236&lt;&gt;"",IF(CF236&gt;=1,"Medir+Sig Max","No"),"")))</f>
        <v/>
      </c>
      <c r="CN236" s="1794"/>
      <c r="CO236" s="221">
        <f>IF(CK236="",IF(AND(CE236="",CF236=""),"",IF(CF236="",IF(DE236&gt;1,ROUND(DE236*CE236,3),CE236),IF(DE236&gt;1,ROUND(DE236*CF236,3),CF236))),IF(AND(CE236="",CF236=""),"",IF(CF236="",IF(DE236&gt;1,ROUND(DE236*CE236*(1/(CK236)),3),CE236*(1/(CK236))),IF(DE236&gt;1,ROUND(DE236*CF236*(1/(CK236)),3),CF236*(1/(CK236))))))</f>
        <v/>
      </c>
      <c r="CP236" s="2048">
        <f>$CP$3</f>
        <v/>
      </c>
      <c r="CQ236" s="1473">
        <f>IF(CO236="","",IF(CO236&gt;CP236,"Fail","Pass"))</f>
        <v/>
      </c>
      <c r="CR236" s="1482">
        <f>IF(CO236&lt;&gt;"",MAX($CR$3:CR235)+1,"")</f>
        <v/>
      </c>
      <c r="CS236" s="1566">
        <f>MyTimestamp(CQ236)</f>
        <v/>
      </c>
      <c r="CT236" s="1535">
        <f>IF(COUNT(CE236:CF236)=1,15,IF(COUNT(CE236:CF236)=0,0,30))</f>
        <v/>
      </c>
      <c r="CU236" s="1536">
        <f>IF(CT236=0,0,2)</f>
        <v/>
      </c>
      <c r="CV236" s="861" t="inlineStr">
        <is>
          <t>S/02</t>
        </is>
      </c>
      <c r="CW236" s="861" t="inlineStr">
        <is>
          <t>Dasy6</t>
        </is>
      </c>
      <c r="CX236" s="2038"/>
      <c r="CY236" s="2050"/>
      <c r="CZ236" s="1545">
        <f>10^(CJ236/20)*100-100</f>
        <v/>
      </c>
      <c r="DA236" s="1327">
        <f>IF('Tune-Up'!$H$21="","",'Tune-Up'!$H$21)</f>
        <v/>
      </c>
      <c r="DB236" s="703">
        <f>IF(COUNT($CO$226:$CO$233)=0,"N/A",IFERROR(INDEX($DB$226:$DB$233,MATCH(MAX($CO$226:$CO$233),$CO$226:$CO$233,0)),"N/A"))</f>
        <v/>
      </c>
      <c r="DC236" s="771">
        <f>IF(DA236="","",10^(DA236/10))</f>
        <v/>
      </c>
      <c r="DD236" s="1371">
        <f>IF(ISNUMBER(DB236)=FALSE,"N/A",10^(DB236/10))</f>
        <v/>
      </c>
      <c r="DE236" s="1545">
        <f>IF(AND(ISNUMBER(DC236),ISNUMBER(DD236)),IF(DC236/DD236&gt;1,ROUND((DC236)/DD236,3),1),1)</f>
        <v/>
      </c>
      <c r="DF236" s="1541"/>
      <c r="DG236" s="1541"/>
      <c r="DH236" s="1541"/>
      <c r="DI236" s="1541"/>
      <c r="DJ236" s="1541"/>
      <c r="DK236" s="1541"/>
      <c r="DL236" s="1541"/>
      <c r="DM236" s="1541"/>
      <c r="DN236" s="1541"/>
      <c r="DO236" s="1541"/>
      <c r="DP236" s="1541"/>
      <c r="DQ236" s="1541"/>
      <c r="DR236" s="1541"/>
    </row>
    <row r="237" ht="12.75" x14ac:dyDescent="0.2">
      <c r="A237" s="1541"/>
      <c r="B237" s="1541"/>
      <c r="C237"/>
      <c r="D237" s="130">
        <f>IF(BX$226="Close to Ear","EN 62209-1","EN 62209-2")</f>
        <v/>
      </c>
      <c r="E237" s="130">
        <f>IF(CG237="Close to Ear","2016","2010/A1:2019")</f>
        <v/>
      </c>
      <c r="F237" s="1488" t="inlineStr">
        <is>
          <t>5.1</t>
        </is>
      </c>
      <c r="G237" s="1497"/>
      <c r="H237" s="120">
        <f>BV237</f>
        <v/>
      </c>
      <c r="I237" s="120">
        <f>BW237</f>
        <v/>
      </c>
      <c r="J237" s="687">
        <f>BT237</f>
        <v/>
      </c>
      <c r="K237" s="194">
        <f>BU237</f>
        <v/>
      </c>
      <c r="L237" s="115"/>
      <c r="M237" s="120">
        <f>BZ237</f>
        <v/>
      </c>
      <c r="N237" s="119"/>
      <c r="O237" s="131"/>
      <c r="P237" s="6597"/>
      <c r="Q237" s="131"/>
      <c r="R237" s="131"/>
      <c r="S237" s="120">
        <f>CG237</f>
        <v/>
      </c>
      <c r="T237" s="120">
        <f>CC237</f>
        <v/>
      </c>
      <c r="U237" s="120">
        <f>CD237</f>
        <v/>
      </c>
      <c r="V237" s="119"/>
      <c r="W237" s="197">
        <f>CK237*100</f>
        <v/>
      </c>
      <c r="X237" s="119"/>
      <c r="Y237" s="119"/>
      <c r="Z237" s="119"/>
      <c r="AA237" s="115"/>
      <c r="AB237" s="115"/>
      <c r="AC237" s="689">
        <f>IF(OR(BX$226="Close to Ear",BX$226="Close to Head"),"Head",IF(BX$226="Extremity","Extremity","Body"))</f>
        <v/>
      </c>
      <c r="AD237" s="690">
        <f>CA237</f>
        <v/>
      </c>
      <c r="AE237" s="688">
        <f>CB237</f>
        <v/>
      </c>
      <c r="AF237" s="115"/>
      <c r="AG237" s="808">
        <f>IF(AZ237="","N/A",IF(CQ237="Pass","P","F"))</f>
        <v/>
      </c>
      <c r="AH237" s="129"/>
      <c r="AI237" s="129"/>
      <c r="AJ237" s="129"/>
      <c r="AK237" s="119"/>
      <c r="AL237" s="115"/>
      <c r="AM237" s="119"/>
      <c r="AN237" s="119"/>
      <c r="AO237" s="692"/>
      <c r="AP237" s="692"/>
      <c r="AQ237" s="692"/>
      <c r="AR237" s="692"/>
      <c r="AS237" s="692"/>
      <c r="AT237" s="691">
        <f>CE237</f>
        <v/>
      </c>
      <c r="AU237" s="691">
        <f>CF237</f>
        <v/>
      </c>
      <c r="AV237" s="813"/>
      <c r="AW237" s="813"/>
      <c r="AX237" s="197">
        <f>CZ237</f>
        <v/>
      </c>
      <c r="AY237" s="197">
        <f>DE237</f>
        <v/>
      </c>
      <c r="AZ237" s="3379">
        <f>CO237</f>
        <v/>
      </c>
      <c r="BA237" s="3380"/>
      <c r="BB237" s="197">
        <f>CP237</f>
        <v/>
      </c>
      <c r="BC237" s="813"/>
      <c r="BD237" s="197">
        <f>CR237</f>
        <v/>
      </c>
      <c r="BE237" s="121">
        <f>CS237</f>
        <v/>
      </c>
      <c r="BF237" s="122">
        <f>CT237*60</f>
        <v/>
      </c>
      <c r="BG237" s="121">
        <f>BE237</f>
        <v/>
      </c>
      <c r="BH237" s="122">
        <f>CU237*60</f>
        <v/>
      </c>
      <c r="BI237" s="122">
        <f>CV237</f>
        <v/>
      </c>
      <c r="BJ237" s="117"/>
      <c r="BK237" s="812">
        <f>Overview!$E$7</f>
        <v/>
      </c>
      <c r="BL237" s="117"/>
      <c r="BM237" s="836">
        <f>CW237</f>
        <v/>
      </c>
      <c r="BN237" s="812">
        <f>Overview!$P$153</f>
        <v/>
      </c>
      <c r="BO237" s="117"/>
      <c r="BP237" s="117"/>
      <c r="BQ237" s="115"/>
      <c r="BR237" s="1478" t="inlineStr">
        <is>
          <t>N/A</t>
        </is>
      </c>
      <c r="BS237" s="1548"/>
      <c r="BT237" s="2071" t="inlineStr">
        <is>
          <t>GSM</t>
        </is>
      </c>
      <c r="BU237" s="2071">
        <v>1800</v>
      </c>
      <c r="BV237" s="415">
        <f>Overview!$H$29</f>
        <v/>
      </c>
      <c r="BW237" s="2010"/>
      <c r="BX237" s="2075"/>
      <c r="BY237" s="2072"/>
      <c r="BZ237" s="2072"/>
      <c r="CA237" s="418" t="inlineStr">
        <is>
          <t>Accesorio 1: Funda</t>
        </is>
      </c>
      <c r="CB237" s="201">
        <v>0</v>
      </c>
      <c r="CC237" s="857">
        <f>IF(COUNT($CO$226:$CO$233)=0,"N/A",INDEX($CC$226:$CC$233,MATCH(MAX($CO$226:$CO$233),$CO$226:$CO$233,0)))</f>
        <v/>
      </c>
      <c r="CD237" s="857">
        <f>IF(COUNT($CO$226:$CO$233)=0,"N/A",INDEX($CD$226:$CD$233,MATCH(MAX($CO$226:$CO$233),$CO$226:$CO$233,0)))</f>
        <v/>
      </c>
      <c r="CE237" s="1874"/>
      <c r="CF237" s="1874"/>
      <c r="CG237" s="388" t="inlineStr">
        <is>
          <t>N/A</t>
        </is>
      </c>
      <c r="CH237" s="388">
        <f>BZ237</f>
        <v/>
      </c>
      <c r="CI237" s="388">
        <f>CA237</f>
        <v/>
      </c>
      <c r="CJ237" s="2046"/>
      <c r="CK237" s="2047"/>
      <c r="CL237" s="212">
        <f>IF(CF237=""," ",IF(ABS(CE237-CF237)&lt;=0.125,"Valid","Not valid"))</f>
        <v/>
      </c>
      <c r="CM237" s="213">
        <f> IF(CE237="","",IF(AND(CE237&lt;&gt;"",CF237=""),IF(CE237&gt;=1,"Medir+Sig Max","No"),IF(CF237&lt;&gt;"",IF(CF237&gt;=1,"Medir+Sig Max","No"),"")))</f>
        <v/>
      </c>
      <c r="CN237" s="1794"/>
      <c r="CO237" s="221">
        <f>IF(CK237="",IF(AND(CE237="",CF237=""),"",IF(CF237="",IF(DE237&gt;1,ROUND(DE237*CE237,3),CE237),IF(DE237&gt;1,ROUND(DE237*CF237,3),CF237))),IF(AND(CE237="",CF237=""),"",IF(CF237="",IF(DE237&gt;1,ROUND(DE237*CE237*(1/(CK237)),3),CE237*(1/(CK237))),IF(DE237&gt;1,ROUND(DE237*CF237*(1/(CK237)),3),CF237*(1/(CK237))))))</f>
        <v/>
      </c>
      <c r="CP237" s="2048">
        <f>$CP$3</f>
        <v/>
      </c>
      <c r="CQ237" s="1473">
        <f>IF(CO237="","",IF(CO237&gt;CP237,"Fail","Pass"))</f>
        <v/>
      </c>
      <c r="CR237" s="1482">
        <f>IF(CO237&lt;&gt;"",MAX($CR$3:CR236)+1,"")</f>
        <v/>
      </c>
      <c r="CS237" s="1566">
        <f>MyTimestamp(CQ237)</f>
        <v/>
      </c>
      <c r="CT237" s="1535">
        <f>IF(COUNT(CE237:CF237)=1,15,IF(COUNT(CE237:CF237)=0,0,30))</f>
        <v/>
      </c>
      <c r="CU237" s="1536">
        <f>IF(CT237=0,0,2)</f>
        <v/>
      </c>
      <c r="CV237" s="861" t="inlineStr">
        <is>
          <t>S/02</t>
        </is>
      </c>
      <c r="CW237" s="861" t="inlineStr">
        <is>
          <t>Dasy6</t>
        </is>
      </c>
      <c r="CX237" s="2038"/>
      <c r="CY237" s="2050"/>
      <c r="CZ237" s="1545">
        <f>10^(CJ237/20)*100-100</f>
        <v/>
      </c>
      <c r="DA237" s="1327">
        <f>IF('Tune-Up'!$H$21="","",'Tune-Up'!$H$21)</f>
        <v/>
      </c>
      <c r="DB237" s="703">
        <f>IF(COUNT($CO$226:$CO$233)=0,"N/A",IFERROR(INDEX($DB$226:$DB$233,MATCH(MAX($CO$226:$CO$233),$CO$226:$CO$233,0)),"N/A"))</f>
        <v/>
      </c>
      <c r="DC237" s="771">
        <f>IF(DA237="","",10^(DA237/10))</f>
        <v/>
      </c>
      <c r="DD237" s="1371">
        <f>IF(ISNUMBER(DB237)=FALSE,"N/A",10^(DB237/10))</f>
        <v/>
      </c>
      <c r="DE237" s="1545">
        <f>IF(AND(ISNUMBER(DC237),ISNUMBER(DD237)),IF(DC237/DD237&gt;1,ROUND((DC237)/DD237,3),1),1)</f>
        <v/>
      </c>
      <c r="DF237" s="1541"/>
      <c r="DG237" s="1541"/>
      <c r="DH237" s="1541"/>
      <c r="DI237" s="1541"/>
      <c r="DJ237" s="1541"/>
      <c r="DK237" s="1541"/>
      <c r="DL237" s="1541"/>
      <c r="DM237" s="1541"/>
      <c r="DN237" s="1541"/>
      <c r="DO237" s="1541"/>
      <c r="DP237" s="1541"/>
      <c r="DQ237" s="1541"/>
      <c r="DR237" s="1541"/>
    </row>
    <row r="238" ht="12.75" x14ac:dyDescent="0.2">
      <c r="A238" s="1541"/>
      <c r="B238" s="1541"/>
      <c r="C238"/>
      <c r="D238" s="130">
        <f>IF(BX$226="Close to Ear","EN 62209-1","EN 62209-2")</f>
        <v/>
      </c>
      <c r="E238" s="130">
        <f>IF(CG238="Close to Ear","2016","2010/A1:2019")</f>
        <v/>
      </c>
      <c r="F238" s="1488" t="inlineStr">
        <is>
          <t>5.1</t>
        </is>
      </c>
      <c r="G238" s="1497"/>
      <c r="H238" s="120">
        <f>BV238</f>
        <v/>
      </c>
      <c r="I238" s="120">
        <f>BW238</f>
        <v/>
      </c>
      <c r="J238" s="687">
        <f>BT238</f>
        <v/>
      </c>
      <c r="K238" s="194">
        <f>BU238</f>
        <v/>
      </c>
      <c r="L238" s="115"/>
      <c r="M238" s="120">
        <f>BZ238</f>
        <v/>
      </c>
      <c r="N238" s="119"/>
      <c r="O238" s="131"/>
      <c r="P238" s="6597"/>
      <c r="Q238" s="131"/>
      <c r="R238" s="131"/>
      <c r="S238" s="120">
        <f>CG238</f>
        <v/>
      </c>
      <c r="T238" s="120">
        <f>CC238</f>
        <v/>
      </c>
      <c r="U238" s="120">
        <f>CD238</f>
        <v/>
      </c>
      <c r="V238" s="119"/>
      <c r="W238" s="197">
        <f>CK238*100</f>
        <v/>
      </c>
      <c r="X238" s="119"/>
      <c r="Y238" s="119"/>
      <c r="Z238" s="119"/>
      <c r="AA238" s="115"/>
      <c r="AB238" s="115"/>
      <c r="AC238" s="689">
        <f>IF(OR(BX$226="Close to Ear",BX$226="Close to Head"),"Head",IF(BX$226="Extremity","Extremity","Body"))</f>
        <v/>
      </c>
      <c r="AD238" s="690">
        <f>CA238</f>
        <v/>
      </c>
      <c r="AE238" s="688">
        <f>CB238</f>
        <v/>
      </c>
      <c r="AF238" s="115"/>
      <c r="AG238" s="808">
        <f>IF(AZ238="","N/A",IF(CQ238="Pass","P","F"))</f>
        <v/>
      </c>
      <c r="AH238" s="129"/>
      <c r="AI238" s="129"/>
      <c r="AJ238" s="129"/>
      <c r="AK238" s="119"/>
      <c r="AL238" s="115"/>
      <c r="AM238" s="119"/>
      <c r="AN238" s="119"/>
      <c r="AO238" s="692"/>
      <c r="AP238" s="692"/>
      <c r="AQ238" s="692"/>
      <c r="AR238" s="692"/>
      <c r="AS238" s="692"/>
      <c r="AT238" s="691">
        <f>CE238</f>
        <v/>
      </c>
      <c r="AU238" s="691">
        <f>CF238</f>
        <v/>
      </c>
      <c r="AV238" s="813"/>
      <c r="AW238" s="813"/>
      <c r="AX238" s="197">
        <f>CZ238</f>
        <v/>
      </c>
      <c r="AY238" s="197">
        <f>DE238</f>
        <v/>
      </c>
      <c r="AZ238" s="3379">
        <f>CO238</f>
        <v/>
      </c>
      <c r="BA238" s="3380"/>
      <c r="BB238" s="197">
        <f>CP238</f>
        <v/>
      </c>
      <c r="BC238" s="813"/>
      <c r="BD238" s="197">
        <f>CR238</f>
        <v/>
      </c>
      <c r="BE238" s="121">
        <f>CS238</f>
        <v/>
      </c>
      <c r="BF238" s="122">
        <f>CT238*60</f>
        <v/>
      </c>
      <c r="BG238" s="121">
        <f>BE238</f>
        <v/>
      </c>
      <c r="BH238" s="122">
        <f>CU238*60</f>
        <v/>
      </c>
      <c r="BI238" s="122">
        <f>CV238</f>
        <v/>
      </c>
      <c r="BJ238" s="117"/>
      <c r="BK238" s="812">
        <f>Overview!$E$7</f>
        <v/>
      </c>
      <c r="BL238" s="117"/>
      <c r="BM238" s="836">
        <f>CW238</f>
        <v/>
      </c>
      <c r="BN238" s="812">
        <f>Overview!$P$153</f>
        <v/>
      </c>
      <c r="BO238" s="117"/>
      <c r="BP238" s="117"/>
      <c r="BQ238" s="115"/>
      <c r="BR238" s="1478" t="inlineStr">
        <is>
          <t>N/A</t>
        </is>
      </c>
      <c r="BS238" s="1548"/>
      <c r="BT238" s="2071" t="inlineStr">
        <is>
          <t>GSM</t>
        </is>
      </c>
      <c r="BU238" s="2071">
        <v>1800</v>
      </c>
      <c r="BV238" s="415">
        <f>Overview!$H$29</f>
        <v/>
      </c>
      <c r="BW238" s="2010"/>
      <c r="BX238" s="2075"/>
      <c r="BY238" s="2072"/>
      <c r="BZ238" s="2072"/>
      <c r="CA238" s="418" t="inlineStr">
        <is>
          <t>Accesorio 2: Clip</t>
        </is>
      </c>
      <c r="CB238" s="201">
        <v>0</v>
      </c>
      <c r="CC238" s="857">
        <f>IF(COUNT($CO$226:$CO$233)=0,"N/A",INDEX($CC$226:$CC$233,MATCH(MAX($CO$226:$CO$233),$CO$226:$CO$233,0)))</f>
        <v/>
      </c>
      <c r="CD238" s="857">
        <f>IF(COUNT($CO$226:$CO$233)=0,"N/A",INDEX($CD$226:$CD$233,MATCH(MAX($CO$226:$CO$233),$CO$226:$CO$233,0)))</f>
        <v/>
      </c>
      <c r="CE238" s="1874"/>
      <c r="CF238" s="1874"/>
      <c r="CG238" s="388" t="inlineStr">
        <is>
          <t>N/A</t>
        </is>
      </c>
      <c r="CH238" s="388">
        <f>BZ238</f>
        <v/>
      </c>
      <c r="CI238" s="388">
        <f>CA238</f>
        <v/>
      </c>
      <c r="CJ238" s="2046"/>
      <c r="CK238" s="2047"/>
      <c r="CL238" s="212">
        <f>IF(CF238=""," ",IF(ABS(CE238-CF238)&lt;=0.125,"Valid","Not valid"))</f>
        <v/>
      </c>
      <c r="CM238" s="213">
        <f> IF(CE238="","",IF(AND(CE238&lt;&gt;"",CF238=""),IF(CE238&gt;=1,"Medir+Sig Max","No"),IF(CF238&lt;&gt;"",IF(CF238&gt;=1,"Medir+Sig Max","No"),"")))</f>
        <v/>
      </c>
      <c r="CN238" s="1794"/>
      <c r="CO238" s="221">
        <f>IF(CK238="",IF(AND(CE238="",CF238=""),"",IF(CF238="",IF(DE238&gt;1,ROUND(DE238*CE238,3),CE238),IF(DE238&gt;1,ROUND(DE238*CF238,3),CF238))),IF(AND(CE238="",CF238=""),"",IF(CF238="",IF(DE238&gt;1,ROUND(DE238*CE238*(1/(CK238)),3),CE238*(1/(CK238))),IF(DE238&gt;1,ROUND(DE238*CF238*(1/(CK238)),3),CF238*(1/(CK238))))))</f>
        <v/>
      </c>
      <c r="CP238" s="2048">
        <f>$CP$3</f>
        <v/>
      </c>
      <c r="CQ238" s="1473">
        <f>IF(CO238="","",IF(CO238&gt;CP238,"Fail","Pass"))</f>
        <v/>
      </c>
      <c r="CR238" s="1482">
        <f>IF(CO238&lt;&gt;"",MAX($CR$3:CR237)+1,"")</f>
        <v/>
      </c>
      <c r="CS238" s="1566">
        <f>MyTimestamp(CQ238)</f>
        <v/>
      </c>
      <c r="CT238" s="1535">
        <f>IF(COUNT(CE238:CF238)=1,15,IF(COUNT(CE238:CF238)=0,0,30))</f>
        <v/>
      </c>
      <c r="CU238" s="1536">
        <f>IF(CT238=0,0,2)</f>
        <v/>
      </c>
      <c r="CV238" s="861" t="inlineStr">
        <is>
          <t>S/02</t>
        </is>
      </c>
      <c r="CW238" s="861" t="inlineStr">
        <is>
          <t>Dasy6</t>
        </is>
      </c>
      <c r="CX238" s="2038"/>
      <c r="CY238" s="2050"/>
      <c r="CZ238" s="1545">
        <f>10^(CJ238/20)*100-100</f>
        <v/>
      </c>
      <c r="DA238" s="1327">
        <f>IF('Tune-Up'!$H$21="","",'Tune-Up'!$H$21)</f>
        <v/>
      </c>
      <c r="DB238" s="703">
        <f>IF(COUNT($CO$226:$CO$233)=0,"N/A",IFERROR(INDEX($DB$226:$DB$233,MATCH(MAX($CO$226:$CO$233),$CO$226:$CO$233,0)),"N/A"))</f>
        <v/>
      </c>
      <c r="DC238" s="771">
        <f>IF(DA238="","",10^(DA238/10))</f>
        <v/>
      </c>
      <c r="DD238" s="1371">
        <f>IF(ISNUMBER(DB238)=FALSE,"N/A",10^(DB238/10))</f>
        <v/>
      </c>
      <c r="DE238" s="1545">
        <f>IF(AND(ISNUMBER(DC238),ISNUMBER(DD238)),IF(DC238/DD238&gt;1,ROUND((DC238)/DD238,3),1),1)</f>
        <v/>
      </c>
      <c r="DF238" s="1541"/>
      <c r="DG238" s="1541"/>
      <c r="DH238" s="1541"/>
      <c r="DI238" s="1541"/>
      <c r="DJ238" s="1541"/>
      <c r="DK238" s="1541"/>
      <c r="DL238" s="1541"/>
      <c r="DM238" s="1541"/>
      <c r="DN238" s="1541"/>
      <c r="DO238" s="1541"/>
      <c r="DP238" s="1541"/>
      <c r="DQ238" s="1541"/>
      <c r="DR238" s="1541"/>
    </row>
    <row r="239" ht="12.75" x14ac:dyDescent="0.2">
      <c r="A239" s="1541"/>
      <c r="B239" s="1541"/>
      <c r="C239"/>
      <c r="D239" s="130">
        <f>IF(BX$239="Close to Ear","EN 62209-1","EN 62209-2")</f>
        <v/>
      </c>
      <c r="E239" s="130">
        <f>IF(CG239="Close to Ear","2016","2010/A1:2019")</f>
        <v/>
      </c>
      <c r="F239" s="1488" t="inlineStr">
        <is>
          <t>5.1</t>
        </is>
      </c>
      <c r="G239" s="1497"/>
      <c r="H239" s="120">
        <f>BV239</f>
        <v/>
      </c>
      <c r="I239" s="120">
        <f>BW239</f>
        <v/>
      </c>
      <c r="J239" s="687" t="str">
        <f>BT239</f>
        <v>GSM</v>
      </c>
      <c r="K239" s="194">
        <f>BU239</f>
        <v>1800</v>
      </c>
      <c r="L239" s="115"/>
      <c r="M239" s="120">
        <f>BZ239</f>
        <v>0</v>
      </c>
      <c r="N239" s="119"/>
      <c r="O239" s="131"/>
      <c r="P239" s="6597"/>
      <c r="Q239" s="131"/>
      <c r="R239" s="131"/>
      <c r="S239" s="120">
        <f>CG239</f>
        <v>0</v>
      </c>
      <c r="T239" s="120">
        <f>CC239</f>
        <v>698</v>
      </c>
      <c r="U239" s="120">
        <f>CD239</f>
        <v>1747.4</v>
      </c>
      <c r="V239" s="119"/>
      <c r="W239" s="197">
        <f>CK239*100</f>
        <v/>
      </c>
      <c r="X239" s="119"/>
      <c r="Y239" s="119"/>
      <c r="Z239" s="119"/>
      <c r="AA239" s="115"/>
      <c r="AB239" s="115"/>
      <c r="AC239" s="689">
        <f>IF(OR(BX$239="Close to Ear",BX$239="Close to Head"),"Head",IF(BX$239="Extremity","Extremity","Body"))</f>
        <v/>
      </c>
      <c r="AD239" s="690">
        <f>CA239</f>
        <v/>
      </c>
      <c r="AE239" s="688">
        <f>CB239</f>
        <v/>
      </c>
      <c r="AF239" s="115"/>
      <c r="AG239" s="808">
        <f>IF(AZ239="","N/A",IF(CQ239="Pass","P","F"))</f>
        <v/>
      </c>
      <c r="AH239" s="129"/>
      <c r="AI239" s="129"/>
      <c r="AJ239" s="129"/>
      <c r="AK239" s="119"/>
      <c r="AL239" s="115"/>
      <c r="AM239" s="119"/>
      <c r="AN239" s="119"/>
      <c r="AO239" s="692"/>
      <c r="AP239" s="692"/>
      <c r="AQ239" s="692"/>
      <c r="AR239" s="692"/>
      <c r="AS239" s="692"/>
      <c r="AT239" s="691">
        <f>CE239</f>
        <v/>
      </c>
      <c r="AU239" s="691">
        <f>CF239</f>
        <v/>
      </c>
      <c r="AV239" s="813"/>
      <c r="AW239" s="813"/>
      <c r="AX239" s="197">
        <f>CZ239</f>
        <v/>
      </c>
      <c r="AY239" s="197">
        <f>DE239</f>
        <v/>
      </c>
      <c r="AZ239" s="3379">
        <f>CO239</f>
        <v/>
      </c>
      <c r="BA239" s="3380"/>
      <c r="BB239" s="197">
        <f>CP239</f>
        <v/>
      </c>
      <c r="BC239" s="813"/>
      <c r="BD239" s="197">
        <f>CR239</f>
        <v/>
      </c>
      <c r="BE239" s="121">
        <f>CS239</f>
        <v/>
      </c>
      <c r="BF239" s="122">
        <f>CT239*60</f>
        <v/>
      </c>
      <c r="BG239" s="121">
        <f>BE239</f>
        <v/>
      </c>
      <c r="BH239" s="122">
        <f>CU239*60</f>
        <v/>
      </c>
      <c r="BI239" s="122">
        <f>CV239</f>
        <v/>
      </c>
      <c r="BJ239" s="117"/>
      <c r="BK239" s="812">
        <f>Overview!$E$7</f>
        <v/>
      </c>
      <c r="BL239" s="117"/>
      <c r="BM239" s="836">
        <f>CW239</f>
        <v/>
      </c>
      <c r="BN239" s="812">
        <f>Overview!$P$153</f>
        <v/>
      </c>
      <c r="BO239" s="117"/>
      <c r="BP239" s="117"/>
      <c r="BQ239" s="115"/>
      <c r="BR239" s="1478" t="inlineStr">
        <is>
          <t>N/A</t>
        </is>
      </c>
      <c r="BS239" s="1548"/>
      <c r="BT239" s="2071" t="inlineStr">
        <is>
          <t>GSM</t>
        </is>
      </c>
      <c r="BU239" s="2071">
        <v>1800</v>
      </c>
      <c r="BV239" s="415">
        <f>Overview!$H$29</f>
        <v/>
      </c>
      <c r="BW239" s="2010"/>
      <c r="BX239" s="7675" t="inlineStr">
        <is>
          <t>Extremity</t>
        </is>
      </c>
      <c r="BY239" s="2072"/>
      <c r="BZ239" s="2072"/>
      <c r="CA239" s="1996" t="inlineStr">
        <is>
          <t>Front Face</t>
        </is>
      </c>
      <c r="CB239" s="200">
        <v>5</v>
      </c>
      <c r="CC239" s="856">
        <f>'2G-3G'!BX30</f>
        <v>698</v>
      </c>
      <c r="CD239" s="856">
        <f>'2G-3G'!BY30</f>
        <v>1747.4</v>
      </c>
      <c r="CE239" s="2051"/>
      <c r="CF239" s="2051"/>
      <c r="CG239" s="389" t="str">
        <f>IF(OR($BY$167="",$BY$167=""),"",$BY$167)</f>
        <v/>
      </c>
      <c r="CH239" s="389">
        <f>BZ239</f>
        <v/>
      </c>
      <c r="CI239" s="389">
        <f>CA239</f>
        <v/>
      </c>
      <c r="CJ239" s="2052"/>
      <c r="CK239" s="2070"/>
      <c r="CL239" s="203">
        <f>IF(CF239=""," ",IF(ABS(CE239-CF239)&lt;=0.25,"Valid","Not valid"))</f>
        <v/>
      </c>
      <c r="CM239" s="204">
        <f> IF(CE239="","",IF(AND(CE239&lt;&gt;"",CF239=""),IF(CE239&gt;=2,"Medir+Sig Max","No"),IF(CF239&lt;&gt;"",IF(CF239&gt;=2,"Medir+Sig Max","No"),"")))</f>
        <v/>
      </c>
      <c r="CN239" s="1798"/>
      <c r="CO239" s="222">
        <f>IF(CK239="",IF(AND(CE239="",CF239=""),"",IF(CF239="",IF(DE239&gt;1,ROUND(DE239*CE239,3),CE239),IF(DE239&gt;1,ROUND(DE239*CF239,3),CF239))),IF(AND(CE239="",CF239=""),"",IF(CF239="",IF(DE239&gt;1,ROUND(DE239*CE239*(1/(CK239)),3),CE239*(1/(CK239))),IF(DE239&gt;1,ROUND(DE239*CF239*(1/(CK239)),3),CF239*(1/(CK239))))))</f>
        <v/>
      </c>
      <c r="CP239" s="2053">
        <f>$CP$34</f>
        <v/>
      </c>
      <c r="CQ239" s="1474">
        <f>IF(CO239="","",IF(CO239&gt;CP239,"Fail","Pass"))</f>
        <v/>
      </c>
      <c r="CR239" s="1480">
        <f>IF(AND(MAX(CO239:CO246)=CO239,CO239&lt;&gt;0),COUNT($CR$3:CR233)+1,"")</f>
        <v/>
      </c>
      <c r="CS239" s="2054">
        <f>MyTimestamp(CO239)</f>
        <v/>
      </c>
      <c r="CT239" s="1537">
        <f>IF(CE239="",0,15)+IF(CF239="",0,15)</f>
        <v/>
      </c>
      <c r="CU239" s="1538">
        <f>IF(CT239=0,0,2)</f>
        <v/>
      </c>
      <c r="CV239" s="2055" t="inlineStr">
        <is>
          <t>S/02</t>
        </is>
      </c>
      <c r="CW239" s="2055" t="inlineStr">
        <is>
          <t>Dasy6</t>
        </is>
      </c>
      <c r="CX239" s="2038"/>
      <c r="CY239" s="2056"/>
      <c r="CZ239" s="1546">
        <f>10^(CJ239/20)*100-100</f>
        <v/>
      </c>
      <c r="DA239" s="1324">
        <f>IF('Tune-Up'!$H$21="","",'Tune-Up'!$H$21)</f>
        <v/>
      </c>
      <c r="DB239" s="700">
        <f>'2G-3G'!BZ30</f>
        <v/>
      </c>
      <c r="DC239" s="768">
        <f>IF(DA239="","",10^(DA239/10))</f>
        <v/>
      </c>
      <c r="DD239" s="1368">
        <f>IF(ISNUMBER(DB239)=FALSE,"",10^(DB239/10))</f>
        <v/>
      </c>
      <c r="DE239" s="1546">
        <f>IF(AND(ISNUMBER(DC239),ISNUMBER(DD239)),IF(DC239/DD239&gt;1,ROUND((DC239)/DD239,3),1),1)</f>
        <v/>
      </c>
      <c r="DF239" s="1541"/>
      <c r="DG239" s="1541"/>
      <c r="DH239" s="1541"/>
      <c r="DI239" s="1541"/>
      <c r="DJ239" s="1541"/>
      <c r="DK239" s="1541"/>
      <c r="DL239" s="1541"/>
      <c r="DM239" s="1541"/>
      <c r="DN239" s="1541"/>
      <c r="DO239" s="1541"/>
      <c r="DP239" s="1541"/>
      <c r="DQ239" s="1541"/>
      <c r="DR239" s="1541"/>
    </row>
    <row r="240" ht="12.75" x14ac:dyDescent="0.2">
      <c r="A240" s="1541"/>
      <c r="B240" s="1541"/>
      <c r="C240"/>
      <c r="D240" s="130">
        <f>IF(BX$239="Close to Ear","EN 62209-1","EN 62209-2")</f>
        <v/>
      </c>
      <c r="E240" s="130">
        <f>IF(CG240="Close to Ear","2016","2010/A1:2019")</f>
        <v/>
      </c>
      <c r="F240" s="1488" t="inlineStr">
        <is>
          <t>5.1</t>
        </is>
      </c>
      <c r="G240" s="1497"/>
      <c r="H240" s="120">
        <f>BV240</f>
        <v/>
      </c>
      <c r="I240" s="120">
        <f>BW240</f>
        <v/>
      </c>
      <c r="J240" s="687" t="str">
        <f>BT240</f>
        <v>GSM</v>
      </c>
      <c r="K240" s="194">
        <f>BU240</f>
        <v>1800</v>
      </c>
      <c r="L240" s="115"/>
      <c r="M240" s="120">
        <f>BZ240</f>
        <v>0</v>
      </c>
      <c r="N240" s="119"/>
      <c r="O240" s="131"/>
      <c r="P240" s="6597"/>
      <c r="Q240" s="131"/>
      <c r="R240" s="131"/>
      <c r="S240" s="120">
        <f>CG240</f>
        <v>0</v>
      </c>
      <c r="T240" s="120">
        <f>CC240</f>
        <v>698</v>
      </c>
      <c r="U240" s="120">
        <f>CD240</f>
        <v>1747.4</v>
      </c>
      <c r="V240" s="119"/>
      <c r="W240" s="197">
        <f>CK240*100</f>
        <v/>
      </c>
      <c r="X240" s="119"/>
      <c r="Y240" s="119"/>
      <c r="Z240" s="119"/>
      <c r="AA240" s="115"/>
      <c r="AB240" s="115"/>
      <c r="AC240" s="689">
        <f>IF(OR(BX$239="Close to Ear",BX$239="Close to Head"),"Head",IF(BX$239="Extremity","Extremity","Body"))</f>
        <v/>
      </c>
      <c r="AD240" s="690">
        <f>CA240</f>
        <v/>
      </c>
      <c r="AE240" s="688">
        <f>CB240</f>
        <v/>
      </c>
      <c r="AF240" s="115"/>
      <c r="AG240" s="808">
        <f>IF(AZ240="","N/A",IF(CQ240="Pass","P","F"))</f>
        <v/>
      </c>
      <c r="AH240" s="129"/>
      <c r="AI240" s="129"/>
      <c r="AJ240" s="129"/>
      <c r="AK240" s="119"/>
      <c r="AL240" s="115"/>
      <c r="AM240" s="119"/>
      <c r="AN240" s="119"/>
      <c r="AO240" s="692"/>
      <c r="AP240" s="692"/>
      <c r="AQ240" s="692"/>
      <c r="AR240" s="692"/>
      <c r="AS240" s="692"/>
      <c r="AT240" s="691">
        <f>CE240</f>
        <v/>
      </c>
      <c r="AU240" s="691">
        <f>CF240</f>
        <v/>
      </c>
      <c r="AV240" s="813"/>
      <c r="AW240" s="813"/>
      <c r="AX240" s="197">
        <f>CZ240</f>
        <v/>
      </c>
      <c r="AY240" s="197">
        <f>DE240</f>
        <v/>
      </c>
      <c r="AZ240" s="3379">
        <f>CO240</f>
        <v/>
      </c>
      <c r="BA240" s="3380"/>
      <c r="BB240" s="197">
        <f>CP240</f>
        <v/>
      </c>
      <c r="BC240" s="813"/>
      <c r="BD240" s="197">
        <f>CR240</f>
        <v/>
      </c>
      <c r="BE240" s="121">
        <f>CS240</f>
        <v/>
      </c>
      <c r="BF240" s="122">
        <f>CT240*60</f>
        <v/>
      </c>
      <c r="BG240" s="121">
        <f>BE240</f>
        <v/>
      </c>
      <c r="BH240" s="122">
        <f>CU240*60</f>
        <v/>
      </c>
      <c r="BI240" s="122">
        <f>CV240</f>
        <v/>
      </c>
      <c r="BJ240" s="117"/>
      <c r="BK240" s="812">
        <f>Overview!$E$7</f>
        <v/>
      </c>
      <c r="BL240" s="117"/>
      <c r="BM240" s="836">
        <f>CW240</f>
        <v/>
      </c>
      <c r="BN240" s="812">
        <f>Overview!$P$153</f>
        <v/>
      </c>
      <c r="BO240" s="117"/>
      <c r="BP240" s="117"/>
      <c r="BQ240" s="115"/>
      <c r="BR240" s="1478" t="inlineStr">
        <is>
          <t>N/A</t>
        </is>
      </c>
      <c r="BS240" s="1548"/>
      <c r="BT240" s="2071" t="inlineStr">
        <is>
          <t>GSM</t>
        </is>
      </c>
      <c r="BU240" s="2071">
        <v>1800</v>
      </c>
      <c r="BV240" s="415">
        <f>Overview!$H$29</f>
        <v/>
      </c>
      <c r="BW240" s="2010"/>
      <c r="BX240" s="2071"/>
      <c r="BY240" s="2072"/>
      <c r="BZ240" s="2072"/>
      <c r="CA240" s="1997" t="inlineStr">
        <is>
          <t>Back Face</t>
        </is>
      </c>
      <c r="CB240" s="200">
        <v>5</v>
      </c>
      <c r="CC240" s="902">
        <f>'2G-3G'!BX30</f>
        <v>698</v>
      </c>
      <c r="CD240" s="902">
        <f>'2G-3G'!BY30</f>
        <v>1747.4</v>
      </c>
      <c r="CE240" s="1523"/>
      <c r="CF240" s="1523"/>
      <c r="CG240" s="387" t="str">
        <f>IF(OR($BY$167="",$BY$167=""),"",$BY$167)</f>
        <v/>
      </c>
      <c r="CH240" s="387">
        <f>BZ240</f>
        <v/>
      </c>
      <c r="CI240" s="387">
        <f>CA240</f>
        <v/>
      </c>
      <c r="CJ240" s="1527"/>
      <c r="CK240" s="2042"/>
      <c r="CL240" s="206">
        <f>IF(CF240=""," ",IF(ABS(CE240-CF240)&lt;=0.25,"Valid","Not valid"))</f>
        <v/>
      </c>
      <c r="CM240" s="207">
        <f> IF(CE240="","",IF(AND(CE240&lt;&gt;"",CF240=""),IF(CE240&gt;=2,"Medir+Sig Max","No"),IF(CF240&lt;&gt;"",IF(CF240&gt;=2,"Medir+Sig Max","No"),"")))</f>
        <v/>
      </c>
      <c r="CN240" s="1787"/>
      <c r="CO240" s="220">
        <f>IF(CK240="",IF(AND(CE240="",CF240=""),"",IF(CF240="",IF(DE240&gt;1,ROUND(DE240*CE240,3),CE240),IF(DE240&gt;1,ROUND(DE240*CF240,3),CF240))),IF(AND(CE240="",CF240=""),"",IF(CF240="",IF(DE240&gt;1,ROUND(DE240*CE240*(1/(CK240)),3),CE240*(1/(CK240))),IF(DE240&gt;1,ROUND(DE240*CF240*(1/(CK240)),3),CF240*(1/(CK240))))))</f>
        <v/>
      </c>
      <c r="CP240" s="2043">
        <f>$CP$34</f>
        <v/>
      </c>
      <c r="CQ240" s="1472">
        <f>IF(CO240="","",IF(CO240&gt;CP240,"Fail","Pass"))</f>
        <v/>
      </c>
      <c r="CR240" s="1481">
        <f>IF(AND(MAX(CO239:CO246)=CO240,CO240&lt;&gt;0),COUNT($CR$3:CR239)+1,"")</f>
        <v/>
      </c>
      <c r="CS240" s="1565">
        <f>MyTimestamp(CO240)</f>
        <v/>
      </c>
      <c r="CT240" s="1531">
        <f>IF(CE240="",0,15)+IF(CF240="",0,15)</f>
        <v/>
      </c>
      <c r="CU240" s="1532">
        <f>IF(CT240=0,0,2)</f>
        <v/>
      </c>
      <c r="CV240" s="859" t="inlineStr">
        <is>
          <t>S/02</t>
        </is>
      </c>
      <c r="CW240" s="859" t="inlineStr">
        <is>
          <t>Dasy6</t>
        </is>
      </c>
      <c r="CX240" s="2038"/>
      <c r="CY240" s="2044"/>
      <c r="CZ240" s="1543">
        <f>10^(CJ240/20)*100-100</f>
        <v/>
      </c>
      <c r="DA240" s="1325">
        <f>IF('Tune-Up'!$H$21="","",'Tune-Up'!$H$21)</f>
        <v/>
      </c>
      <c r="DB240" s="701">
        <f>'2G-3G'!BZ30</f>
        <v/>
      </c>
      <c r="DC240" s="769">
        <f>IF(DA240="","",10^(DA240/10))</f>
        <v/>
      </c>
      <c r="DD240" s="1369">
        <f>IF(ISNUMBER(DB240)=FALSE,"",10^(DB240/10))</f>
        <v/>
      </c>
      <c r="DE240" s="1543">
        <f>IF(AND(ISNUMBER(DC240),ISNUMBER(DD240)),IF(DC240/DD240&gt;1,ROUND((DC240)/DD240,3),1),1)</f>
        <v/>
      </c>
      <c r="DF240" s="1541"/>
      <c r="DG240" s="1541"/>
      <c r="DH240" s="1541"/>
      <c r="DI240" s="1541"/>
      <c r="DJ240" s="1541"/>
      <c r="DK240" s="1541"/>
      <c r="DL240" s="1541"/>
      <c r="DM240" s="1541"/>
      <c r="DN240" s="1541"/>
      <c r="DO240" s="1541"/>
      <c r="DP240" s="1541"/>
      <c r="DQ240" s="1541"/>
      <c r="DR240" s="1541"/>
    </row>
    <row r="241" ht="12.75" x14ac:dyDescent="0.2">
      <c r="A241" s="1541"/>
      <c r="B241" s="1541"/>
      <c r="C241"/>
      <c r="D241" s="130">
        <f>IF(BX$239="Close to Ear","EN 62209-1","EN 62209-2")</f>
        <v/>
      </c>
      <c r="E241" s="130">
        <f>IF(CG241="Close to Ear","2016","2010/A1:2019")</f>
        <v/>
      </c>
      <c r="F241" s="1488" t="inlineStr">
        <is>
          <t>5.1</t>
        </is>
      </c>
      <c r="G241" s="1497"/>
      <c r="H241" s="120">
        <f>BV241</f>
        <v/>
      </c>
      <c r="I241" s="120">
        <f>BW241</f>
        <v/>
      </c>
      <c r="J241" s="687" t="str">
        <f>BT241</f>
        <v>GSM</v>
      </c>
      <c r="K241" s="194">
        <f>BU241</f>
        <v>1800</v>
      </c>
      <c r="L241" s="115"/>
      <c r="M241" s="120">
        <f>BZ241</f>
        <v>0</v>
      </c>
      <c r="N241" s="119"/>
      <c r="O241" s="131"/>
      <c r="P241" s="6597"/>
      <c r="Q241" s="131"/>
      <c r="R241" s="131"/>
      <c r="S241" s="120">
        <f>CG241</f>
        <v>0</v>
      </c>
      <c r="T241" s="120">
        <f>CC241</f>
        <v>698</v>
      </c>
      <c r="U241" s="120">
        <f>CD241</f>
        <v>1747.4</v>
      </c>
      <c r="V241" s="119"/>
      <c r="W241" s="197">
        <f>CK241*100</f>
        <v/>
      </c>
      <c r="X241" s="119"/>
      <c r="Y241" s="119"/>
      <c r="Z241" s="119"/>
      <c r="AA241" s="115"/>
      <c r="AB241" s="115"/>
      <c r="AC241" s="689">
        <f>IF(OR(BX$239="Close to Ear",BX$239="Close to Head"),"Head",IF(BX$239="Extremity","Extremity","Body"))</f>
        <v/>
      </c>
      <c r="AD241" s="690">
        <f>CA241</f>
        <v/>
      </c>
      <c r="AE241" s="688">
        <f>CB241</f>
        <v/>
      </c>
      <c r="AF241" s="115"/>
      <c r="AG241" s="808">
        <f>IF(AZ241="","N/A",IF(CQ241="Pass","P","F"))</f>
        <v/>
      </c>
      <c r="AH241" s="129"/>
      <c r="AI241" s="129"/>
      <c r="AJ241" s="129"/>
      <c r="AK241" s="119"/>
      <c r="AL241" s="115"/>
      <c r="AM241" s="119"/>
      <c r="AN241" s="119"/>
      <c r="AO241" s="692"/>
      <c r="AP241" s="692"/>
      <c r="AQ241" s="692"/>
      <c r="AR241" s="692"/>
      <c r="AS241" s="692"/>
      <c r="AT241" s="691">
        <f>CE241</f>
        <v/>
      </c>
      <c r="AU241" s="691">
        <f>CF241</f>
        <v/>
      </c>
      <c r="AV241" s="813"/>
      <c r="AW241" s="813"/>
      <c r="AX241" s="197">
        <f>CZ241</f>
        <v/>
      </c>
      <c r="AY241" s="197">
        <f>DE241</f>
        <v/>
      </c>
      <c r="AZ241" s="3379">
        <f>CO241</f>
        <v/>
      </c>
      <c r="BA241" s="3380"/>
      <c r="BB241" s="197">
        <f>CP241</f>
        <v/>
      </c>
      <c r="BC241" s="813"/>
      <c r="BD241" s="197">
        <f>CR241</f>
        <v/>
      </c>
      <c r="BE241" s="121">
        <f>CS241</f>
        <v/>
      </c>
      <c r="BF241" s="122">
        <f>CT241*60</f>
        <v/>
      </c>
      <c r="BG241" s="121">
        <f>BE241</f>
        <v/>
      </c>
      <c r="BH241" s="122">
        <f>CU241*60</f>
        <v/>
      </c>
      <c r="BI241" s="122">
        <f>CV241</f>
        <v/>
      </c>
      <c r="BJ241" s="117"/>
      <c r="BK241" s="812">
        <f>Overview!$E$7</f>
        <v/>
      </c>
      <c r="BL241" s="117"/>
      <c r="BM241" s="836">
        <f>CW241</f>
        <v/>
      </c>
      <c r="BN241" s="812">
        <f>Overview!$P$153</f>
        <v/>
      </c>
      <c r="BO241" s="117"/>
      <c r="BP241" s="117"/>
      <c r="BQ241" s="115"/>
      <c r="BR241" s="1478" t="inlineStr">
        <is>
          <t>N/A</t>
        </is>
      </c>
      <c r="BS241" s="1548"/>
      <c r="BT241" s="2071" t="inlineStr">
        <is>
          <t>GSM</t>
        </is>
      </c>
      <c r="BU241" s="2071">
        <v>1800</v>
      </c>
      <c r="BV241" s="415">
        <f>Overview!$H$29</f>
        <v/>
      </c>
      <c r="BW241" s="2010"/>
      <c r="BX241" s="2071"/>
      <c r="BY241" s="2072"/>
      <c r="BZ241" s="2072"/>
      <c r="CA241" s="1997" t="inlineStr">
        <is>
          <t>Left Edge</t>
        </is>
      </c>
      <c r="CB241" s="200">
        <v>5</v>
      </c>
      <c r="CC241" s="902">
        <f>'2G-3G'!BX30</f>
        <v>698</v>
      </c>
      <c r="CD241" s="902">
        <f>'2G-3G'!BY30</f>
        <v>1747.4</v>
      </c>
      <c r="CE241" s="1523"/>
      <c r="CF241" s="1523"/>
      <c r="CG241" s="387" t="str">
        <f>IF(OR($BY$167="",$BY$167=""),"",$BY$167)</f>
        <v/>
      </c>
      <c r="CH241" s="387">
        <f>BZ241</f>
        <v/>
      </c>
      <c r="CI241" s="387">
        <f>CA241</f>
        <v/>
      </c>
      <c r="CJ241" s="1527"/>
      <c r="CK241" s="2042"/>
      <c r="CL241" s="206">
        <f>IF(CF241=""," ",IF(ABS(CE241-CF241)&lt;=0.25,"Valid","Not valid"))</f>
        <v/>
      </c>
      <c r="CM241" s="207">
        <f> IF(CE241="","",IF(AND(CE241&lt;&gt;"",CF241=""),IF(CE241&gt;=2,"Medir+Sig Max","No"),IF(CF241&lt;&gt;"",IF(CF241&gt;=2,"Medir+Sig Max","No"),"")))</f>
        <v/>
      </c>
      <c r="CN241" s="1787"/>
      <c r="CO241" s="220">
        <f>IF(CK241="",IF(AND(CE241="",CF241=""),"",IF(CF241="",IF(DE241&gt;1,ROUND(DE241*CE241,3),CE241),IF(DE241&gt;1,ROUND(DE241*CF241,3),CF241))),IF(AND(CE241="",CF241=""),"",IF(CF241="",IF(DE241&gt;1,ROUND(DE241*CE241*(1/(CK241)),3),CE241*(1/(CK241))),IF(DE241&gt;1,ROUND(DE241*CF241*(1/(CK241)),3),CF241*(1/(CK241))))))</f>
        <v/>
      </c>
      <c r="CP241" s="2043">
        <f>$CP$34</f>
        <v/>
      </c>
      <c r="CQ241" s="1472">
        <f>IF(CO241="","",IF(CO241&gt;CP241,"Fail","Pass"))</f>
        <v/>
      </c>
      <c r="CR241" s="1481">
        <f>IF(AND(MAX(CO239:CO246)=CO241,CO241&lt;&gt;0),COUNT($CR$3:CR240)+1,"")</f>
        <v/>
      </c>
      <c r="CS241" s="1565">
        <f>MyTimestamp(CO241)</f>
        <v/>
      </c>
      <c r="CT241" s="1531">
        <f>IF(CE241="",0,15)+IF(CF241="",0,15)</f>
        <v/>
      </c>
      <c r="CU241" s="1532">
        <f>IF(CT241=0,0,2)</f>
        <v/>
      </c>
      <c r="CV241" s="859" t="inlineStr">
        <is>
          <t>S/02</t>
        </is>
      </c>
      <c r="CW241" s="859" t="inlineStr">
        <is>
          <t>Dasy6</t>
        </is>
      </c>
      <c r="CX241" s="2038"/>
      <c r="CY241" s="2044"/>
      <c r="CZ241" s="1543">
        <f>10^(CJ241/20)*100-100</f>
        <v/>
      </c>
      <c r="DA241" s="1325">
        <f>IF('Tune-Up'!$H$21="","",'Tune-Up'!$H$21)</f>
        <v/>
      </c>
      <c r="DB241" s="701">
        <f>'2G-3G'!BZ30</f>
        <v/>
      </c>
      <c r="DC241" s="769">
        <f>IF(DA241="","",10^(DA241/10))</f>
        <v/>
      </c>
      <c r="DD241" s="1369">
        <f>IF(ISNUMBER(DB241)=FALSE,"",10^(DB241/10))</f>
        <v/>
      </c>
      <c r="DE241" s="1543">
        <f>IF(AND(ISNUMBER(DC241),ISNUMBER(DD241)),IF(DC241/DD241&gt;1,ROUND((DC241)/DD241,3),1),1)</f>
        <v/>
      </c>
      <c r="DF241" s="1541"/>
      <c r="DG241" s="1541"/>
      <c r="DH241" s="1541"/>
      <c r="DI241" s="1541"/>
      <c r="DJ241" s="1541"/>
      <c r="DK241" s="1541"/>
      <c r="DL241" s="1541"/>
      <c r="DM241" s="1541"/>
      <c r="DN241" s="1541"/>
      <c r="DO241" s="1541"/>
      <c r="DP241" s="1541"/>
      <c r="DQ241" s="1541"/>
      <c r="DR241" s="1541"/>
    </row>
    <row r="242" ht="12.75" x14ac:dyDescent="0.2">
      <c r="A242" s="1541"/>
      <c r="B242" s="1541"/>
      <c r="C242"/>
      <c r="D242" s="130">
        <f>IF(BX$239="Close to Ear","EN 62209-1","EN 62209-2")</f>
        <v/>
      </c>
      <c r="E242" s="130">
        <f>IF(CG242="Close to Ear","2016","2010/A1:2019")</f>
        <v/>
      </c>
      <c r="F242" s="1488" t="inlineStr">
        <is>
          <t>5.1</t>
        </is>
      </c>
      <c r="G242" s="1497"/>
      <c r="H242" s="120">
        <f>BV242</f>
        <v/>
      </c>
      <c r="I242" s="120">
        <f>BW242</f>
        <v/>
      </c>
      <c r="J242" s="687" t="str">
        <f>BT242</f>
        <v>GSM</v>
      </c>
      <c r="K242" s="194">
        <f>BU242</f>
        <v>1800</v>
      </c>
      <c r="L242" s="115"/>
      <c r="M242" s="120">
        <f>BZ242</f>
        <v>0</v>
      </c>
      <c r="N242" s="119"/>
      <c r="O242" s="131"/>
      <c r="P242" s="6597"/>
      <c r="Q242" s="131"/>
      <c r="R242" s="131"/>
      <c r="S242" s="120">
        <f>CG242</f>
        <v>0</v>
      </c>
      <c r="T242" s="120">
        <f>CC242</f>
        <v>698</v>
      </c>
      <c r="U242" s="120">
        <f>CD242</f>
        <v>1747.4</v>
      </c>
      <c r="V242" s="119"/>
      <c r="W242" s="197">
        <f>CK242*100</f>
        <v/>
      </c>
      <c r="X242" s="119"/>
      <c r="Y242" s="119"/>
      <c r="Z242" s="119"/>
      <c r="AA242" s="115"/>
      <c r="AB242" s="115"/>
      <c r="AC242" s="689">
        <f>IF(OR(BX$239="Close to Ear",BX$239="Close to Head"),"Head",IF(BX$239="Extremity","Extremity","Body"))</f>
        <v/>
      </c>
      <c r="AD242" s="690">
        <f>CA242</f>
        <v/>
      </c>
      <c r="AE242" s="688">
        <f>CB242</f>
        <v/>
      </c>
      <c r="AF242" s="115"/>
      <c r="AG242" s="808">
        <f>IF(AZ242="","N/A",IF(CQ242="Pass","P","F"))</f>
        <v/>
      </c>
      <c r="AH242" s="129"/>
      <c r="AI242" s="129"/>
      <c r="AJ242" s="129"/>
      <c r="AK242" s="119"/>
      <c r="AL242" s="115"/>
      <c r="AM242" s="119"/>
      <c r="AN242" s="119"/>
      <c r="AO242" s="692"/>
      <c r="AP242" s="692"/>
      <c r="AQ242" s="692"/>
      <c r="AR242" s="692"/>
      <c r="AS242" s="692"/>
      <c r="AT242" s="691">
        <f>CE242</f>
        <v/>
      </c>
      <c r="AU242" s="691">
        <f>CF242</f>
        <v/>
      </c>
      <c r="AV242" s="813"/>
      <c r="AW242" s="813"/>
      <c r="AX242" s="197">
        <f>CZ242</f>
        <v/>
      </c>
      <c r="AY242" s="197">
        <f>DE242</f>
        <v/>
      </c>
      <c r="AZ242" s="3379">
        <f>CO242</f>
        <v/>
      </c>
      <c r="BA242" s="3380"/>
      <c r="BB242" s="197">
        <f>CP242</f>
        <v/>
      </c>
      <c r="BC242" s="813"/>
      <c r="BD242" s="197">
        <f>CR242</f>
        <v/>
      </c>
      <c r="BE242" s="121">
        <f>CS242</f>
        <v/>
      </c>
      <c r="BF242" s="122">
        <f>CT242*60</f>
        <v/>
      </c>
      <c r="BG242" s="121">
        <f>BE242</f>
        <v/>
      </c>
      <c r="BH242" s="122">
        <f>CU242*60</f>
        <v/>
      </c>
      <c r="BI242" s="122">
        <f>CV242</f>
        <v/>
      </c>
      <c r="BJ242" s="117"/>
      <c r="BK242" s="812">
        <f>Overview!$E$7</f>
        <v/>
      </c>
      <c r="BL242" s="117"/>
      <c r="BM242" s="836">
        <f>CW242</f>
        <v/>
      </c>
      <c r="BN242" s="812">
        <f>Overview!$P$153</f>
        <v/>
      </c>
      <c r="BO242" s="117"/>
      <c r="BP242" s="117"/>
      <c r="BQ242" s="115"/>
      <c r="BR242" s="1478" t="inlineStr">
        <is>
          <t>N/A</t>
        </is>
      </c>
      <c r="BS242" s="1548"/>
      <c r="BT242" s="1891" t="inlineStr">
        <is>
          <t>GSM</t>
        </is>
      </c>
      <c r="BU242" s="1891">
        <v>1800</v>
      </c>
      <c r="BV242" s="417">
        <f>Overview!$H$29</f>
        <v/>
      </c>
      <c r="BW242" s="2010"/>
      <c r="BX242" s="1891"/>
      <c r="BY242" s="2072"/>
      <c r="BZ242" s="2072"/>
      <c r="CA242" s="1997" t="inlineStr">
        <is>
          <t>Right Edge</t>
        </is>
      </c>
      <c r="CB242" s="200">
        <v>5</v>
      </c>
      <c r="CC242" s="902">
        <f>'2G-3G'!BX30</f>
        <v>698</v>
      </c>
      <c r="CD242" s="902">
        <f>'2G-3G'!BY30</f>
        <v>1747.4</v>
      </c>
      <c r="CE242" s="1523"/>
      <c r="CF242" s="1523"/>
      <c r="CG242" s="387" t="str">
        <f>IF(OR($BY$167="",$BY$167=""),"",$BY$167)</f>
        <v/>
      </c>
      <c r="CH242" s="387">
        <f>BZ242</f>
        <v/>
      </c>
      <c r="CI242" s="387">
        <f>CA242</f>
        <v/>
      </c>
      <c r="CJ242" s="1527"/>
      <c r="CK242" s="2042"/>
      <c r="CL242" s="206">
        <f>IF(CF242=""," ",IF(ABS(CE242-CF242)&lt;=0.25,"Valid","Not valid"))</f>
        <v/>
      </c>
      <c r="CM242" s="207">
        <f> IF(CE242="","",IF(AND(CE242&lt;&gt;"",CF242=""),IF(CE242&gt;=2,"Medir+Sig Max","No"),IF(CF242&lt;&gt;"",IF(CF242&gt;=2,"Medir+Sig Max","No"),"")))</f>
        <v/>
      </c>
      <c r="CN242" s="1787"/>
      <c r="CO242" s="220">
        <f>IF(CK242="",IF(AND(CE242="",CF242=""),"",IF(CF242="",IF(DE242&gt;1,ROUND(DE242*CE242,3),CE242),IF(DE242&gt;1,ROUND(DE242*CF242,3),CF242))),IF(AND(CE242="",CF242=""),"",IF(CF242="",IF(DE242&gt;1,ROUND(DE242*CE242*(1/(CK242)),3),CE242*(1/(CK242))),IF(DE242&gt;1,ROUND(DE242*CF242*(1/(CK242)),3),CF242*(1/(CK242))))))</f>
        <v/>
      </c>
      <c r="CP242" s="2043">
        <f>$CP$34</f>
        <v/>
      </c>
      <c r="CQ242" s="1472">
        <f>IF(CO242="","",IF(CO242&gt;CP242,"Fail","Pass"))</f>
        <v/>
      </c>
      <c r="CR242" s="1481">
        <f>IF(AND(MAX(CO239:CO246)=CO242,CO242&lt;&gt;0),COUNT($CR$3:CR241)+1,"")</f>
        <v/>
      </c>
      <c r="CS242" s="1565">
        <f>MyTimestamp(CO242)</f>
        <v/>
      </c>
      <c r="CT242" s="1531">
        <f>IF(CE242="",0,15)+IF(CF242="",0,15)</f>
        <v/>
      </c>
      <c r="CU242" s="1532">
        <f>IF(CT242=0,0,2)</f>
        <v/>
      </c>
      <c r="CV242" s="859" t="inlineStr">
        <is>
          <t>S/02</t>
        </is>
      </c>
      <c r="CW242" s="859" t="inlineStr">
        <is>
          <t>Dasy6</t>
        </is>
      </c>
      <c r="CX242" s="2038"/>
      <c r="CY242" s="2044"/>
      <c r="CZ242" s="1543">
        <f>10^(CJ242/20)*100-100</f>
        <v/>
      </c>
      <c r="DA242" s="1325">
        <f>IF('Tune-Up'!$H$21="","",'Tune-Up'!$H$21)</f>
        <v/>
      </c>
      <c r="DB242" s="701">
        <f>'2G-3G'!BZ30</f>
        <v/>
      </c>
      <c r="DC242" s="769">
        <f>IF(DA242="","",10^(DA242/10))</f>
        <v/>
      </c>
      <c r="DD242" s="1369">
        <f>IF(ISNUMBER(DB242)=FALSE,"",10^(DB242/10))</f>
        <v/>
      </c>
      <c r="DE242" s="1543">
        <f>IF(AND(ISNUMBER(DC242),ISNUMBER(DD242)),IF(DC242/DD242&gt;1,ROUND((DC242)/DD242,3),1),1)</f>
        <v/>
      </c>
      <c r="DF242" s="1541"/>
      <c r="DG242" s="1541"/>
      <c r="DH242" s="1541"/>
      <c r="DI242" s="1541"/>
      <c r="DJ242" s="1541"/>
      <c r="DK242" s="1541"/>
      <c r="DL242" s="1541"/>
      <c r="DM242" s="1541"/>
      <c r="DN242" s="1541"/>
      <c r="DO242" s="1541"/>
      <c r="DP242" s="1541"/>
      <c r="DQ242" s="1541"/>
      <c r="DR242" s="1541"/>
    </row>
    <row r="243" ht="12.75" x14ac:dyDescent="0.2">
      <c r="A243" s="1541"/>
      <c r="B243" s="1541"/>
      <c r="C243"/>
      <c r="D243" s="130">
        <f>IF(BX$239="Close to Ear","EN 62209-1","EN 62209-2")</f>
        <v/>
      </c>
      <c r="E243" s="130">
        <f>IF(CG243="Close to Ear","2016","2010/A1:2019")</f>
        <v/>
      </c>
      <c r="F243" s="1488" t="inlineStr">
        <is>
          <t>5.1</t>
        </is>
      </c>
      <c r="G243" s="1497"/>
      <c r="H243" s="120">
        <f>BV243</f>
        <v/>
      </c>
      <c r="I243" s="120">
        <f>BW243</f>
        <v/>
      </c>
      <c r="J243" s="687" t="str">
        <f>BT243</f>
        <v>GSM</v>
      </c>
      <c r="K243" s="194">
        <f>BU243</f>
        <v>1800</v>
      </c>
      <c r="L243" s="115"/>
      <c r="M243" s="120">
        <f>BZ243</f>
        <v>0</v>
      </c>
      <c r="N243" s="119"/>
      <c r="O243" s="131"/>
      <c r="P243" s="6597"/>
      <c r="Q243" s="131"/>
      <c r="R243" s="131"/>
      <c r="S243" s="120">
        <f>CG243</f>
        <v>0</v>
      </c>
      <c r="T243" s="120">
        <f>CC243</f>
        <v>698</v>
      </c>
      <c r="U243" s="120">
        <f>CD243</f>
        <v>1747.4</v>
      </c>
      <c r="V243" s="119"/>
      <c r="W243" s="197">
        <f>CK243*100</f>
        <v/>
      </c>
      <c r="X243" s="119"/>
      <c r="Y243" s="119"/>
      <c r="Z243" s="119"/>
      <c r="AA243" s="115"/>
      <c r="AB243" s="115"/>
      <c r="AC243" s="689">
        <f>IF(OR(BX$239="Close to Ear",BX$239="Close to Head"),"Head",IF(BX$239="Extremity","Extremity","Body"))</f>
        <v/>
      </c>
      <c r="AD243" s="690">
        <f>CA243</f>
        <v/>
      </c>
      <c r="AE243" s="688">
        <f>CB243</f>
        <v/>
      </c>
      <c r="AF243" s="115"/>
      <c r="AG243" s="808">
        <f>IF(AZ243="","N/A",IF(CQ243="Pass","P","F"))</f>
        <v/>
      </c>
      <c r="AH243" s="129"/>
      <c r="AI243" s="129"/>
      <c r="AJ243" s="129"/>
      <c r="AK243" s="119"/>
      <c r="AL243" s="115"/>
      <c r="AM243" s="119"/>
      <c r="AN243" s="119"/>
      <c r="AO243" s="692"/>
      <c r="AP243" s="692"/>
      <c r="AQ243" s="692"/>
      <c r="AR243" s="692"/>
      <c r="AS243" s="692"/>
      <c r="AT243" s="691">
        <f>CE243</f>
        <v/>
      </c>
      <c r="AU243" s="691">
        <f>CF243</f>
        <v/>
      </c>
      <c r="AV243" s="813"/>
      <c r="AW243" s="813"/>
      <c r="AX243" s="197">
        <f>CZ243</f>
        <v/>
      </c>
      <c r="AY243" s="197">
        <f>DE243</f>
        <v/>
      </c>
      <c r="AZ243" s="3379">
        <f>CO243</f>
        <v/>
      </c>
      <c r="BA243" s="3380"/>
      <c r="BB243" s="197">
        <f>CP243</f>
        <v/>
      </c>
      <c r="BC243" s="813"/>
      <c r="BD243" s="197">
        <f>CR243</f>
        <v/>
      </c>
      <c r="BE243" s="121">
        <f>CS243</f>
        <v/>
      </c>
      <c r="BF243" s="122">
        <f>CT243*60</f>
        <v/>
      </c>
      <c r="BG243" s="121">
        <f>BE243</f>
        <v/>
      </c>
      <c r="BH243" s="122">
        <f>CU243*60</f>
        <v/>
      </c>
      <c r="BI243" s="122">
        <f>CV243</f>
        <v/>
      </c>
      <c r="BJ243" s="117"/>
      <c r="BK243" s="812">
        <f>Overview!$E$7</f>
        <v/>
      </c>
      <c r="BL243" s="117"/>
      <c r="BM243" s="836">
        <f>CW243</f>
        <v/>
      </c>
      <c r="BN243" s="812">
        <f>Overview!$P$153</f>
        <v/>
      </c>
      <c r="BO243" s="117"/>
      <c r="BP243" s="117"/>
      <c r="BQ243" s="115"/>
      <c r="BR243" s="1478" t="inlineStr">
        <is>
          <t>N/A</t>
        </is>
      </c>
      <c r="BS243" s="1548"/>
      <c r="BT243" s="2071" t="inlineStr">
        <is>
          <t>GSM</t>
        </is>
      </c>
      <c r="BU243" s="2071">
        <v>1800</v>
      </c>
      <c r="BV243" s="415">
        <f>Overview!$H$29</f>
        <v/>
      </c>
      <c r="BW243" s="2010"/>
      <c r="BX243" s="2071"/>
      <c r="BY243" s="2072"/>
      <c r="BZ243" s="2072"/>
      <c r="CA243" s="1997" t="inlineStr">
        <is>
          <t>Top Edge</t>
        </is>
      </c>
      <c r="CB243" s="200">
        <v>5</v>
      </c>
      <c r="CC243" s="902">
        <f>'2G-3G'!BX30</f>
        <v>698</v>
      </c>
      <c r="CD243" s="902">
        <f>'2G-3G'!BY30</f>
        <v>1747.4</v>
      </c>
      <c r="CE243" s="1523"/>
      <c r="CF243" s="1523"/>
      <c r="CG243" s="387" t="str">
        <f>IF(OR($BY$167="",$BY$167=""),"",$BY$167)</f>
        <v/>
      </c>
      <c r="CH243" s="387">
        <f>BZ243</f>
        <v/>
      </c>
      <c r="CI243" s="387">
        <f>CA243</f>
        <v/>
      </c>
      <c r="CJ243" s="1527"/>
      <c r="CK243" s="2042"/>
      <c r="CL243" s="206">
        <f>IF(CF243=""," ",IF(ABS(CE243-CF243)&lt;=0.25,"Valid","Not valid"))</f>
        <v/>
      </c>
      <c r="CM243" s="207">
        <f> IF(CE243="","",IF(AND(CE243&lt;&gt;"",CF243=""),IF(CE243&gt;=2,"Medir+Sig Max","No"),IF(CF243&lt;&gt;"",IF(CF243&gt;=2,"Medir+Sig Max","No"),"")))</f>
        <v/>
      </c>
      <c r="CN243" s="1787"/>
      <c r="CO243" s="220">
        <f>IF(CK243="",IF(AND(CE243="",CF243=""),"",IF(CF243="",IF(DE243&gt;1,ROUND(DE243*CE243,3),CE243),IF(DE243&gt;1,ROUND(DE243*CF243,3),CF243))),IF(AND(CE243="",CF243=""),"",IF(CF243="",IF(DE243&gt;1,ROUND(DE243*CE243*(1/(CK243)),3),CE243*(1/(CK243))),IF(DE243&gt;1,ROUND(DE243*CF243*(1/(CK243)),3),CF243*(1/(CK243))))))</f>
        <v/>
      </c>
      <c r="CP243" s="2043">
        <f>$CP$34</f>
        <v/>
      </c>
      <c r="CQ243" s="1472">
        <f>IF(CO243="","",IF(CO243&gt;CP243,"Fail","Pass"))</f>
        <v/>
      </c>
      <c r="CR243" s="1481">
        <f>IF(AND(MAX(CO239:CO246)=CO243,CO243&lt;&gt;0),COUNT($CR$3:CR242)+1,"")</f>
        <v/>
      </c>
      <c r="CS243" s="1565">
        <f>MyTimestamp(CO243)</f>
        <v/>
      </c>
      <c r="CT243" s="1531">
        <f>IF(CE243="",0,15)+IF(CF243="",0,15)</f>
        <v/>
      </c>
      <c r="CU243" s="1532">
        <f>IF(CT243=0,0,2)</f>
        <v/>
      </c>
      <c r="CV243" s="859" t="inlineStr">
        <is>
          <t>S/02</t>
        </is>
      </c>
      <c r="CW243" s="859" t="inlineStr">
        <is>
          <t>Dasy6</t>
        </is>
      </c>
      <c r="CX243" s="2038"/>
      <c r="CY243" s="2044"/>
      <c r="CZ243" s="1543">
        <f>10^(CJ243/20)*100-100</f>
        <v/>
      </c>
      <c r="DA243" s="1325">
        <f>IF('Tune-Up'!$H$21="","",'Tune-Up'!$H$21)</f>
        <v/>
      </c>
      <c r="DB243" s="701">
        <f>'2G-3G'!BZ30</f>
        <v/>
      </c>
      <c r="DC243" s="769">
        <f>IF(DA243="","",10^(DA243/10))</f>
        <v/>
      </c>
      <c r="DD243" s="1369">
        <f>IF(ISNUMBER(DB243)=FALSE,"",10^(DB243/10))</f>
        <v/>
      </c>
      <c r="DE243" s="1543">
        <f>IF(AND(ISNUMBER(DC243),ISNUMBER(DD243)),IF(DC243/DD243&gt;1,ROUND((DC243)/DD243,3),1),1)</f>
        <v/>
      </c>
      <c r="DF243" s="1541"/>
      <c r="DG243" s="1541"/>
      <c r="DH243" s="1541"/>
      <c r="DI243" s="1541"/>
      <c r="DJ243" s="1541"/>
      <c r="DK243" s="1541"/>
      <c r="DL243" s="1541"/>
      <c r="DM243" s="1541"/>
      <c r="DN243" s="1541"/>
      <c r="DO243" s="1541"/>
      <c r="DP243" s="1541"/>
      <c r="DQ243" s="1541"/>
      <c r="DR243" s="1541"/>
    </row>
    <row r="244" ht="12.75" x14ac:dyDescent="0.2">
      <c r="A244" s="1541"/>
      <c r="B244" s="1541"/>
      <c r="C244"/>
      <c r="D244" s="130">
        <f>IF(BX$239="Close to Ear","EN 62209-1","EN 62209-2")</f>
        <v/>
      </c>
      <c r="E244" s="130">
        <f>IF(CG244="Close to Ear","2016","2010/A1:2019")</f>
        <v/>
      </c>
      <c r="F244" s="1488" t="inlineStr">
        <is>
          <t>5.1</t>
        </is>
      </c>
      <c r="G244" s="1497"/>
      <c r="H244" s="120">
        <f>BV244</f>
        <v/>
      </c>
      <c r="I244" s="120">
        <f>BW244</f>
        <v/>
      </c>
      <c r="J244" s="687" t="str">
        <f>BT244</f>
        <v>GSM</v>
      </c>
      <c r="K244" s="194">
        <f>BU244</f>
        <v>1800</v>
      </c>
      <c r="L244" s="115"/>
      <c r="M244" s="120">
        <f>BZ244</f>
        <v>0</v>
      </c>
      <c r="N244" s="119"/>
      <c r="O244" s="131"/>
      <c r="P244" s="6597"/>
      <c r="Q244" s="131"/>
      <c r="R244" s="131"/>
      <c r="S244" s="120">
        <f>CG244</f>
        <v>0</v>
      </c>
      <c r="T244" s="120">
        <f>CC244</f>
        <v>698</v>
      </c>
      <c r="U244" s="120">
        <f>CD244</f>
        <v>1747.4</v>
      </c>
      <c r="V244" s="119"/>
      <c r="W244" s="197">
        <f>CK244*100</f>
        <v/>
      </c>
      <c r="X244" s="119"/>
      <c r="Y244" s="119"/>
      <c r="Z244" s="119"/>
      <c r="AA244" s="115"/>
      <c r="AB244" s="115"/>
      <c r="AC244" s="689">
        <f>IF(OR(BX$239="Close to Ear",BX$239="Close to Head"),"Head",IF(BX$239="Extremity","Extremity","Body"))</f>
        <v/>
      </c>
      <c r="AD244" s="690">
        <f>CA244</f>
        <v/>
      </c>
      <c r="AE244" s="688">
        <f>CB244</f>
        <v/>
      </c>
      <c r="AF244" s="115"/>
      <c r="AG244" s="808">
        <f>IF(AZ244="","N/A",IF(CQ244="Pass","P","F"))</f>
        <v/>
      </c>
      <c r="AH244" s="129"/>
      <c r="AI244" s="129"/>
      <c r="AJ244" s="129"/>
      <c r="AK244" s="119"/>
      <c r="AL244" s="115"/>
      <c r="AM244" s="119"/>
      <c r="AN244" s="119"/>
      <c r="AO244" s="692"/>
      <c r="AP244" s="692"/>
      <c r="AQ244" s="692"/>
      <c r="AR244" s="692"/>
      <c r="AS244" s="692"/>
      <c r="AT244" s="691">
        <f>CE244</f>
        <v/>
      </c>
      <c r="AU244" s="691">
        <f>CF244</f>
        <v/>
      </c>
      <c r="AV244" s="813"/>
      <c r="AW244" s="813"/>
      <c r="AX244" s="197">
        <f>CZ244</f>
        <v/>
      </c>
      <c r="AY244" s="197">
        <f>DE244</f>
        <v/>
      </c>
      <c r="AZ244" s="3379">
        <f>CO244</f>
        <v/>
      </c>
      <c r="BA244" s="3380"/>
      <c r="BB244" s="197">
        <f>CP244</f>
        <v/>
      </c>
      <c r="BC244" s="813"/>
      <c r="BD244" s="197">
        <f>CR244</f>
        <v/>
      </c>
      <c r="BE244" s="121">
        <f>CS244</f>
        <v/>
      </c>
      <c r="BF244" s="122">
        <f>CT244*60</f>
        <v/>
      </c>
      <c r="BG244" s="121">
        <f>BE244</f>
        <v/>
      </c>
      <c r="BH244" s="122">
        <f>CU244*60</f>
        <v/>
      </c>
      <c r="BI244" s="122">
        <f>CV244</f>
        <v/>
      </c>
      <c r="BJ244" s="117"/>
      <c r="BK244" s="812">
        <f>Overview!$E$7</f>
        <v/>
      </c>
      <c r="BL244" s="117"/>
      <c r="BM244" s="836">
        <f>CW244</f>
        <v/>
      </c>
      <c r="BN244" s="812">
        <f>Overview!$P$153</f>
        <v/>
      </c>
      <c r="BO244" s="117"/>
      <c r="BP244" s="117"/>
      <c r="BQ244" s="115"/>
      <c r="BR244" s="1478" t="inlineStr">
        <is>
          <t>N/A</t>
        </is>
      </c>
      <c r="BS244" s="1548"/>
      <c r="BT244" s="2071" t="inlineStr">
        <is>
          <t>GSM</t>
        </is>
      </c>
      <c r="BU244" s="2071">
        <v>1800</v>
      </c>
      <c r="BV244" s="415">
        <f>Overview!$H$29</f>
        <v/>
      </c>
      <c r="BW244" s="2010"/>
      <c r="BX244" s="2071"/>
      <c r="BY244" s="2072"/>
      <c r="BZ244" s="2072"/>
      <c r="CA244" s="1997" t="inlineStr">
        <is>
          <t>Bottom Edge</t>
        </is>
      </c>
      <c r="CB244" s="200">
        <v>5</v>
      </c>
      <c r="CC244" s="902">
        <f>'2G-3G'!BX30</f>
        <v>698</v>
      </c>
      <c r="CD244" s="902">
        <f>'2G-3G'!BY30</f>
        <v>1747.4</v>
      </c>
      <c r="CE244" s="1523"/>
      <c r="CF244" s="1523"/>
      <c r="CG244" s="387" t="str">
        <f>IF(OR($BY$167="",$BY$167=""),"",$BY$167)</f>
        <v/>
      </c>
      <c r="CH244" s="387">
        <f>BZ244</f>
        <v/>
      </c>
      <c r="CI244" s="387">
        <f>CA244</f>
        <v/>
      </c>
      <c r="CJ244" s="1527"/>
      <c r="CK244" s="2042"/>
      <c r="CL244" s="206">
        <f>IF(CF244=""," ",IF(ABS(CE244-CF244)&lt;=0.25,"Valid","Not valid"))</f>
        <v/>
      </c>
      <c r="CM244" s="207">
        <f> IF(CE244="","",IF(AND(CE244&lt;&gt;"",CF244=""),IF(CE244&gt;=2,"Medir+Sig Max","No"),IF(CF244&lt;&gt;"",IF(CF244&gt;=2,"Medir+Sig Max","No"),"")))</f>
        <v/>
      </c>
      <c r="CN244" s="1787"/>
      <c r="CO244" s="220">
        <f>IF(CK244="",IF(AND(CE244="",CF244=""),"",IF(CF244="",IF(DE244&gt;1,ROUND(DE244*CE244,3),CE244),IF(DE244&gt;1,ROUND(DE244*CF244,3),CF244))),IF(AND(CE244="",CF244=""),"",IF(CF244="",IF(DE244&gt;1,ROUND(DE244*CE244*(1/(CK244)),3),CE244*(1/(CK244))),IF(DE244&gt;1,ROUND(DE244*CF244*(1/(CK244)),3),CF244*(1/(CK244))))))</f>
        <v/>
      </c>
      <c r="CP244" s="2043">
        <f>$CP$34</f>
        <v/>
      </c>
      <c r="CQ244" s="1472">
        <f>IF(CO244="","",IF(CO244&gt;CP244,"Fail","Pass"))</f>
        <v/>
      </c>
      <c r="CR244" s="1481">
        <f>IF(AND(MAX(CO239:CO246)=CO244,CO244&lt;&gt;0),COUNT($CR$3:CR243)+1,"")</f>
        <v/>
      </c>
      <c r="CS244" s="1565">
        <f>MyTimestamp(CO244)</f>
        <v/>
      </c>
      <c r="CT244" s="1531">
        <f>IF(CE244="",0,15)+IF(CF244="",0,15)</f>
        <v/>
      </c>
      <c r="CU244" s="1532">
        <f>IF(CT244=0,0,2)</f>
        <v/>
      </c>
      <c r="CV244" s="859" t="inlineStr">
        <is>
          <t>S/02</t>
        </is>
      </c>
      <c r="CW244" s="859" t="inlineStr">
        <is>
          <t>Dasy6</t>
        </is>
      </c>
      <c r="CX244" s="2038"/>
      <c r="CY244" s="2044"/>
      <c r="CZ244" s="1543">
        <f>10^(CJ244/20)*100-100</f>
        <v/>
      </c>
      <c r="DA244" s="1325">
        <f>IF('Tune-Up'!$H$21="","",'Tune-Up'!$H$21)</f>
        <v/>
      </c>
      <c r="DB244" s="701">
        <f>'2G-3G'!BZ30</f>
        <v/>
      </c>
      <c r="DC244" s="769">
        <f>IF(DA244="","",10^(DA244/10))</f>
        <v/>
      </c>
      <c r="DD244" s="1369">
        <f>IF(ISNUMBER(DB244)=FALSE,"",10^(DB244/10))</f>
        <v/>
      </c>
      <c r="DE244" s="1543">
        <f>IF(AND(ISNUMBER(DC244),ISNUMBER(DD244)),IF(DC244/DD244&gt;1,ROUND((DC244)/DD244,3),1),1)</f>
        <v/>
      </c>
      <c r="DF244" s="1541"/>
      <c r="DG244" s="1541"/>
      <c r="DH244" s="1541"/>
      <c r="DI244" s="1541"/>
      <c r="DJ244" s="1541"/>
      <c r="DK244" s="1541"/>
      <c r="DL244" s="1541"/>
      <c r="DM244" s="1541"/>
      <c r="DN244" s="1541"/>
      <c r="DO244" s="1541"/>
      <c r="DP244" s="1541"/>
      <c r="DQ244" s="1541"/>
      <c r="DR244" s="1541"/>
    </row>
    <row r="245" ht="12.75" x14ac:dyDescent="0.2">
      <c r="A245" s="1541"/>
      <c r="B245" s="1541"/>
      <c r="C245"/>
      <c r="D245" s="130">
        <f>IF(BX$239="Close to Ear","EN 62209-1","EN 62209-2")</f>
        <v/>
      </c>
      <c r="E245" s="130">
        <f>IF(CG245="Close to Ear","2016","2010/A1:2019")</f>
        <v/>
      </c>
      <c r="F245" s="1488" t="inlineStr">
        <is>
          <t>5.1</t>
        </is>
      </c>
      <c r="G245" s="1497"/>
      <c r="H245" s="120">
        <f>BV245</f>
        <v/>
      </c>
      <c r="I245" s="120">
        <f>BW245</f>
        <v/>
      </c>
      <c r="J245" s="687" t="str">
        <f>BT245</f>
        <v>GSM</v>
      </c>
      <c r="K245" s="194">
        <f>BU245</f>
        <v>1800</v>
      </c>
      <c r="L245" s="115"/>
      <c r="M245" s="120">
        <f>BZ245</f>
        <v>0</v>
      </c>
      <c r="N245" s="119"/>
      <c r="O245" s="131"/>
      <c r="P245" s="6597"/>
      <c r="Q245" s="131"/>
      <c r="R245" s="131"/>
      <c r="S245" s="120">
        <f>CG245</f>
        <v>0</v>
      </c>
      <c r="T245" s="120">
        <f>CC245</f>
        <v>512</v>
      </c>
      <c r="U245" s="120">
        <f>CD245</f>
        <v>1710.2</v>
      </c>
      <c r="V245" s="119"/>
      <c r="W245" s="197">
        <f>CK245*100</f>
        <v/>
      </c>
      <c r="X245" s="119"/>
      <c r="Y245" s="119"/>
      <c r="Z245" s="119"/>
      <c r="AA245" s="115"/>
      <c r="AB245" s="115"/>
      <c r="AC245" s="689">
        <f>IF(OR(BX$239="Close to Ear",BX$239="Close to Head"),"Head",IF(BX$239="Extremity","Extremity","Body"))</f>
        <v/>
      </c>
      <c r="AD245" s="690">
        <f>CA245</f>
        <v/>
      </c>
      <c r="AE245" s="688">
        <f>CB245</f>
        <v/>
      </c>
      <c r="AF245" s="115"/>
      <c r="AG245" s="808">
        <f>IF(AZ245="","N/A",IF(CQ245="Pass","P","F"))</f>
        <v/>
      </c>
      <c r="AH245" s="129"/>
      <c r="AI245" s="129"/>
      <c r="AJ245" s="129"/>
      <c r="AK245" s="119"/>
      <c r="AL245" s="115"/>
      <c r="AM245" s="119"/>
      <c r="AN245" s="119"/>
      <c r="AO245" s="692"/>
      <c r="AP245" s="692"/>
      <c r="AQ245" s="692"/>
      <c r="AR245" s="692"/>
      <c r="AS245" s="692"/>
      <c r="AT245" s="691">
        <f>CE245</f>
        <v/>
      </c>
      <c r="AU245" s="691">
        <f>CF245</f>
        <v/>
      </c>
      <c r="AV245" s="813"/>
      <c r="AW245" s="813"/>
      <c r="AX245" s="197">
        <f>CZ245</f>
        <v/>
      </c>
      <c r="AY245" s="197">
        <f>DE245</f>
        <v/>
      </c>
      <c r="AZ245" s="3379">
        <f>CO245</f>
        <v/>
      </c>
      <c r="BA245" s="3380"/>
      <c r="BB245" s="197">
        <f>CP245</f>
        <v/>
      </c>
      <c r="BC245" s="813"/>
      <c r="BD245" s="197">
        <f>CR245</f>
        <v/>
      </c>
      <c r="BE245" s="121">
        <f>CS245</f>
        <v/>
      </c>
      <c r="BF245" s="122">
        <f>CT245*60</f>
        <v/>
      </c>
      <c r="BG245" s="121">
        <f>BE245</f>
        <v/>
      </c>
      <c r="BH245" s="122">
        <f>CU245*60</f>
        <v/>
      </c>
      <c r="BI245" s="122">
        <f>CV245</f>
        <v/>
      </c>
      <c r="BJ245" s="117"/>
      <c r="BK245" s="812">
        <f>Overview!$E$7</f>
        <v/>
      </c>
      <c r="BL245" s="117"/>
      <c r="BM245" s="836">
        <f>CW245</f>
        <v/>
      </c>
      <c r="BN245" s="812">
        <f>Overview!$P$153</f>
        <v/>
      </c>
      <c r="BO245" s="117"/>
      <c r="BP245" s="117"/>
      <c r="BQ245" s="115"/>
      <c r="BR245" s="1478" t="inlineStr">
        <is>
          <t>N/A</t>
        </is>
      </c>
      <c r="BS245" s="1548"/>
      <c r="BT245" s="2071" t="inlineStr">
        <is>
          <t>GSM</t>
        </is>
      </c>
      <c r="BU245" s="2071">
        <v>1800</v>
      </c>
      <c r="BV245" s="415">
        <f>Overview!$H$29</f>
        <v/>
      </c>
      <c r="BW245" s="2010"/>
      <c r="BX245" s="2071"/>
      <c r="BY245" s="2072"/>
      <c r="BZ245" s="2072"/>
      <c r="CA245" s="416" t="str">
        <f>IF(COUNT(CF239:CF244)=0,IF(COUNT(CE239:CE244)=0,"TBD",VLOOKUP(MAX(CE239:CE244),CE239:CI244,5,FALSE)),VLOOKUP(MAX(CF239:CF244),CF239:CI244,4,FALSE))</f>
        <v>TBD</v>
      </c>
      <c r="CB245" s="200">
        <v>5</v>
      </c>
      <c r="CC245" s="902">
        <f>'2G-3G'!BX31</f>
        <v>512</v>
      </c>
      <c r="CD245" s="902">
        <f>'2G-3G'!BY31</f>
        <v>1710.2</v>
      </c>
      <c r="CE245" s="1523"/>
      <c r="CF245" s="1523"/>
      <c r="CG245" s="387" t="str">
        <f>IF(OR($BY$167="",$BY$167=""),"",$BY$167)</f>
        <v/>
      </c>
      <c r="CH245" s="387">
        <f>BZ245</f>
        <v/>
      </c>
      <c r="CI245" s="387">
        <f>CA245</f>
        <v/>
      </c>
      <c r="CJ245" s="1527"/>
      <c r="CK245" s="2042"/>
      <c r="CL245" s="206">
        <f>IF(CF245=""," ",IF(ABS(CE245-CF245)&lt;=0.25,"Valid","Not valid"))</f>
        <v/>
      </c>
      <c r="CM245" s="207">
        <f> IF(CE245="","",IF(AND(CE245&lt;&gt;"",CF245=""),IF(CE245&gt;=2,"Medir+Sig Max","No"),IF(CF245&lt;&gt;"",IF(CF245&gt;=2,"Medir+Sig Max","No"),"")))</f>
        <v/>
      </c>
      <c r="CN245" s="1787"/>
      <c r="CO245" s="220">
        <f>IF(CK245="",IF(AND(CE245="",CF245=""),"",IF(CF245="",IF(DE245&gt;1,ROUND(DE245*CE245,3),CE245),IF(DE245&gt;1,ROUND(DE245*CF245,3),CF245))),IF(AND(CE245="",CF245=""),"",IF(CF245="",IF(DE245&gt;1,ROUND(DE245*CE245*(1/(CK245)),3),CE245*(1/(CK245))),IF(DE245&gt;1,ROUND(DE245*CF245*(1/(CK245)),3),CF245*(1/(CK245))))))</f>
        <v/>
      </c>
      <c r="CP245" s="2043">
        <f>$CP$34</f>
        <v/>
      </c>
      <c r="CQ245" s="1472">
        <f>IF(CO245="","",IF(CO245&gt;CP245,"Fail","Pass"))</f>
        <v/>
      </c>
      <c r="CR245" s="1481">
        <f>IF(AND(MAX(CO239:CO246)=CO245,CO245&lt;&gt;0),COUNT($CR$3:CR244)+1,"")</f>
        <v/>
      </c>
      <c r="CS245" s="1565">
        <f>MyTimestamp(CO245)</f>
        <v/>
      </c>
      <c r="CT245" s="1531">
        <f>IF(CE245="",0,15)+IF(CF245="",0,15)</f>
        <v/>
      </c>
      <c r="CU245" s="1532">
        <f>IF(CT245=0,0,2)</f>
        <v/>
      </c>
      <c r="CV245" s="859" t="inlineStr">
        <is>
          <t>S/02</t>
        </is>
      </c>
      <c r="CW245" s="859" t="inlineStr">
        <is>
          <t>Dasy6</t>
        </is>
      </c>
      <c r="CX245" s="2038"/>
      <c r="CY245" s="2044"/>
      <c r="CZ245" s="1543">
        <f>10^(CJ245/20)*100-100</f>
        <v/>
      </c>
      <c r="DA245" s="1325">
        <f>IF('Tune-Up'!$H$21="","",'Tune-Up'!$H$21)</f>
        <v/>
      </c>
      <c r="DB245" s="701">
        <f>'2G-3G'!BZ31</f>
        <v/>
      </c>
      <c r="DC245" s="769">
        <f>IF(DA245="","",10^(DA245/10))</f>
        <v/>
      </c>
      <c r="DD245" s="1369">
        <f>IF(ISNUMBER(DB245)=FALSE,"",10^(DB245/10))</f>
        <v/>
      </c>
      <c r="DE245" s="1543">
        <f>IF(AND(ISNUMBER(DC245),ISNUMBER(DD245)),IF(DC245/DD245&gt;1,ROUND((DC245)/DD245,3),1),1)</f>
        <v/>
      </c>
      <c r="DF245" s="1541"/>
      <c r="DG245" s="1541"/>
      <c r="DH245" s="1541"/>
      <c r="DI245" s="1541"/>
      <c r="DJ245" s="1541"/>
      <c r="DK245" s="1541"/>
      <c r="DL245" s="1541"/>
      <c r="DM245" s="1541"/>
      <c r="DN245" s="1541"/>
      <c r="DO245" s="1541"/>
      <c r="DP245" s="1541"/>
      <c r="DQ245" s="1541"/>
      <c r="DR245" s="1541"/>
    </row>
    <row r="246" ht="12.75" x14ac:dyDescent="0.2">
      <c r="A246" s="1541"/>
      <c r="B246" s="1541"/>
      <c r="C246"/>
      <c r="D246" s="130">
        <f>IF(BX$239="Close to Ear","EN 62209-1","EN 62209-2")</f>
        <v/>
      </c>
      <c r="E246" s="130">
        <f>IF(CG246="Close to Ear","2016","2010/A1:2019")</f>
        <v/>
      </c>
      <c r="F246" s="1488" t="inlineStr">
        <is>
          <t>5.1</t>
        </is>
      </c>
      <c r="G246" s="1497"/>
      <c r="H246" s="120">
        <f>BV246</f>
        <v/>
      </c>
      <c r="I246" s="120">
        <f>BW246</f>
        <v/>
      </c>
      <c r="J246" s="687" t="str">
        <f>BT246</f>
        <v>GSM</v>
      </c>
      <c r="K246" s="194">
        <f>BU246</f>
        <v>1800</v>
      </c>
      <c r="L246" s="115"/>
      <c r="M246" s="120">
        <f>BZ246</f>
        <v>0</v>
      </c>
      <c r="N246" s="119"/>
      <c r="O246" s="131"/>
      <c r="P246" s="6597"/>
      <c r="Q246" s="131"/>
      <c r="R246" s="131"/>
      <c r="S246" s="120">
        <f>CG246</f>
        <v>0</v>
      </c>
      <c r="T246" s="120">
        <f>CC246</f>
        <v>885</v>
      </c>
      <c r="U246" s="120">
        <f>CD246</f>
        <v>1784.8</v>
      </c>
      <c r="V246" s="119"/>
      <c r="W246" s="197">
        <f>CK246*100</f>
        <v/>
      </c>
      <c r="X246" s="119"/>
      <c r="Y246" s="119"/>
      <c r="Z246" s="119"/>
      <c r="AA246" s="115"/>
      <c r="AB246" s="115"/>
      <c r="AC246" s="689">
        <f>IF(OR(BX$239="Close to Ear",BX$239="Close to Head"),"Head",IF(BX$239="Extremity","Extremity","Body"))</f>
        <v/>
      </c>
      <c r="AD246" s="690">
        <f>CA246</f>
        <v/>
      </c>
      <c r="AE246" s="688">
        <f>CB246</f>
        <v/>
      </c>
      <c r="AF246" s="115"/>
      <c r="AG246" s="808">
        <f>IF(AZ246="","N/A",IF(CQ246="Pass","P","F"))</f>
        <v/>
      </c>
      <c r="AH246" s="129"/>
      <c r="AI246" s="129"/>
      <c r="AJ246" s="129"/>
      <c r="AK246" s="119"/>
      <c r="AL246" s="115"/>
      <c r="AM246" s="119"/>
      <c r="AN246" s="119"/>
      <c r="AO246" s="692"/>
      <c r="AP246" s="692"/>
      <c r="AQ246" s="692"/>
      <c r="AR246" s="692"/>
      <c r="AS246" s="692"/>
      <c r="AT246" s="691">
        <f>CE246</f>
        <v/>
      </c>
      <c r="AU246" s="691">
        <f>CF246</f>
        <v/>
      </c>
      <c r="AV246" s="813"/>
      <c r="AW246" s="813"/>
      <c r="AX246" s="197">
        <f>CZ246</f>
        <v/>
      </c>
      <c r="AY246" s="197">
        <f>DE246</f>
        <v/>
      </c>
      <c r="AZ246" s="3379">
        <f>CO246</f>
        <v/>
      </c>
      <c r="BA246" s="3380"/>
      <c r="BB246" s="197">
        <f>CP246</f>
        <v/>
      </c>
      <c r="BC246" s="813"/>
      <c r="BD246" s="197">
        <f>CR246</f>
        <v/>
      </c>
      <c r="BE246" s="121">
        <f>CS246</f>
        <v/>
      </c>
      <c r="BF246" s="122">
        <f>CT246*60</f>
        <v/>
      </c>
      <c r="BG246" s="121">
        <f>BE246</f>
        <v/>
      </c>
      <c r="BH246" s="122">
        <f>CU246*60</f>
        <v/>
      </c>
      <c r="BI246" s="122">
        <f>CV246</f>
        <v/>
      </c>
      <c r="BJ246" s="117"/>
      <c r="BK246" s="812">
        <f>Overview!$E$7</f>
        <v/>
      </c>
      <c r="BL246" s="117"/>
      <c r="BM246" s="836">
        <f>CW246</f>
        <v/>
      </c>
      <c r="BN246" s="812">
        <f>Overview!$P$153</f>
        <v/>
      </c>
      <c r="BO246" s="117"/>
      <c r="BP246" s="117"/>
      <c r="BQ246" s="115"/>
      <c r="BR246" s="1478" t="inlineStr">
        <is>
          <t>N/A</t>
        </is>
      </c>
      <c r="BS246" s="1548"/>
      <c r="BT246" s="2075" t="inlineStr">
        <is>
          <t>GSM</t>
        </is>
      </c>
      <c r="BU246" s="2075">
        <v>1800</v>
      </c>
      <c r="BV246" s="419">
        <f>Overview!$H$29</f>
        <v/>
      </c>
      <c r="BW246" s="2016"/>
      <c r="BX246" s="2075"/>
      <c r="BY246" s="2076"/>
      <c r="BZ246" s="2072"/>
      <c r="CA246" s="418" t="str">
        <f>IF(COUNT(CF239:CF244)=0,IF(COUNT(CE239:CE244)=0,"TBD",VLOOKUP(MAX(CE239:CE244),CE239:CI244,5,FALSE)),VLOOKUP(MAX(CF239:CF244),CF239:CI244,4,FALSE))</f>
        <v>TBD</v>
      </c>
      <c r="CB246" s="201">
        <v>5</v>
      </c>
      <c r="CC246" s="857">
        <f>'2G-3G'!BX32</f>
        <v>885</v>
      </c>
      <c r="CD246" s="857">
        <f>'2G-3G'!BY32</f>
        <v>1784.8</v>
      </c>
      <c r="CE246" s="1874"/>
      <c r="CF246" s="1874"/>
      <c r="CG246" s="388" t="str">
        <f>IF(OR($BY$167="",$BY$167=""),"",$BY$167)</f>
        <v/>
      </c>
      <c r="CH246" s="388">
        <f>BZ246</f>
        <v/>
      </c>
      <c r="CI246" s="388">
        <f>CA246</f>
        <v/>
      </c>
      <c r="CJ246" s="2046"/>
      <c r="CK246" s="2047"/>
      <c r="CL246" s="212">
        <f>IF(CF246=""," ",IF(ABS(CE246-CF246)&lt;=0.25,"Valid","Not valid"))</f>
        <v/>
      </c>
      <c r="CM246" s="213">
        <f> IF(CE246="","",IF(AND(CE246&lt;&gt;"",CF246=""),IF(CE246&gt;=2,"Medir+Sig Max","No"),IF(CF246&lt;&gt;"",IF(CF246&gt;=2,"Medir+Sig Max","No"),"")))</f>
        <v/>
      </c>
      <c r="CN246" s="1794"/>
      <c r="CO246" s="221">
        <f>IF(CK246="",IF(AND(CE246="",CF246=""),"",IF(CF246="",IF(DE246&gt;1,ROUND(DE246*CE246,3),CE246),IF(DE246&gt;1,ROUND(DE246*CF246,3),CF246))),IF(AND(CE246="",CF246=""),"",IF(CF246="",IF(DE246&gt;1,ROUND(DE246*CE246*(1/(CK246)),3),CE246*(1/(CK246))),IF(DE246&gt;1,ROUND(DE246*CF246*(1/(CK246)),3),CF246*(1/(CK246))))))</f>
        <v/>
      </c>
      <c r="CP246" s="2048">
        <f>$CP$34</f>
        <v/>
      </c>
      <c r="CQ246" s="1473">
        <f>IF(CO246="","",IF(CO246&gt;CP246,"Fail","Pass"))</f>
        <v/>
      </c>
      <c r="CR246" s="1482">
        <f>IF(AND(MAX(CO239:CO246)=CO246,CO246&lt;&gt;0),COUNT($CR$3:CR245)+1,"")</f>
        <v/>
      </c>
      <c r="CS246" s="1566">
        <f>MyTimestamp(CO246)</f>
        <v/>
      </c>
      <c r="CT246" s="1535">
        <f>IF(CE246="",0,15)+IF(CF246="",0,15)</f>
        <v/>
      </c>
      <c r="CU246" s="1536">
        <f>IF(CT246=0,0,2)</f>
        <v/>
      </c>
      <c r="CV246" s="861" t="inlineStr">
        <is>
          <t>S/02</t>
        </is>
      </c>
      <c r="CW246" s="861" t="inlineStr">
        <is>
          <t>Dasy6</t>
        </is>
      </c>
      <c r="CX246" s="2038"/>
      <c r="CY246" s="2050"/>
      <c r="CZ246" s="1545">
        <f>10^(CJ246/20)*100-100</f>
        <v/>
      </c>
      <c r="DA246" s="1327">
        <f>IF('Tune-Up'!$H$21="","",'Tune-Up'!$H$21)</f>
        <v/>
      </c>
      <c r="DB246" s="703">
        <f>'2G-3G'!BZ32</f>
        <v/>
      </c>
      <c r="DC246" s="771">
        <f>IF(DA246="","",10^(DA246/10))</f>
        <v/>
      </c>
      <c r="DD246" s="1371">
        <f>IF(ISNUMBER(DB246)=FALSE,"",10^(DB246/10))</f>
        <v/>
      </c>
      <c r="DE246" s="1545">
        <f>IF(AND(ISNUMBER(DC246),ISNUMBER(DD246)),IF(DC246/DD246&gt;1,ROUND((DC246)/DD246,3),1),1)</f>
        <v/>
      </c>
      <c r="DF246" s="1541"/>
      <c r="DG246" s="1541"/>
      <c r="DH246" s="1541"/>
      <c r="DI246" s="1541"/>
      <c r="DJ246" s="1541"/>
      <c r="DK246" s="1541"/>
      <c r="DL246" s="1541"/>
      <c r="DM246" s="1541"/>
      <c r="DN246" s="1541"/>
      <c r="DO246" s="1541"/>
      <c r="DP246" s="1541"/>
      <c r="DQ246" s="1541"/>
      <c r="DR246" s="1541"/>
    </row>
    <row r="247" ht="12.75" x14ac:dyDescent="0.2">
      <c r="A247" s="1541"/>
      <c r="B247" s="1541"/>
      <c r="C247"/>
      <c r="D247" s="130">
        <f>IF(BX$239="Close to Ear","EN 62209-1","EN 62209-2")</f>
        <v/>
      </c>
      <c r="E247" s="130">
        <f>IF(CG247="Close to Ear","2016","2010/A1:2019")</f>
        <v/>
      </c>
      <c r="F247" s="1488" t="inlineStr">
        <is>
          <t>5.1</t>
        </is>
      </c>
      <c r="G247" s="1497"/>
      <c r="H247" s="120">
        <f>BV247</f>
        <v/>
      </c>
      <c r="I247" s="120">
        <f>BW247</f>
        <v/>
      </c>
      <c r="J247" s="687">
        <f>BT247</f>
        <v/>
      </c>
      <c r="K247" s="194">
        <f>BU247</f>
        <v/>
      </c>
      <c r="L247" s="115"/>
      <c r="M247" s="120">
        <f>BZ247</f>
        <v/>
      </c>
      <c r="N247" s="119"/>
      <c r="O247" s="131"/>
      <c r="P247" s="6597"/>
      <c r="Q247" s="131"/>
      <c r="R247" s="131"/>
      <c r="S247" s="120">
        <f>CG247</f>
        <v/>
      </c>
      <c r="T247" s="120">
        <f>CC247</f>
        <v/>
      </c>
      <c r="U247" s="120">
        <f>CD247</f>
        <v/>
      </c>
      <c r="V247" s="119"/>
      <c r="W247" s="197">
        <f>CK247*100</f>
        <v/>
      </c>
      <c r="X247" s="119"/>
      <c r="Y247" s="119"/>
      <c r="Z247" s="119"/>
      <c r="AA247" s="115"/>
      <c r="AB247" s="115"/>
      <c r="AC247" s="689">
        <f>IF(OR(BX$239="Close to Ear",BX$239="Close to Head"),"Head",IF(BX$239="Extremity","Extremity","Body"))</f>
        <v/>
      </c>
      <c r="AD247" s="690">
        <f>CA247</f>
        <v/>
      </c>
      <c r="AE247" s="688">
        <f>CB247</f>
        <v/>
      </c>
      <c r="AF247" s="115"/>
      <c r="AG247" s="808">
        <f>IF(AZ247="","N/A",IF(CQ247="Pass","P","F"))</f>
        <v/>
      </c>
      <c r="AH247" s="129"/>
      <c r="AI247" s="129"/>
      <c r="AJ247" s="129"/>
      <c r="AK247" s="119"/>
      <c r="AL247" s="115"/>
      <c r="AM247" s="119"/>
      <c r="AN247" s="119"/>
      <c r="AO247" s="692"/>
      <c r="AP247" s="692"/>
      <c r="AQ247" s="692"/>
      <c r="AR247" s="692"/>
      <c r="AS247" s="692"/>
      <c r="AT247" s="691">
        <f>CE247</f>
        <v/>
      </c>
      <c r="AU247" s="691">
        <f>CF247</f>
        <v/>
      </c>
      <c r="AV247" s="813"/>
      <c r="AW247" s="813"/>
      <c r="AX247" s="197">
        <f>CZ247</f>
        <v/>
      </c>
      <c r="AY247" s="197">
        <f>DE247</f>
        <v/>
      </c>
      <c r="AZ247" s="3379">
        <f>CO247</f>
        <v/>
      </c>
      <c r="BA247" s="3380"/>
      <c r="BB247" s="197">
        <f>CP247</f>
        <v/>
      </c>
      <c r="BC247" s="813"/>
      <c r="BD247" s="197">
        <f>CR247</f>
        <v/>
      </c>
      <c r="BE247" s="121">
        <f>CS247</f>
        <v/>
      </c>
      <c r="BF247" s="122">
        <f>CT247*60</f>
        <v/>
      </c>
      <c r="BG247" s="121">
        <f>BE247</f>
        <v/>
      </c>
      <c r="BH247" s="122">
        <f>CU247*60</f>
        <v/>
      </c>
      <c r="BI247" s="122">
        <f>CV247</f>
        <v/>
      </c>
      <c r="BJ247" s="117"/>
      <c r="BK247" s="812">
        <f>Overview!$E$7</f>
        <v/>
      </c>
      <c r="BL247" s="117"/>
      <c r="BM247" s="836">
        <f>CW247</f>
        <v/>
      </c>
      <c r="BN247" s="812">
        <f>Overview!$P$153</f>
        <v/>
      </c>
      <c r="BO247" s="117"/>
      <c r="BP247" s="117"/>
      <c r="BQ247" s="115"/>
      <c r="BR247" s="1478" t="inlineStr">
        <is>
          <t>N/A</t>
        </is>
      </c>
      <c r="BS247" s="1548"/>
      <c r="BT247" s="2075" t="inlineStr">
        <is>
          <t>GSM</t>
        </is>
      </c>
      <c r="BU247" s="2075">
        <v>1800</v>
      </c>
      <c r="BV247" s="419">
        <f>Overview!$H$29</f>
        <v/>
      </c>
      <c r="BW247" s="2016"/>
      <c r="BX247" s="2075"/>
      <c r="BY247" s="2076"/>
      <c r="BZ247" s="2072"/>
      <c r="CA247" s="418" t="str">
        <f>CONCATENATE(CA245," - Battery check 1")</f>
        <v>TBD - Battery check 1</v>
      </c>
      <c r="CB247" s="201">
        <v>5</v>
      </c>
      <c r="CC247" s="857">
        <f>IF(COUNT($CO$239:$CO$246)=0,"N/A",INDEX($CC$239:$CC$246,MATCH(MAX($CO$239:$CO$246),$CO$239:$CO$246,0)))</f>
        <v/>
      </c>
      <c r="CD247" s="857">
        <f>IF(COUNT($CO$239:$CO$246)=0,"N/A",INDEX($CD$239:$CD$246,MATCH(MAX($CO$239:$CO$246),$CO$239:$CO$246,0)))</f>
        <v/>
      </c>
      <c r="CE247" s="1874"/>
      <c r="CF247" s="1874"/>
      <c r="CG247" s="388" t="inlineStr">
        <is>
          <t>N/A</t>
        </is>
      </c>
      <c r="CH247" s="388">
        <f>BZ247</f>
        <v/>
      </c>
      <c r="CI247" s="388">
        <f>CA247</f>
        <v/>
      </c>
      <c r="CJ247" s="2046"/>
      <c r="CK247" s="2047"/>
      <c r="CL247" s="212">
        <f>IF(CF247=""," ",IF(ABS(CE247-CF247)&lt;=0.25,"Valid","Not valid"))</f>
        <v/>
      </c>
      <c r="CM247" s="213">
        <f> IF(CE247="","",IF(AND(CE247&lt;&gt;"",CF247=""),IF(CE247&gt;=2,"Medir+Sig Max","No"),IF(CF247&lt;&gt;"",IF(CF247&gt;=2,"Medir+Sig Max","No"),"")))</f>
        <v/>
      </c>
      <c r="CN247" s="1794"/>
      <c r="CO247" s="221">
        <f>IF(CK247="",IF(AND(CE247="",CF247=""),"",IF(CF247="",IF(DE247&gt;1,ROUND(DE247*CE247,3),CE247),IF(DE247&gt;1,ROUND(DE247*CF247,3),CF247))),IF(AND(CE247="",CF247=""),"",IF(CF247="",IF(DE247&gt;1,ROUND(DE247*CE247*(1/(CK247)),3),CE247*(1/(CK247))),IF(DE247&gt;1,ROUND(DE247*CF247*(1/(CK247)),3),CF247*(1/(CK247))))))</f>
        <v/>
      </c>
      <c r="CP247" s="2048">
        <f>$CP$34</f>
        <v/>
      </c>
      <c r="CQ247" s="1473">
        <f>IF(CO247="","",IF(CO247&gt;CP247,"Fail","Pass"))</f>
        <v/>
      </c>
      <c r="CR247" s="1482">
        <f>IF(CO247&lt;&gt;"",MAX($CR$3:CR246)+1,"")</f>
        <v/>
      </c>
      <c r="CS247" s="1566">
        <f>MyTimestamp(CQ247)</f>
        <v/>
      </c>
      <c r="CT247" s="1535">
        <f>IF(COUNT(CE247:CF247)=1,15,IF(COUNT(CE247:CF247)=0,0,30))</f>
        <v/>
      </c>
      <c r="CU247" s="1536">
        <f>IF(CT247=0,0,2)</f>
        <v/>
      </c>
      <c r="CV247" s="861" t="inlineStr">
        <is>
          <t>S/02</t>
        </is>
      </c>
      <c r="CW247" s="861" t="inlineStr">
        <is>
          <t>Dasy6</t>
        </is>
      </c>
      <c r="CX247" s="2038"/>
      <c r="CY247" s="2050"/>
      <c r="CZ247" s="1545">
        <f>10^(CJ247/20)*100-100</f>
        <v/>
      </c>
      <c r="DA247" s="1327">
        <f>IF('Tune-Up'!$H$21="","",'Tune-Up'!$H$21)</f>
        <v/>
      </c>
      <c r="DB247" s="703">
        <f>IF(COUNT($CO$239:$CO$246)=0,"N/A",IFERROR(INDEX($DB$239:$DB$246,MATCH(MAX($CO$239:$CO$246),$CO$239:$CO$246,0)),"N/A"))</f>
        <v/>
      </c>
      <c r="DC247" s="771">
        <f>IF(DA247="","",10^(DA247/10))</f>
        <v/>
      </c>
      <c r="DD247" s="1371">
        <f>IF(ISNUMBER(DB247)=FALSE,"N/A",10^(DB247/10))</f>
        <v/>
      </c>
      <c r="DE247" s="1545">
        <f>IF(AND(ISNUMBER(DC247),ISNUMBER(DD247)),IF(DC247/DD247&gt;1,ROUND((DC247)/DD247,3),1),1)</f>
        <v/>
      </c>
      <c r="DF247" s="1541"/>
      <c r="DG247" s="1541"/>
      <c r="DH247" s="1541"/>
      <c r="DI247" s="1541"/>
      <c r="DJ247" s="1541"/>
      <c r="DK247" s="1541"/>
      <c r="DL247" s="1541"/>
      <c r="DM247" s="1541"/>
      <c r="DN247" s="1541"/>
      <c r="DO247" s="1541"/>
      <c r="DP247" s="1541"/>
      <c r="DQ247" s="1541"/>
      <c r="DR247" s="1541"/>
    </row>
    <row r="248" ht="12.75" x14ac:dyDescent="0.2">
      <c r="A248" s="1541"/>
      <c r="B248" s="1541"/>
      <c r="C248"/>
      <c r="D248" s="130">
        <f>IF(BX$239="Close to Ear","EN 62209-1","EN 62209-2")</f>
        <v/>
      </c>
      <c r="E248" s="130">
        <f>IF(CG248="Close to Ear","2016","2010/A1:2019")</f>
        <v/>
      </c>
      <c r="F248" s="1488" t="inlineStr">
        <is>
          <t>5.1</t>
        </is>
      </c>
      <c r="G248" s="1497"/>
      <c r="H248" s="120">
        <f>BV248</f>
        <v/>
      </c>
      <c r="I248" s="120">
        <f>BW248</f>
        <v/>
      </c>
      <c r="J248" s="687">
        <f>BT248</f>
        <v/>
      </c>
      <c r="K248" s="194">
        <f>BU248</f>
        <v/>
      </c>
      <c r="L248" s="115"/>
      <c r="M248" s="120">
        <f>BZ248</f>
        <v/>
      </c>
      <c r="N248" s="119"/>
      <c r="O248" s="131"/>
      <c r="P248" s="6597"/>
      <c r="Q248" s="131"/>
      <c r="R248" s="131"/>
      <c r="S248" s="120">
        <f>CG248</f>
        <v/>
      </c>
      <c r="T248" s="120">
        <f>CC248</f>
        <v/>
      </c>
      <c r="U248" s="120">
        <f>CD248</f>
        <v/>
      </c>
      <c r="V248" s="119"/>
      <c r="W248" s="197">
        <f>CK248*100</f>
        <v/>
      </c>
      <c r="X248" s="119"/>
      <c r="Y248" s="119"/>
      <c r="Z248" s="119"/>
      <c r="AA248" s="115"/>
      <c r="AB248" s="115"/>
      <c r="AC248" s="689">
        <f>IF(OR(BX$239="Close to Ear",BX$239="Close to Head"),"Head",IF(BX$239="Extremity","Extremity","Body"))</f>
        <v/>
      </c>
      <c r="AD248" s="690">
        <f>CA248</f>
        <v/>
      </c>
      <c r="AE248" s="688">
        <f>CB248</f>
        <v/>
      </c>
      <c r="AF248" s="115"/>
      <c r="AG248" s="808">
        <f>IF(AZ248="","N/A",IF(CQ248="Pass","P","F"))</f>
        <v/>
      </c>
      <c r="AH248" s="129"/>
      <c r="AI248" s="129"/>
      <c r="AJ248" s="129"/>
      <c r="AK248" s="119"/>
      <c r="AL248" s="115"/>
      <c r="AM248" s="119"/>
      <c r="AN248" s="119"/>
      <c r="AO248" s="692"/>
      <c r="AP248" s="692"/>
      <c r="AQ248" s="692"/>
      <c r="AR248" s="692"/>
      <c r="AS248" s="692"/>
      <c r="AT248" s="691">
        <f>CE248</f>
        <v/>
      </c>
      <c r="AU248" s="691">
        <f>CF248</f>
        <v/>
      </c>
      <c r="AV248" s="813"/>
      <c r="AW248" s="813"/>
      <c r="AX248" s="197">
        <f>CZ248</f>
        <v/>
      </c>
      <c r="AY248" s="197">
        <f>DE248</f>
        <v/>
      </c>
      <c r="AZ248" s="3379">
        <f>CO248</f>
        <v/>
      </c>
      <c r="BA248" s="3380"/>
      <c r="BB248" s="197">
        <f>CP248</f>
        <v/>
      </c>
      <c r="BC248" s="813"/>
      <c r="BD248" s="197">
        <f>CR248</f>
        <v/>
      </c>
      <c r="BE248" s="121">
        <f>CS248</f>
        <v/>
      </c>
      <c r="BF248" s="122">
        <f>CT248*60</f>
        <v/>
      </c>
      <c r="BG248" s="121">
        <f>BE248</f>
        <v/>
      </c>
      <c r="BH248" s="122">
        <f>CU248*60</f>
        <v/>
      </c>
      <c r="BI248" s="122">
        <f>CV248</f>
        <v/>
      </c>
      <c r="BJ248" s="117"/>
      <c r="BK248" s="812">
        <f>Overview!$E$7</f>
        <v/>
      </c>
      <c r="BL248" s="117"/>
      <c r="BM248" s="836">
        <f>CW248</f>
        <v/>
      </c>
      <c r="BN248" s="812">
        <f>Overview!$P$153</f>
        <v/>
      </c>
      <c r="BO248" s="117"/>
      <c r="BP248" s="117"/>
      <c r="BQ248" s="115"/>
      <c r="BR248" s="1478" t="inlineStr">
        <is>
          <t>N/A</t>
        </is>
      </c>
      <c r="BS248" s="1548"/>
      <c r="BT248" s="2075" t="inlineStr">
        <is>
          <t>GSM</t>
        </is>
      </c>
      <c r="BU248" s="2075">
        <v>1800</v>
      </c>
      <c r="BV248" s="419">
        <f>Overview!$H$29</f>
        <v/>
      </c>
      <c r="BW248" s="2016"/>
      <c r="BX248" s="2075"/>
      <c r="BY248" s="2076"/>
      <c r="BZ248" s="2072"/>
      <c r="CA248" s="418" t="str">
        <f>CONCATENATE(CA246," - Battery check 2")</f>
        <v>TBD - Battery check 2</v>
      </c>
      <c r="CB248" s="201">
        <v>5</v>
      </c>
      <c r="CC248" s="857">
        <f>IF(COUNT($CO$239:$CO$246)=0,"N/A",INDEX($CC$239:$CC$246,MATCH(MAX($CO$239:$CO$246),$CO$239:$CO$246,0)))</f>
        <v/>
      </c>
      <c r="CD248" s="857">
        <f>IF(COUNT($CO$239:$CO$246)=0,"N/A",INDEX($CD$239:$CD$246,MATCH(MAX($CO$239:$CO$246),$CO$239:$CO$246,0)))</f>
        <v/>
      </c>
      <c r="CE248" s="1874"/>
      <c r="CF248" s="1874"/>
      <c r="CG248" s="388" t="inlineStr">
        <is>
          <t>N/A</t>
        </is>
      </c>
      <c r="CH248" s="388">
        <f>BZ248</f>
        <v/>
      </c>
      <c r="CI248" s="388">
        <f>CA248</f>
        <v/>
      </c>
      <c r="CJ248" s="2046"/>
      <c r="CK248" s="2047"/>
      <c r="CL248" s="212">
        <f>IF(CF248=""," ",IF(ABS(CE248-CF248)&lt;=0.25,"Valid","Not valid"))</f>
        <v/>
      </c>
      <c r="CM248" s="213">
        <f> IF(CE248="","",IF(AND(CE248&lt;&gt;"",CF248=""),IF(CE248&gt;=2,"Medir+Sig Max","No"),IF(CF248&lt;&gt;"",IF(CF248&gt;=2,"Medir+Sig Max","No"),"")))</f>
        <v/>
      </c>
      <c r="CN248" s="1794"/>
      <c r="CO248" s="221">
        <f>IF(CK248="",IF(AND(CE248="",CF248=""),"",IF(CF248="",IF(DE248&gt;1,ROUND(DE248*CE248,3),CE248),IF(DE248&gt;1,ROUND(DE248*CF248,3),CF248))),IF(AND(CE248="",CF248=""),"",IF(CF248="",IF(DE248&gt;1,ROUND(DE248*CE248*(1/(CK248)),3),CE248*(1/(CK248))),IF(DE248&gt;1,ROUND(DE248*CF248*(1/(CK248)),3),CF248*(1/(CK248))))))</f>
        <v/>
      </c>
      <c r="CP248" s="2048">
        <f>$CP$34</f>
        <v/>
      </c>
      <c r="CQ248" s="1473">
        <f>IF(CO248="","",IF(CO248&gt;CP248,"Fail","Pass"))</f>
        <v/>
      </c>
      <c r="CR248" s="1482">
        <f>IF(CO248&lt;&gt;"",MAX($CR$3:CR247)+1,"")</f>
        <v/>
      </c>
      <c r="CS248" s="1566">
        <f>MyTimestamp(CQ248)</f>
        <v/>
      </c>
      <c r="CT248" s="1535">
        <f>IF(COUNT(CE248:CF248)=1,15,IF(COUNT(CE248:CF248)=0,0,30))</f>
        <v/>
      </c>
      <c r="CU248" s="1536">
        <f>IF(CT248=0,0,2)</f>
        <v/>
      </c>
      <c r="CV248" s="861" t="inlineStr">
        <is>
          <t>S/02</t>
        </is>
      </c>
      <c r="CW248" s="861" t="inlineStr">
        <is>
          <t>Dasy6</t>
        </is>
      </c>
      <c r="CX248" s="2038"/>
      <c r="CY248" s="2050"/>
      <c r="CZ248" s="1545">
        <f>10^(CJ248/20)*100-100</f>
        <v/>
      </c>
      <c r="DA248" s="1327">
        <f>IF('Tune-Up'!$H$21="","",'Tune-Up'!$H$21)</f>
        <v/>
      </c>
      <c r="DB248" s="703">
        <f>IF(COUNT($CO$239:$CO$246)=0,"N/A",IFERROR(INDEX($DB$239:$DB$246,MATCH(MAX($CO$239:$CO$246),$CO$239:$CO$246,0)),"N/A"))</f>
        <v/>
      </c>
      <c r="DC248" s="771">
        <f>IF(DA248="","",10^(DA248/10))</f>
        <v/>
      </c>
      <c r="DD248" s="1371">
        <f>IF(ISNUMBER(DB248)=FALSE,"N/A",10^(DB248/10))</f>
        <v/>
      </c>
      <c r="DE248" s="1545">
        <f>IF(AND(ISNUMBER(DC248),ISNUMBER(DD248)),IF(DC248/DD248&gt;1,ROUND((DC248)/DD248,3),1),1)</f>
        <v/>
      </c>
      <c r="DF248" s="1541"/>
      <c r="DG248" s="1541"/>
      <c r="DH248" s="1541"/>
      <c r="DI248" s="1541"/>
      <c r="DJ248" s="1541"/>
      <c r="DK248" s="1541"/>
      <c r="DL248" s="1541"/>
      <c r="DM248" s="1541"/>
      <c r="DN248" s="1541"/>
      <c r="DO248" s="1541"/>
      <c r="DP248" s="1541"/>
      <c r="DQ248" s="1541"/>
      <c r="DR248" s="1541"/>
    </row>
    <row r="249" ht="12.75" x14ac:dyDescent="0.2">
      <c r="A249" s="1541"/>
      <c r="B249" s="1541"/>
      <c r="C249"/>
      <c r="D249" s="130">
        <f>IF(BX$249="Close to Ear","EN 62209-1","EN 62209-2")</f>
        <v/>
      </c>
      <c r="E249" s="130">
        <f>IF(CG249="Close to Ear","2016","2010/A1:2019")</f>
        <v/>
      </c>
      <c r="F249" s="1488" t="inlineStr">
        <is>
          <t>5.1</t>
        </is>
      </c>
      <c r="G249" s="1497"/>
      <c r="H249" s="120">
        <f>BV249</f>
        <v/>
      </c>
      <c r="I249" s="120">
        <f>BW249</f>
        <v/>
      </c>
      <c r="J249" s="687" t="str">
        <f>BT249</f>
        <v>GSM</v>
      </c>
      <c r="K249" s="194">
        <f>BU249</f>
        <v>1800</v>
      </c>
      <c r="L249" s="115"/>
      <c r="M249" s="120">
        <f>BZ249</f>
        <v>0</v>
      </c>
      <c r="N249" s="119"/>
      <c r="O249" s="131"/>
      <c r="P249" s="6597"/>
      <c r="Q249" s="131"/>
      <c r="R249" s="131"/>
      <c r="S249" s="120">
        <f>CG249</f>
        <v>0</v>
      </c>
      <c r="T249" s="120">
        <f>CC249</f>
        <v>698</v>
      </c>
      <c r="U249" s="120">
        <f>CD249</f>
        <v>1747.4</v>
      </c>
      <c r="V249" s="119"/>
      <c r="W249" s="197">
        <f>CK249*100</f>
        <v/>
      </c>
      <c r="X249" s="119"/>
      <c r="Y249" s="119"/>
      <c r="Z249" s="119"/>
      <c r="AA249" s="115"/>
      <c r="AB249" s="115"/>
      <c r="AC249" s="689">
        <f>IF(OR(BX$249="Close to Ear",BX$249="Close to Head"),"Head",IF(BX$249="Extremity","Extremity","Body"))</f>
        <v/>
      </c>
      <c r="AD249" s="690">
        <f>CA249</f>
        <v/>
      </c>
      <c r="AE249" s="688">
        <f>CB249</f>
        <v/>
      </c>
      <c r="AF249" s="115"/>
      <c r="AG249" s="808">
        <f>IF(AZ249="","N/A",IF(CQ249="Pass","P","F"))</f>
        <v/>
      </c>
      <c r="AH249" s="129"/>
      <c r="AI249" s="129"/>
      <c r="AJ249" s="129"/>
      <c r="AK249" s="119"/>
      <c r="AL249" s="115"/>
      <c r="AM249" s="119"/>
      <c r="AN249" s="119"/>
      <c r="AO249" s="692"/>
      <c r="AP249" s="692"/>
      <c r="AQ249" s="692"/>
      <c r="AR249" s="692"/>
      <c r="AS249" s="692"/>
      <c r="AT249" s="691">
        <f>CE249</f>
        <v/>
      </c>
      <c r="AU249" s="691">
        <f>CF249</f>
        <v/>
      </c>
      <c r="AV249" s="813"/>
      <c r="AW249" s="813"/>
      <c r="AX249" s="197">
        <f>CZ249</f>
        <v/>
      </c>
      <c r="AY249" s="197">
        <f>DE249</f>
        <v/>
      </c>
      <c r="AZ249" s="3379">
        <f>CO249</f>
        <v/>
      </c>
      <c r="BA249" s="3380"/>
      <c r="BB249" s="197">
        <f>CP249</f>
        <v/>
      </c>
      <c r="BC249" s="813"/>
      <c r="BD249" s="197">
        <f>CR249</f>
        <v/>
      </c>
      <c r="BE249" s="121">
        <f>CS249</f>
        <v/>
      </c>
      <c r="BF249" s="122">
        <f>CT249*60</f>
        <v/>
      </c>
      <c r="BG249" s="121">
        <f>BE249</f>
        <v/>
      </c>
      <c r="BH249" s="122">
        <f>CU249*60</f>
        <v/>
      </c>
      <c r="BI249" s="122">
        <f>CV249</f>
        <v/>
      </c>
      <c r="BJ249" s="117"/>
      <c r="BK249" s="812">
        <f>Overview!$E$7</f>
        <v/>
      </c>
      <c r="BL249" s="117"/>
      <c r="BM249" s="836">
        <f>CW249</f>
        <v/>
      </c>
      <c r="BN249" s="812">
        <f>Overview!$P$153</f>
        <v/>
      </c>
      <c r="BO249" s="117"/>
      <c r="BP249" s="117"/>
      <c r="BQ249" s="115"/>
      <c r="BR249" s="1478" t="inlineStr">
        <is>
          <t>N/A</t>
        </is>
      </c>
      <c r="BS249" s="1548"/>
      <c r="BT249" s="2067" t="inlineStr">
        <is>
          <t>GSM</t>
        </is>
      </c>
      <c r="BU249" s="2067">
        <v>1800</v>
      </c>
      <c r="BV249" s="1306">
        <f>Overview!$H$30</f>
        <v/>
      </c>
      <c r="BW249" s="2007"/>
      <c r="BX249" s="7674" t="inlineStr">
        <is>
          <t>Close to Ear</t>
        </is>
      </c>
      <c r="BY249" s="2068"/>
      <c r="BZ249" s="2068"/>
      <c r="CA249" s="2069" t="inlineStr">
        <is>
          <t>Left Cheek</t>
        </is>
      </c>
      <c r="CB249" s="2069">
        <v>0</v>
      </c>
      <c r="CC249" s="856">
        <f>'2G-3G'!BX33</f>
        <v>698</v>
      </c>
      <c r="CD249" s="856">
        <f>'2G-3G'!BY33</f>
        <v>1747.4</v>
      </c>
      <c r="CE249" s="1522"/>
      <c r="CF249" s="1522"/>
      <c r="CG249" s="386" t="str">
        <f>IF(OR($BY$167="",$BY$167=""),"",$BY$167)</f>
        <v/>
      </c>
      <c r="CH249" s="386">
        <f>BZ249</f>
        <v/>
      </c>
      <c r="CI249" s="386">
        <f>CA249</f>
        <v/>
      </c>
      <c r="CJ249" s="1526"/>
      <c r="CK249" s="2070"/>
      <c r="CL249" s="203">
        <f>IF(CF249=""," ",IF(ABS(CE249-CF249)&lt;=0.125,"Valid","Not valid"))</f>
        <v/>
      </c>
      <c r="CM249" s="204">
        <f> IF(CE249="","",IF(AND(CE249&lt;&gt;"",CF249=""),IF(CE249&gt;=1,"Medir+Sig Max","No"),IF(CF249&lt;&gt;"",IF(CF249&gt;=1,"Medir+Sig Max","No"),"")))</f>
        <v/>
      </c>
      <c r="CN249" s="1798"/>
      <c r="CO249" s="219">
        <f>IF(CK249="",IF(AND(CE249="",CF249=""),"",IF(CF249="",IF(DE249&gt;1,ROUND(DE249*CE249,3),CE249),IF(DE249&gt;1,ROUND(DE249*CF249,3),CF249))),IF(AND(CE249="",CF249=""),"",IF(CF249="",IF(DE249&gt;1,ROUND(DE249*CE249*(1/(CK249)),3),CE249*(1/(CK249))),IF(DE249&gt;1,ROUND(DE249*CF249*(1/(CK249)),3),CF249*(1/(CK249))))))</f>
        <v/>
      </c>
      <c r="CP249" s="2037">
        <f>$CP$3</f>
        <v/>
      </c>
      <c r="CQ249" s="1471">
        <f>IF(CO249="","",IF(CO249&gt;CP249,"Fail","Pass"))</f>
        <v/>
      </c>
      <c r="CR249" s="1480">
        <f>IF(AND(MAX(CO249:CO254)=CO249,CO249&lt;&gt;0),COUNT($CR$3:CR246)+1,"")</f>
        <v/>
      </c>
      <c r="CS249" s="1564">
        <f>MyTimestamp(CO249)</f>
        <v/>
      </c>
      <c r="CT249" s="1529">
        <f>IF(CE249="",0,15)+IF(CF249="",0,15)</f>
        <v/>
      </c>
      <c r="CU249" s="1530">
        <f>IF(CT249=0,0,2)</f>
        <v/>
      </c>
      <c r="CV249" s="862" t="inlineStr">
        <is>
          <t>S/02</t>
        </is>
      </c>
      <c r="CW249" s="862" t="inlineStr">
        <is>
          <t>Dasy6</t>
        </is>
      </c>
      <c r="CX249" s="2038"/>
      <c r="CY249" s="2039"/>
      <c r="CZ249" s="1542">
        <f>10^(CJ249/20)*100-100</f>
        <v/>
      </c>
      <c r="DA249" s="1324">
        <f>IF('Tune-Up'!$H$21="","",'Tune-Up'!$H$21)</f>
        <v/>
      </c>
      <c r="DB249" s="700">
        <f>'2G-3G'!BZ33</f>
        <v/>
      </c>
      <c r="DC249" s="768">
        <f>IF(DA249="","",10^(DA249/10))</f>
        <v/>
      </c>
      <c r="DD249" s="1368">
        <f>IF(ISNUMBER(DB249)=FALSE,"",10^(DB249/10))</f>
        <v/>
      </c>
      <c r="DE249" s="1542">
        <f>IF(AND(ISNUMBER(DC249),ISNUMBER(DD249)),IF(DC249/DD249&gt;1,ROUND((DC249)/DD249,3),1),1)</f>
        <v/>
      </c>
      <c r="DF249" s="1541"/>
      <c r="DG249" s="1541"/>
      <c r="DH249" s="1541"/>
      <c r="DI249" s="1541"/>
      <c r="DJ249" s="1541"/>
      <c r="DK249" s="1541"/>
      <c r="DL249" s="1541"/>
      <c r="DM249" s="1541"/>
      <c r="DN249" s="1541"/>
      <c r="DO249" s="1541"/>
      <c r="DP249" s="1541"/>
      <c r="DQ249" s="1541"/>
      <c r="DR249" s="1541"/>
    </row>
    <row r="250" ht="12.75" x14ac:dyDescent="0.2">
      <c r="A250" s="1541"/>
      <c r="B250" s="1541"/>
      <c r="C250"/>
      <c r="D250" s="130">
        <f>IF(BX$249="Close to Ear","EN 62209-1","EN 62209-2")</f>
        <v/>
      </c>
      <c r="E250" s="130">
        <f>IF(CG250="Close to Ear","2016","2010/A1:2019")</f>
        <v/>
      </c>
      <c r="F250" s="1488" t="inlineStr">
        <is>
          <t>5.1</t>
        </is>
      </c>
      <c r="G250" s="1497"/>
      <c r="H250" s="120">
        <f>BV250</f>
        <v/>
      </c>
      <c r="I250" s="120">
        <f>BW250</f>
        <v/>
      </c>
      <c r="J250" s="687" t="str">
        <f>BT250</f>
        <v>GSM</v>
      </c>
      <c r="K250" s="194">
        <f>BU250</f>
        <v>1800</v>
      </c>
      <c r="L250" s="115"/>
      <c r="M250" s="120">
        <f>BZ250</f>
        <v>0</v>
      </c>
      <c r="N250" s="119"/>
      <c r="O250" s="131"/>
      <c r="P250" s="6597"/>
      <c r="Q250" s="131"/>
      <c r="R250" s="131"/>
      <c r="S250" s="120">
        <f>CG250</f>
        <v>0</v>
      </c>
      <c r="T250" s="120">
        <f>CC250</f>
        <v>698</v>
      </c>
      <c r="U250" s="120">
        <f>CD250</f>
        <v>1747.4</v>
      </c>
      <c r="V250" s="119"/>
      <c r="W250" s="197">
        <f>CK250*100</f>
        <v/>
      </c>
      <c r="X250" s="119"/>
      <c r="Y250" s="119"/>
      <c r="Z250" s="119"/>
      <c r="AA250" s="115"/>
      <c r="AB250" s="115"/>
      <c r="AC250" s="689">
        <f>IF(OR(BX$249="Close to Ear",BX$249="Close to Head"),"Head",IF(BX$249="Extremity","Extremity","Body"))</f>
        <v/>
      </c>
      <c r="AD250" s="690">
        <f>CA250</f>
        <v/>
      </c>
      <c r="AE250" s="688">
        <f>CB250</f>
        <v/>
      </c>
      <c r="AF250" s="115"/>
      <c r="AG250" s="808">
        <f>IF(AZ250="","N/A",IF(CQ250="Pass","P","F"))</f>
        <v/>
      </c>
      <c r="AH250" s="129"/>
      <c r="AI250" s="129"/>
      <c r="AJ250" s="129"/>
      <c r="AK250" s="119"/>
      <c r="AL250" s="115"/>
      <c r="AM250" s="119"/>
      <c r="AN250" s="119"/>
      <c r="AO250" s="692"/>
      <c r="AP250" s="692"/>
      <c r="AQ250" s="692"/>
      <c r="AR250" s="692"/>
      <c r="AS250" s="692"/>
      <c r="AT250" s="691">
        <f>CE250</f>
        <v/>
      </c>
      <c r="AU250" s="691">
        <f>CF250</f>
        <v/>
      </c>
      <c r="AV250" s="813"/>
      <c r="AW250" s="813"/>
      <c r="AX250" s="197">
        <f>CZ250</f>
        <v/>
      </c>
      <c r="AY250" s="197">
        <f>DE250</f>
        <v/>
      </c>
      <c r="AZ250" s="3379">
        <f>CO250</f>
        <v/>
      </c>
      <c r="BA250" s="3380"/>
      <c r="BB250" s="197">
        <f>CP250</f>
        <v/>
      </c>
      <c r="BC250" s="813"/>
      <c r="BD250" s="197">
        <f>CR250</f>
        <v/>
      </c>
      <c r="BE250" s="121">
        <f>CS250</f>
        <v/>
      </c>
      <c r="BF250" s="122">
        <f>CT250*60</f>
        <v/>
      </c>
      <c r="BG250" s="121">
        <f>BE250</f>
        <v/>
      </c>
      <c r="BH250" s="122">
        <f>CU250*60</f>
        <v/>
      </c>
      <c r="BI250" s="122">
        <f>CV250</f>
        <v/>
      </c>
      <c r="BJ250" s="117"/>
      <c r="BK250" s="812">
        <f>Overview!$E$7</f>
        <v/>
      </c>
      <c r="BL250" s="117"/>
      <c r="BM250" s="836">
        <f>CW250</f>
        <v/>
      </c>
      <c r="BN250" s="812">
        <f>Overview!$P$153</f>
        <v/>
      </c>
      <c r="BO250" s="117"/>
      <c r="BP250" s="117"/>
      <c r="BQ250" s="115"/>
      <c r="BR250" s="1478" t="inlineStr">
        <is>
          <t>N/A</t>
        </is>
      </c>
      <c r="BS250" s="1548"/>
      <c r="BT250" s="2071" t="inlineStr">
        <is>
          <t>GSM</t>
        </is>
      </c>
      <c r="BU250" s="2071">
        <v>1800</v>
      </c>
      <c r="BV250" s="415">
        <f>Overview!$H$30</f>
        <v/>
      </c>
      <c r="BW250" s="2010"/>
      <c r="BX250" s="2071"/>
      <c r="BY250" s="2072"/>
      <c r="BZ250" s="2072"/>
      <c r="CA250" s="2073" t="inlineStr">
        <is>
          <t>Left Tilt</t>
        </is>
      </c>
      <c r="CB250" s="2073">
        <v>0</v>
      </c>
      <c r="CC250" s="902">
        <f>'2G-3G'!BX33</f>
        <v>698</v>
      </c>
      <c r="CD250" s="902">
        <f>'2G-3G'!BY33</f>
        <v>1747.4</v>
      </c>
      <c r="CE250" s="1523"/>
      <c r="CF250" s="1523"/>
      <c r="CG250" s="387" t="str">
        <f>IF(OR($BY$167="",$BY$167=""),"",$BY$167)</f>
        <v/>
      </c>
      <c r="CH250" s="387">
        <f>BZ250</f>
        <v/>
      </c>
      <c r="CI250" s="387">
        <f>CA250</f>
        <v/>
      </c>
      <c r="CJ250" s="1527"/>
      <c r="CK250" s="2042"/>
      <c r="CL250" s="206">
        <f>IF(CF250=""," ",IF(ABS(CE250-CF250)&lt;=0.125,"Valid","Not valid"))</f>
        <v/>
      </c>
      <c r="CM250" s="207">
        <f> IF(CE250="","",IF(AND(CE250&lt;&gt;"",CF250=""),IF(CE250&gt;=1,"Medir+Sig Max","No"),IF(CF250&lt;&gt;"",IF(CF250&gt;=1,"Medir+Sig Max","No"),"")))</f>
        <v/>
      </c>
      <c r="CN250" s="1787"/>
      <c r="CO250" s="220">
        <f>IF(CK250="",IF(AND(CE250="",CF250=""),"",IF(CF250="",IF(DE250&gt;1,ROUND(DE250*CE250,3),CE250),IF(DE250&gt;1,ROUND(DE250*CF250,3),CF250))),IF(AND(CE250="",CF250=""),"",IF(CF250="",IF(DE250&gt;1,ROUND(DE250*CE250*(1/(CK250)),3),CE250*(1/(CK250))),IF(DE250&gt;1,ROUND(DE250*CF250*(1/(CK250)),3),CF250*(1/(CK250))))))</f>
        <v/>
      </c>
      <c r="CP250" s="2043">
        <f>$CP$3</f>
        <v/>
      </c>
      <c r="CQ250" s="1472">
        <f>IF(CO250="","",IF(CO250&gt;CP250,"Fail","Pass"))</f>
        <v/>
      </c>
      <c r="CR250" s="1481">
        <f>IF(AND(MAX(CO249:CO254)=CO250,CO250&lt;&gt;0),COUNT($CR$3:CR249)+1,"")</f>
        <v/>
      </c>
      <c r="CS250" s="1565">
        <f>MyTimestamp(CO250)</f>
        <v/>
      </c>
      <c r="CT250" s="1531">
        <f>IF(CE250="",0,15)+IF(CF250="",0,15)</f>
        <v/>
      </c>
      <c r="CU250" s="1532">
        <f>IF(CT250=0,0,2)</f>
        <v/>
      </c>
      <c r="CV250" s="859" t="inlineStr">
        <is>
          <t>S/02</t>
        </is>
      </c>
      <c r="CW250" s="859" t="inlineStr">
        <is>
          <t>Dasy6</t>
        </is>
      </c>
      <c r="CX250" s="2038"/>
      <c r="CY250" s="2044"/>
      <c r="CZ250" s="1543">
        <f>10^(CJ250/20)*100-100</f>
        <v/>
      </c>
      <c r="DA250" s="1325">
        <f>IF('Tune-Up'!$H$21="","",'Tune-Up'!$H$21)</f>
        <v/>
      </c>
      <c r="DB250" s="701">
        <f>'2G-3G'!BZ33</f>
        <v/>
      </c>
      <c r="DC250" s="769">
        <f>IF(DA250="","",10^(DA250/10))</f>
        <v/>
      </c>
      <c r="DD250" s="1369">
        <f>IF(ISNUMBER(DB250)=FALSE,"",10^(DB250/10))</f>
        <v/>
      </c>
      <c r="DE250" s="1543">
        <f>IF(AND(ISNUMBER(DC250),ISNUMBER(DD250)),IF(DC250/DD250&gt;1,ROUND((DC250)/DD250,3),1),1)</f>
        <v/>
      </c>
      <c r="DF250" s="1541"/>
      <c r="DG250" s="1541"/>
      <c r="DH250" s="1541"/>
      <c r="DI250" s="1541"/>
      <c r="DJ250" s="1541"/>
      <c r="DK250" s="1541"/>
      <c r="DL250" s="1541"/>
      <c r="DM250" s="1541"/>
      <c r="DN250" s="1541"/>
      <c r="DO250" s="1541"/>
      <c r="DP250" s="1541"/>
      <c r="DQ250" s="1541"/>
      <c r="DR250" s="1541"/>
    </row>
    <row r="251" ht="12.75" x14ac:dyDescent="0.2">
      <c r="A251" s="1541"/>
      <c r="B251" s="1541"/>
      <c r="C251"/>
      <c r="D251" s="130">
        <f>IF(BX$249="Close to Ear","EN 62209-1","EN 62209-2")</f>
        <v/>
      </c>
      <c r="E251" s="130">
        <f>IF(CG251="Close to Ear","2016","2010/A1:2019")</f>
        <v/>
      </c>
      <c r="F251" s="1488" t="inlineStr">
        <is>
          <t>5.1</t>
        </is>
      </c>
      <c r="G251" s="1497"/>
      <c r="H251" s="120">
        <f>BV251</f>
        <v/>
      </c>
      <c r="I251" s="120">
        <f>BW251</f>
        <v/>
      </c>
      <c r="J251" s="687" t="str">
        <f>BT251</f>
        <v>GSM</v>
      </c>
      <c r="K251" s="194">
        <f>BU251</f>
        <v>1800</v>
      </c>
      <c r="L251" s="115"/>
      <c r="M251" s="120">
        <f>BZ251</f>
        <v>0</v>
      </c>
      <c r="N251" s="119"/>
      <c r="O251" s="131"/>
      <c r="P251" s="6597"/>
      <c r="Q251" s="131"/>
      <c r="R251" s="131"/>
      <c r="S251" s="120">
        <f>CG251</f>
        <v>0</v>
      </c>
      <c r="T251" s="120">
        <f>CC251</f>
        <v>698</v>
      </c>
      <c r="U251" s="120">
        <f>CD251</f>
        <v>1747.4</v>
      </c>
      <c r="V251" s="119"/>
      <c r="W251" s="197">
        <f>CK251*100</f>
        <v/>
      </c>
      <c r="X251" s="119"/>
      <c r="Y251" s="119"/>
      <c r="Z251" s="119"/>
      <c r="AA251" s="115"/>
      <c r="AB251" s="115"/>
      <c r="AC251" s="689">
        <f>IF(OR(BX$249="Close to Ear",BX$249="Close to Head"),"Head",IF(BX$249="Extremity","Extremity","Body"))</f>
        <v/>
      </c>
      <c r="AD251" s="690">
        <f>CA251</f>
        <v/>
      </c>
      <c r="AE251" s="688">
        <f>CB251</f>
        <v/>
      </c>
      <c r="AF251" s="115"/>
      <c r="AG251" s="808">
        <f>IF(AZ251="","N/A",IF(CQ251="Pass","P","F"))</f>
        <v/>
      </c>
      <c r="AH251" s="129"/>
      <c r="AI251" s="129"/>
      <c r="AJ251" s="129"/>
      <c r="AK251" s="119"/>
      <c r="AL251" s="115"/>
      <c r="AM251" s="119"/>
      <c r="AN251" s="119"/>
      <c r="AO251" s="692"/>
      <c r="AP251" s="692"/>
      <c r="AQ251" s="692"/>
      <c r="AR251" s="692"/>
      <c r="AS251" s="692"/>
      <c r="AT251" s="691">
        <f>CE251</f>
        <v/>
      </c>
      <c r="AU251" s="691">
        <f>CF251</f>
        <v/>
      </c>
      <c r="AV251" s="813"/>
      <c r="AW251" s="813"/>
      <c r="AX251" s="197">
        <f>CZ251</f>
        <v/>
      </c>
      <c r="AY251" s="197">
        <f>DE251</f>
        <v/>
      </c>
      <c r="AZ251" s="3379">
        <f>CO251</f>
        <v/>
      </c>
      <c r="BA251" s="3380"/>
      <c r="BB251" s="197">
        <f>CP251</f>
        <v/>
      </c>
      <c r="BC251" s="813"/>
      <c r="BD251" s="197">
        <f>CR251</f>
        <v/>
      </c>
      <c r="BE251" s="121">
        <f>CS251</f>
        <v/>
      </c>
      <c r="BF251" s="122">
        <f>CT251*60</f>
        <v/>
      </c>
      <c r="BG251" s="121">
        <f>BE251</f>
        <v/>
      </c>
      <c r="BH251" s="122">
        <f>CU251*60</f>
        <v/>
      </c>
      <c r="BI251" s="122">
        <f>CV251</f>
        <v/>
      </c>
      <c r="BJ251" s="117"/>
      <c r="BK251" s="812">
        <f>Overview!$E$7</f>
        <v/>
      </c>
      <c r="BL251" s="117"/>
      <c r="BM251" s="836">
        <f>CW251</f>
        <v/>
      </c>
      <c r="BN251" s="812">
        <f>Overview!$P$153</f>
        <v/>
      </c>
      <c r="BO251" s="117"/>
      <c r="BP251" s="117"/>
      <c r="BQ251" s="115"/>
      <c r="BR251" s="1478" t="inlineStr">
        <is>
          <t>N/A</t>
        </is>
      </c>
      <c r="BS251" s="1548"/>
      <c r="BT251" s="1891" t="inlineStr">
        <is>
          <t>GSM</t>
        </is>
      </c>
      <c r="BU251" s="1891">
        <v>1800</v>
      </c>
      <c r="BV251" s="417">
        <f>Overview!$H$30</f>
        <v/>
      </c>
      <c r="BW251" s="2010"/>
      <c r="BX251" s="1891"/>
      <c r="BY251" s="2072"/>
      <c r="BZ251" s="2072"/>
      <c r="CA251" s="2073" t="inlineStr">
        <is>
          <t>Right Cheek</t>
        </is>
      </c>
      <c r="CB251" s="2073">
        <v>0</v>
      </c>
      <c r="CC251" s="902">
        <f>'2G-3G'!BX33</f>
        <v>698</v>
      </c>
      <c r="CD251" s="902">
        <f>'2G-3G'!BY33</f>
        <v>1747.4</v>
      </c>
      <c r="CE251" s="1523"/>
      <c r="CF251" s="1523"/>
      <c r="CG251" s="387" t="str">
        <f>IF(OR($BY$167="",$BY$167=""),"",$BY$167)</f>
        <v/>
      </c>
      <c r="CH251" s="387">
        <f>BZ251</f>
        <v/>
      </c>
      <c r="CI251" s="387">
        <f>CA251</f>
        <v/>
      </c>
      <c r="CJ251" s="1527"/>
      <c r="CK251" s="2042"/>
      <c r="CL251" s="206">
        <f>IF(CF251=""," ",IF(ABS(CE251-CF251)&lt;=0.125,"Valid","Not valid"))</f>
        <v/>
      </c>
      <c r="CM251" s="207">
        <f> IF(CE251="","",IF(AND(CE251&lt;&gt;"",CF251=""),IF(CE251&gt;=1,"Medir+Sig Max","No"),IF(CF251&lt;&gt;"",IF(CF251&gt;=1,"Medir+Sig Max","No"),"")))</f>
        <v/>
      </c>
      <c r="CN251" s="1787"/>
      <c r="CO251" s="220">
        <f>IF(CK251="",IF(AND(CE251="",CF251=""),"",IF(CF251="",IF(DE251&gt;1,ROUND(DE251*CE251,3),CE251),IF(DE251&gt;1,ROUND(DE251*CF251,3),CF251))),IF(AND(CE251="",CF251=""),"",IF(CF251="",IF(DE251&gt;1,ROUND(DE251*CE251*(1/(CK251)),3),CE251*(1/(CK251))),IF(DE251&gt;1,ROUND(DE251*CF251*(1/(CK251)),3),CF251*(1/(CK251))))))</f>
        <v/>
      </c>
      <c r="CP251" s="2043">
        <f>$CP$3</f>
        <v/>
      </c>
      <c r="CQ251" s="1472">
        <f>IF(CO251="","",IF(CO251&gt;CP251,"Fail","Pass"))</f>
        <v/>
      </c>
      <c r="CR251" s="1481">
        <f>IF(AND(MAX(CO249:CO254)=CO251,CO251&lt;&gt;0),COUNT($CR$3:CR250)+1,"")</f>
        <v/>
      </c>
      <c r="CS251" s="1565">
        <f>MyTimestamp(CO251)</f>
        <v/>
      </c>
      <c r="CT251" s="1531">
        <f>IF(CE251="",0,15)+IF(CF251="",0,15)</f>
        <v/>
      </c>
      <c r="CU251" s="1532">
        <f>IF(CT251=0,0,2)</f>
        <v/>
      </c>
      <c r="CV251" s="859" t="inlineStr">
        <is>
          <t>S/02</t>
        </is>
      </c>
      <c r="CW251" s="859" t="inlineStr">
        <is>
          <t>Dasy6</t>
        </is>
      </c>
      <c r="CX251" s="2038"/>
      <c r="CY251" s="2044"/>
      <c r="CZ251" s="1543">
        <f>10^(CJ251/20)*100-100</f>
        <v/>
      </c>
      <c r="DA251" s="1325">
        <f>IF('Tune-Up'!$H$21="","",'Tune-Up'!$H$21)</f>
        <v/>
      </c>
      <c r="DB251" s="701">
        <f>'2G-3G'!BZ33</f>
        <v/>
      </c>
      <c r="DC251" s="769">
        <f>IF(DA251="","",10^(DA251/10))</f>
        <v/>
      </c>
      <c r="DD251" s="1369">
        <f>IF(ISNUMBER(DB251)=FALSE,"",10^(DB251/10))</f>
        <v/>
      </c>
      <c r="DE251" s="1543">
        <f>IF(AND(ISNUMBER(DC251),ISNUMBER(DD251)),IF(DC251/DD251&gt;1,ROUND((DC251)/DD251,3),1),1)</f>
        <v/>
      </c>
      <c r="DF251" s="1541"/>
      <c r="DG251" s="1541"/>
      <c r="DH251" s="1541"/>
      <c r="DI251" s="1541"/>
      <c r="DJ251" s="1541"/>
      <c r="DK251" s="1541"/>
      <c r="DL251" s="1541"/>
      <c r="DM251" s="1541"/>
      <c r="DN251" s="1541"/>
      <c r="DO251" s="1541"/>
      <c r="DP251" s="1541"/>
      <c r="DQ251" s="1541"/>
      <c r="DR251" s="1541"/>
    </row>
    <row r="252" ht="12.75" x14ac:dyDescent="0.2">
      <c r="A252" s="1541"/>
      <c r="B252" s="1541"/>
      <c r="C252"/>
      <c r="D252" s="130">
        <f>IF(BX$249="Close to Ear","EN 62209-1","EN 62209-2")</f>
        <v/>
      </c>
      <c r="E252" s="130">
        <f>IF(CG252="Close to Ear","2016","2010/A1:2019")</f>
        <v/>
      </c>
      <c r="F252" s="1488" t="inlineStr">
        <is>
          <t>5.1</t>
        </is>
      </c>
      <c r="G252" s="1497"/>
      <c r="H252" s="120">
        <f>BV252</f>
        <v/>
      </c>
      <c r="I252" s="120">
        <f>BW252</f>
        <v/>
      </c>
      <c r="J252" s="687" t="str">
        <f>BT252</f>
        <v>GSM</v>
      </c>
      <c r="K252" s="194">
        <f>BU252</f>
        <v>1800</v>
      </c>
      <c r="L252" s="115"/>
      <c r="M252" s="120">
        <f>BZ252</f>
        <v>0</v>
      </c>
      <c r="N252" s="119"/>
      <c r="O252" s="131"/>
      <c r="P252" s="6597"/>
      <c r="Q252" s="131"/>
      <c r="R252" s="131"/>
      <c r="S252" s="120">
        <f>CG252</f>
        <v>0</v>
      </c>
      <c r="T252" s="120">
        <f>CC252</f>
        <v>698</v>
      </c>
      <c r="U252" s="120">
        <f>CD252</f>
        <v>1747.4</v>
      </c>
      <c r="V252" s="119"/>
      <c r="W252" s="197">
        <f>CK252*100</f>
        <v/>
      </c>
      <c r="X252" s="119"/>
      <c r="Y252" s="119"/>
      <c r="Z252" s="119"/>
      <c r="AA252" s="115"/>
      <c r="AB252" s="115"/>
      <c r="AC252" s="689">
        <f>IF(OR(BX$249="Close to Ear",BX$249="Close to Head"),"Head",IF(BX$249="Extremity","Extremity","Body"))</f>
        <v/>
      </c>
      <c r="AD252" s="690">
        <f>CA252</f>
        <v/>
      </c>
      <c r="AE252" s="688">
        <f>CB252</f>
        <v/>
      </c>
      <c r="AF252" s="115"/>
      <c r="AG252" s="808">
        <f>IF(AZ252="","N/A",IF(CQ252="Pass","P","F"))</f>
        <v/>
      </c>
      <c r="AH252" s="129"/>
      <c r="AI252" s="129"/>
      <c r="AJ252" s="129"/>
      <c r="AK252" s="119"/>
      <c r="AL252" s="115"/>
      <c r="AM252" s="119"/>
      <c r="AN252" s="119"/>
      <c r="AO252" s="692"/>
      <c r="AP252" s="692"/>
      <c r="AQ252" s="692"/>
      <c r="AR252" s="692"/>
      <c r="AS252" s="692"/>
      <c r="AT252" s="691">
        <f>CE252</f>
        <v/>
      </c>
      <c r="AU252" s="691">
        <f>CF252</f>
        <v/>
      </c>
      <c r="AV252" s="813"/>
      <c r="AW252" s="813"/>
      <c r="AX252" s="197">
        <f>CZ252</f>
        <v/>
      </c>
      <c r="AY252" s="197">
        <f>DE252</f>
        <v/>
      </c>
      <c r="AZ252" s="3379">
        <f>CO252</f>
        <v/>
      </c>
      <c r="BA252" s="3380"/>
      <c r="BB252" s="197">
        <f>CP252</f>
        <v/>
      </c>
      <c r="BC252" s="813"/>
      <c r="BD252" s="197">
        <f>CR252</f>
        <v/>
      </c>
      <c r="BE252" s="121">
        <f>CS252</f>
        <v/>
      </c>
      <c r="BF252" s="122">
        <f>CT252*60</f>
        <v/>
      </c>
      <c r="BG252" s="121">
        <f>BE252</f>
        <v/>
      </c>
      <c r="BH252" s="122">
        <f>CU252*60</f>
        <v/>
      </c>
      <c r="BI252" s="122">
        <f>CV252</f>
        <v/>
      </c>
      <c r="BJ252" s="117"/>
      <c r="BK252" s="812">
        <f>Overview!$E$7</f>
        <v/>
      </c>
      <c r="BL252" s="117"/>
      <c r="BM252" s="836">
        <f>CW252</f>
        <v/>
      </c>
      <c r="BN252" s="812">
        <f>Overview!$P$153</f>
        <v/>
      </c>
      <c r="BO252" s="117"/>
      <c r="BP252" s="117"/>
      <c r="BQ252" s="115"/>
      <c r="BR252" s="1478" t="inlineStr">
        <is>
          <t>N/A</t>
        </is>
      </c>
      <c r="BS252" s="1548"/>
      <c r="BT252" s="2071" t="inlineStr">
        <is>
          <t>GSM</t>
        </is>
      </c>
      <c r="BU252" s="2071">
        <v>1800</v>
      </c>
      <c r="BV252" s="415">
        <f>Overview!$H$30</f>
        <v/>
      </c>
      <c r="BW252" s="2010"/>
      <c r="BX252" s="2071"/>
      <c r="BY252" s="2072"/>
      <c r="BZ252" s="2072"/>
      <c r="CA252" s="2073" t="inlineStr">
        <is>
          <t>Right Tilt</t>
        </is>
      </c>
      <c r="CB252" s="2073">
        <v>0</v>
      </c>
      <c r="CC252" s="902">
        <f>'2G-3G'!BX33</f>
        <v>698</v>
      </c>
      <c r="CD252" s="902">
        <f>'2G-3G'!BY33</f>
        <v>1747.4</v>
      </c>
      <c r="CE252" s="1523"/>
      <c r="CF252" s="1523"/>
      <c r="CG252" s="387" t="str">
        <f>IF(OR($BY$167="",$BY$167=""),"",$BY$167)</f>
        <v/>
      </c>
      <c r="CH252" s="387">
        <f>BZ252</f>
        <v/>
      </c>
      <c r="CI252" s="387">
        <f>CA252</f>
        <v/>
      </c>
      <c r="CJ252" s="1527"/>
      <c r="CK252" s="2042"/>
      <c r="CL252" s="206">
        <f>IF(CF252=""," ",IF(ABS(CE252-CF252)&lt;=0.125,"Valid","Not valid"))</f>
        <v/>
      </c>
      <c r="CM252" s="207">
        <f> IF(CE252="","",IF(AND(CE252&lt;&gt;"",CF252=""),IF(CE252&gt;=1,"Medir+Sig Max","No"),IF(CF252&lt;&gt;"",IF(CF252&gt;=1,"Medir+Sig Max","No"),"")))</f>
        <v/>
      </c>
      <c r="CN252" s="1787"/>
      <c r="CO252" s="220">
        <f>IF(CK252="",IF(AND(CE252="",CF252=""),"",IF(CF252="",IF(DE252&gt;1,ROUND(DE252*CE252,3),CE252),IF(DE252&gt;1,ROUND(DE252*CF252,3),CF252))),IF(AND(CE252="",CF252=""),"",IF(CF252="",IF(DE252&gt;1,ROUND(DE252*CE252*(1/(CK252)),3),CE252*(1/(CK252))),IF(DE252&gt;1,ROUND(DE252*CF252*(1/(CK252)),3),CF252*(1/(CK252))))))</f>
        <v/>
      </c>
      <c r="CP252" s="2043">
        <f>$CP$3</f>
        <v/>
      </c>
      <c r="CQ252" s="1472">
        <f>IF(CO252="","",IF(CO252&gt;CP252,"Fail","Pass"))</f>
        <v/>
      </c>
      <c r="CR252" s="1481">
        <f>IF(AND(MAX(CO249:CO254)=CO252,CO252&lt;&gt;0),COUNT($CR$3:CR251)+1,"")</f>
        <v/>
      </c>
      <c r="CS252" s="1565">
        <f>MyTimestamp(CO252)</f>
        <v/>
      </c>
      <c r="CT252" s="1531">
        <f>IF(CE252="",0,15)+IF(CF252="",0,15)</f>
        <v/>
      </c>
      <c r="CU252" s="1532">
        <f>IF(CT252=0,0,2)</f>
        <v/>
      </c>
      <c r="CV252" s="859" t="inlineStr">
        <is>
          <t>S/02</t>
        </is>
      </c>
      <c r="CW252" s="859" t="inlineStr">
        <is>
          <t>Dasy6</t>
        </is>
      </c>
      <c r="CX252" s="2038"/>
      <c r="CY252" s="2044"/>
      <c r="CZ252" s="1543">
        <f>10^(CJ252/20)*100-100</f>
        <v/>
      </c>
      <c r="DA252" s="1325">
        <f>IF('Tune-Up'!$H$21="","",'Tune-Up'!$H$21)</f>
        <v/>
      </c>
      <c r="DB252" s="701">
        <f>'2G-3G'!BZ33</f>
        <v/>
      </c>
      <c r="DC252" s="769">
        <f>IF(DA252="","",10^(DA252/10))</f>
        <v/>
      </c>
      <c r="DD252" s="1369">
        <f>IF(ISNUMBER(DB252)=FALSE,"",10^(DB252/10))</f>
        <v/>
      </c>
      <c r="DE252" s="1543">
        <f>IF(AND(ISNUMBER(DC252),ISNUMBER(DD252)),IF(DC252/DD252&gt;1,ROUND((DC252)/DD252,3),1),1)</f>
        <v/>
      </c>
      <c r="DF252" s="1541"/>
      <c r="DG252" s="1541"/>
      <c r="DH252" s="1541"/>
      <c r="DI252" s="1541"/>
      <c r="DJ252" s="1541"/>
      <c r="DK252" s="1541"/>
      <c r="DL252" s="1541"/>
      <c r="DM252" s="1541"/>
      <c r="DN252" s="1541"/>
      <c r="DO252" s="1541"/>
      <c r="DP252" s="1541"/>
      <c r="DQ252" s="1541"/>
      <c r="DR252" s="1541"/>
    </row>
    <row r="253" ht="12.75" x14ac:dyDescent="0.2">
      <c r="A253" s="1541"/>
      <c r="B253" s="1541"/>
      <c r="C253"/>
      <c r="D253" s="130">
        <f>IF(BX$249="Close to Ear","EN 62209-1","EN 62209-2")</f>
        <v/>
      </c>
      <c r="E253" s="130">
        <f>IF(CG253="Close to Ear","2016","2010/A1:2019")</f>
        <v/>
      </c>
      <c r="F253" s="1488" t="inlineStr">
        <is>
          <t>5.1</t>
        </is>
      </c>
      <c r="G253" s="1497"/>
      <c r="H253" s="120">
        <f>BV253</f>
        <v/>
      </c>
      <c r="I253" s="120">
        <f>BW253</f>
        <v/>
      </c>
      <c r="J253" s="687" t="str">
        <f>BT253</f>
        <v>GSM</v>
      </c>
      <c r="K253" s="194">
        <f>BU253</f>
        <v>1800</v>
      </c>
      <c r="L253" s="115"/>
      <c r="M253" s="120">
        <f>BZ253</f>
        <v>0</v>
      </c>
      <c r="N253" s="119"/>
      <c r="O253" s="131"/>
      <c r="P253" s="6597"/>
      <c r="Q253" s="131"/>
      <c r="R253" s="131"/>
      <c r="S253" s="120">
        <f>CG253</f>
        <v>0</v>
      </c>
      <c r="T253" s="120">
        <f>CC253</f>
        <v>512</v>
      </c>
      <c r="U253" s="120">
        <f>CD253</f>
        <v>1710.2</v>
      </c>
      <c r="V253" s="119"/>
      <c r="W253" s="197">
        <f>CK253*100</f>
        <v/>
      </c>
      <c r="X253" s="119"/>
      <c r="Y253" s="119"/>
      <c r="Z253" s="119"/>
      <c r="AA253" s="115"/>
      <c r="AB253" s="115"/>
      <c r="AC253" s="689">
        <f>IF(OR(BX$249="Close to Ear",BX$249="Close to Head"),"Head",IF(BX$249="Extremity","Extremity","Body"))</f>
        <v/>
      </c>
      <c r="AD253" s="690">
        <f>CA253</f>
        <v/>
      </c>
      <c r="AE253" s="688">
        <f>CB253</f>
        <v/>
      </c>
      <c r="AF253" s="115"/>
      <c r="AG253" s="808">
        <f>IF(AZ253="","N/A",IF(CQ253="Pass","P","F"))</f>
        <v/>
      </c>
      <c r="AH253" s="129"/>
      <c r="AI253" s="129"/>
      <c r="AJ253" s="129"/>
      <c r="AK253" s="119"/>
      <c r="AL253" s="115"/>
      <c r="AM253" s="119"/>
      <c r="AN253" s="119"/>
      <c r="AO253" s="692"/>
      <c r="AP253" s="692"/>
      <c r="AQ253" s="692"/>
      <c r="AR253" s="692"/>
      <c r="AS253" s="692"/>
      <c r="AT253" s="691">
        <f>CE253</f>
        <v/>
      </c>
      <c r="AU253" s="691">
        <f>CF253</f>
        <v/>
      </c>
      <c r="AV253" s="813"/>
      <c r="AW253" s="813"/>
      <c r="AX253" s="197">
        <f>CZ253</f>
        <v/>
      </c>
      <c r="AY253" s="197">
        <f>DE253</f>
        <v/>
      </c>
      <c r="AZ253" s="3379">
        <f>CO253</f>
        <v/>
      </c>
      <c r="BA253" s="3380"/>
      <c r="BB253" s="197">
        <f>CP253</f>
        <v/>
      </c>
      <c r="BC253" s="813"/>
      <c r="BD253" s="197">
        <f>CR253</f>
        <v/>
      </c>
      <c r="BE253" s="121">
        <f>CS253</f>
        <v/>
      </c>
      <c r="BF253" s="122">
        <f>CT253*60</f>
        <v/>
      </c>
      <c r="BG253" s="121">
        <f>BE253</f>
        <v/>
      </c>
      <c r="BH253" s="122">
        <f>CU253*60</f>
        <v/>
      </c>
      <c r="BI253" s="122">
        <f>CV253</f>
        <v/>
      </c>
      <c r="BJ253" s="117"/>
      <c r="BK253" s="812">
        <f>Overview!$E$7</f>
        <v/>
      </c>
      <c r="BL253" s="117"/>
      <c r="BM253" s="836">
        <f>CW253</f>
        <v/>
      </c>
      <c r="BN253" s="812">
        <f>Overview!$P$153</f>
        <v/>
      </c>
      <c r="BO253" s="117"/>
      <c r="BP253" s="117"/>
      <c r="BQ253" s="115"/>
      <c r="BR253" s="1478" t="inlineStr">
        <is>
          <t>N/A</t>
        </is>
      </c>
      <c r="BS253" s="1548"/>
      <c r="BT253" s="2071" t="inlineStr">
        <is>
          <t>GSM</t>
        </is>
      </c>
      <c r="BU253" s="2071">
        <v>1800</v>
      </c>
      <c r="BV253" s="415">
        <f>Overview!$H$30</f>
        <v/>
      </c>
      <c r="BW253" s="2010"/>
      <c r="BX253" s="2071"/>
      <c r="BY253" s="2072"/>
      <c r="BZ253" s="2072"/>
      <c r="CA253" s="416" t="str">
        <f>IF(COUNT(CF249:CF252)=0,IF(COUNT(CE249:CE252)=0,"TBD",VLOOKUP(MAX(CE249:CE252),CE249:CI252,5,FALSE)),VLOOKUP(MAX(CF249:CF252),CF249:CI252,4,FALSE))</f>
        <v>TBD</v>
      </c>
      <c r="CB253" s="2073">
        <v>0</v>
      </c>
      <c r="CC253" s="902">
        <f>'2G-3G'!BX34</f>
        <v>512</v>
      </c>
      <c r="CD253" s="902">
        <f>'2G-3G'!BY34</f>
        <v>1710.2</v>
      </c>
      <c r="CE253" s="1523"/>
      <c r="CF253" s="1523"/>
      <c r="CG253" s="387" t="str">
        <f>IF(OR($BY$167="",$BY$167=""),"",$BY$167)</f>
        <v/>
      </c>
      <c r="CH253" s="387">
        <f>BZ253</f>
        <v/>
      </c>
      <c r="CI253" s="387">
        <f>CA253</f>
        <v/>
      </c>
      <c r="CJ253" s="1527"/>
      <c r="CK253" s="2042"/>
      <c r="CL253" s="206">
        <f>IF(CF253=""," ",IF(ABS(CE253-CF253)&lt;=0.125,"Valid","Not valid"))</f>
        <v/>
      </c>
      <c r="CM253" s="207">
        <f> IF(CE253="","",IF(AND(CE253&lt;&gt;"",CF253=""),IF(CE253&gt;=1,"Medir+Sig Max","No"),IF(CF253&lt;&gt;"",IF(CF253&gt;=1,"Medir+Sig Max","No"),"")))</f>
        <v/>
      </c>
      <c r="CN253" s="1787"/>
      <c r="CO253" s="220">
        <f>IF(CK253="",IF(AND(CE253="",CF253=""),"",IF(CF253="",IF(DE253&gt;1,ROUND(DE253*CE253,3),CE253),IF(DE253&gt;1,ROUND(DE253*CF253,3),CF253))),IF(AND(CE253="",CF253=""),"",IF(CF253="",IF(DE253&gt;1,ROUND(DE253*CE253*(1/(CK253)),3),CE253*(1/(CK253))),IF(DE253&gt;1,ROUND(DE253*CF253*(1/(CK253)),3),CF253*(1/(CK253))))))</f>
        <v/>
      </c>
      <c r="CP253" s="2043">
        <f>$CP$3</f>
        <v/>
      </c>
      <c r="CQ253" s="1472">
        <f>IF(CO253="","",IF(CO253&gt;CP253,"Fail","Pass"))</f>
        <v/>
      </c>
      <c r="CR253" s="1481">
        <f>IF(AND(MAX(CO249:CO254)=CO253,CO253&lt;&gt;0),COUNT($CR$3:CR252)+1,"")</f>
        <v/>
      </c>
      <c r="CS253" s="1565">
        <f>MyTimestamp(CO253)</f>
        <v/>
      </c>
      <c r="CT253" s="1531">
        <f>IF(CE253="",0,15)+IF(CF253="",0,15)</f>
        <v/>
      </c>
      <c r="CU253" s="1532">
        <f>IF(CT253=0,0,2)</f>
        <v/>
      </c>
      <c r="CV253" s="859" t="inlineStr">
        <is>
          <t>S/02</t>
        </is>
      </c>
      <c r="CW253" s="859" t="inlineStr">
        <is>
          <t>Dasy6</t>
        </is>
      </c>
      <c r="CX253" s="2038"/>
      <c r="CY253" s="2044"/>
      <c r="CZ253" s="1543">
        <f>10^(CJ253/20)*100-100</f>
        <v/>
      </c>
      <c r="DA253" s="1325">
        <f>IF('Tune-Up'!$H$21="","",'Tune-Up'!$H$21)</f>
        <v/>
      </c>
      <c r="DB253" s="701">
        <f>'2G-3G'!BZ34</f>
        <v/>
      </c>
      <c r="DC253" s="769">
        <f>IF(DA253="","",10^(DA253/10))</f>
        <v/>
      </c>
      <c r="DD253" s="1369">
        <f>IF(ISNUMBER(DB253)=FALSE,"",10^(DB253/10))</f>
        <v/>
      </c>
      <c r="DE253" s="1543">
        <f>IF(AND(ISNUMBER(DC253),ISNUMBER(DD253)),IF(DC253/DD253&gt;1,ROUND((DC253)/DD253,3),1),1)</f>
        <v/>
      </c>
      <c r="DF253" s="1541"/>
      <c r="DG253" s="1541"/>
      <c r="DH253" s="1541"/>
      <c r="DI253" s="1541"/>
      <c r="DJ253" s="1541"/>
      <c r="DK253" s="1541"/>
      <c r="DL253" s="1541"/>
      <c r="DM253" s="1541"/>
      <c r="DN253" s="1541"/>
      <c r="DO253" s="1541"/>
      <c r="DP253" s="1541"/>
      <c r="DQ253" s="1541"/>
      <c r="DR253" s="1541"/>
    </row>
    <row r="254" ht="12.75" x14ac:dyDescent="0.2">
      <c r="A254" s="1541"/>
      <c r="B254" s="1541"/>
      <c r="C254"/>
      <c r="D254" s="130">
        <f>IF(BX$249="Close to Ear","EN 62209-1","EN 62209-2")</f>
        <v/>
      </c>
      <c r="E254" s="130">
        <f>IF(CG254="Close to Ear","2016","2010/A1:2019")</f>
        <v/>
      </c>
      <c r="F254" s="1488" t="inlineStr">
        <is>
          <t>5.1</t>
        </is>
      </c>
      <c r="G254" s="1497"/>
      <c r="H254" s="120">
        <f>BV254</f>
        <v/>
      </c>
      <c r="I254" s="120">
        <f>BW254</f>
        <v/>
      </c>
      <c r="J254" s="687" t="str">
        <f>BT254</f>
        <v>GSM</v>
      </c>
      <c r="K254" s="194">
        <f>BU254</f>
        <v>1800</v>
      </c>
      <c r="L254" s="115"/>
      <c r="M254" s="120">
        <f>BZ254</f>
        <v>0</v>
      </c>
      <c r="N254" s="119"/>
      <c r="O254" s="131"/>
      <c r="P254" s="6597"/>
      <c r="Q254" s="131"/>
      <c r="R254" s="131"/>
      <c r="S254" s="120">
        <f>CG254</f>
        <v>0</v>
      </c>
      <c r="T254" s="120">
        <f>CC254</f>
        <v>885</v>
      </c>
      <c r="U254" s="120">
        <f>CD254</f>
        <v>1784.8</v>
      </c>
      <c r="V254" s="119"/>
      <c r="W254" s="197">
        <f>CK254*100</f>
        <v/>
      </c>
      <c r="X254" s="119"/>
      <c r="Y254" s="119"/>
      <c r="Z254" s="119"/>
      <c r="AA254" s="115"/>
      <c r="AB254" s="115"/>
      <c r="AC254" s="689">
        <f>IF(OR(BX$249="Close to Ear",BX$249="Close to Head"),"Head",IF(BX$249="Extremity","Extremity","Body"))</f>
        <v/>
      </c>
      <c r="AD254" s="690">
        <f>CA254</f>
        <v/>
      </c>
      <c r="AE254" s="688">
        <f>CB254</f>
        <v/>
      </c>
      <c r="AF254" s="115"/>
      <c r="AG254" s="808">
        <f>IF(AZ254="","N/A",IF(CQ254="Pass","P","F"))</f>
        <v/>
      </c>
      <c r="AH254" s="129"/>
      <c r="AI254" s="129"/>
      <c r="AJ254" s="129"/>
      <c r="AK254" s="119"/>
      <c r="AL254" s="115"/>
      <c r="AM254" s="119"/>
      <c r="AN254" s="119"/>
      <c r="AO254" s="692"/>
      <c r="AP254" s="692"/>
      <c r="AQ254" s="692"/>
      <c r="AR254" s="692"/>
      <c r="AS254" s="692"/>
      <c r="AT254" s="691">
        <f>CE254</f>
        <v/>
      </c>
      <c r="AU254" s="691">
        <f>CF254</f>
        <v/>
      </c>
      <c r="AV254" s="813"/>
      <c r="AW254" s="813"/>
      <c r="AX254" s="197">
        <f>CZ254</f>
        <v/>
      </c>
      <c r="AY254" s="197">
        <f>DE254</f>
        <v/>
      </c>
      <c r="AZ254" s="3379">
        <f>CO254</f>
        <v/>
      </c>
      <c r="BA254" s="3380"/>
      <c r="BB254" s="197">
        <f>CP254</f>
        <v/>
      </c>
      <c r="BC254" s="813"/>
      <c r="BD254" s="197">
        <f>CR254</f>
        <v/>
      </c>
      <c r="BE254" s="121">
        <f>CS254</f>
        <v/>
      </c>
      <c r="BF254" s="122">
        <f>CT254*60</f>
        <v/>
      </c>
      <c r="BG254" s="121">
        <f>BE254</f>
        <v/>
      </c>
      <c r="BH254" s="122">
        <f>CU254*60</f>
        <v/>
      </c>
      <c r="BI254" s="122">
        <f>CV254</f>
        <v/>
      </c>
      <c r="BJ254" s="117"/>
      <c r="BK254" s="812">
        <f>Overview!$E$7</f>
        <v/>
      </c>
      <c r="BL254" s="117"/>
      <c r="BM254" s="836">
        <f>CW254</f>
        <v/>
      </c>
      <c r="BN254" s="812">
        <f>Overview!$P$153</f>
        <v/>
      </c>
      <c r="BO254" s="117"/>
      <c r="BP254" s="117"/>
      <c r="BQ254" s="115"/>
      <c r="BR254" s="1478" t="inlineStr">
        <is>
          <t>N/A</t>
        </is>
      </c>
      <c r="BS254" s="1548"/>
      <c r="BT254" s="2071" t="inlineStr">
        <is>
          <t>GSM</t>
        </is>
      </c>
      <c r="BU254" s="2071">
        <v>1800</v>
      </c>
      <c r="BV254" s="415">
        <f>Overview!$H$30</f>
        <v/>
      </c>
      <c r="BW254" s="2010"/>
      <c r="BX254" s="2071"/>
      <c r="BY254" s="2072"/>
      <c r="BZ254" s="2072"/>
      <c r="CA254" s="418" t="str">
        <f>IF(COUNT(CF249:CF252)=0,IF(COUNT(CE249:CE252)=0,"TBD",VLOOKUP(MAX(CE249:CE252),CE249:CI252,5,FALSE)),VLOOKUP(MAX(CF249:CF252),CF249:CI252,4,FALSE))</f>
        <v>TBD</v>
      </c>
      <c r="CB254" s="2074">
        <v>0</v>
      </c>
      <c r="CC254" s="1089">
        <f>'2G-3G'!BX35</f>
        <v>885</v>
      </c>
      <c r="CD254" s="1089">
        <f>'2G-3G'!BY35</f>
        <v>1784.8</v>
      </c>
      <c r="CE254" s="1874"/>
      <c r="CF254" s="1874"/>
      <c r="CG254" s="388" t="str">
        <f>IF(OR($BY$167="",$BY$167=""),"",$BY$167)</f>
        <v/>
      </c>
      <c r="CH254" s="388">
        <f>BZ254</f>
        <v/>
      </c>
      <c r="CI254" s="388">
        <f>CA254</f>
        <v/>
      </c>
      <c r="CJ254" s="2046"/>
      <c r="CK254" s="2047"/>
      <c r="CL254" s="209">
        <f>IF(CF254=""," ",IF(ABS(CE254-CF254)&lt;=0.125,"Valid","Not valid"))</f>
        <v/>
      </c>
      <c r="CM254" s="210">
        <f> IF(CE254="","",IF(AND(CE254&lt;&gt;"",CF254=""),IF(CE254&gt;=1,"Medir+Sig Max","No"),IF(CF254&lt;&gt;"",IF(CF254&gt;=1,"Medir+Sig Max","No"),"")))</f>
        <v/>
      </c>
      <c r="CN254" s="1792"/>
      <c r="CO254" s="221">
        <f>IF(CK254="",IF(AND(CE254="",CF254=""),"",IF(CF254="",IF(DE254&gt;1,ROUND(DE254*CE254,3),CE254),IF(DE254&gt;1,ROUND(DE254*CF254,3),CF254))),IF(AND(CE254="",CF254=""),"",IF(CF254="",IF(DE254&gt;1,ROUND(DE254*CE254*(1/(CK254)),3),CE254*(1/(CK254))),IF(DE254&gt;1,ROUND(DE254*CF254*(1/(CK254)),3),CF254*(1/(CK254))))))</f>
        <v/>
      </c>
      <c r="CP254" s="2048">
        <f>$CP$3</f>
        <v/>
      </c>
      <c r="CQ254" s="1473">
        <f>IF(CO254="","",IF(CO254&gt;CP254,"Fail","Pass"))</f>
        <v/>
      </c>
      <c r="CR254" s="1482">
        <f>IF(AND(MAX(CO249:CO254)=CO254,CO254&lt;&gt;0),COUNT($CR$3:CR253)+1,"")</f>
        <v/>
      </c>
      <c r="CS254" s="2002">
        <f>MyTimestamp(CO254)</f>
        <v/>
      </c>
      <c r="CT254" s="1533">
        <f>IF(CE254="",0,15)+IF(CF254="",0,15)</f>
        <v/>
      </c>
      <c r="CU254" s="1534">
        <f>IF(CT254=0,0,2)</f>
        <v/>
      </c>
      <c r="CV254" s="860" t="inlineStr">
        <is>
          <t>S/02</t>
        </is>
      </c>
      <c r="CW254" s="860" t="inlineStr">
        <is>
          <t>Dasy6</t>
        </is>
      </c>
      <c r="CX254" s="2038"/>
      <c r="CY254" s="2049"/>
      <c r="CZ254" s="1544">
        <f>10^(CJ254/20)*100-100</f>
        <v/>
      </c>
      <c r="DA254" s="1326">
        <f>IF('Tune-Up'!$H$21="","",'Tune-Up'!$H$21)</f>
        <v/>
      </c>
      <c r="DB254" s="702">
        <f>'2G-3G'!BZ35</f>
        <v/>
      </c>
      <c r="DC254" s="770">
        <f>IF(DA254="","",10^(DA254/10))</f>
        <v/>
      </c>
      <c r="DD254" s="1370">
        <f>IF(ISNUMBER(DB254)=FALSE,"",10^(DB254/10))</f>
        <v/>
      </c>
      <c r="DE254" s="1544">
        <f>IF(AND(ISNUMBER(DC254),ISNUMBER(DD254)),IF(DC254/DD254&gt;1,ROUND((DC254)/DD254,3),1),1)</f>
        <v/>
      </c>
      <c r="DF254" s="1541"/>
      <c r="DG254" s="1541"/>
      <c r="DH254" s="1541"/>
      <c r="DI254" s="1541"/>
      <c r="DJ254" s="1541"/>
      <c r="DK254" s="1541"/>
      <c r="DL254" s="1541"/>
      <c r="DM254" s="1541"/>
      <c r="DN254" s="1541"/>
      <c r="DO254" s="1541"/>
      <c r="DP254" s="1541"/>
      <c r="DQ254" s="1541"/>
      <c r="DR254" s="1541"/>
    </row>
    <row r="255" ht="12.75" x14ac:dyDescent="0.2">
      <c r="A255" s="1541"/>
      <c r="B255" s="1541"/>
      <c r="C255"/>
      <c r="D255" s="130">
        <f>IF(BX$249="Close to Ear","EN 62209-1","EN 62209-2")</f>
        <v/>
      </c>
      <c r="E255" s="130">
        <f>IF(CG255="Close to Ear","2016","2010/A1:2019")</f>
        <v/>
      </c>
      <c r="F255" s="1488" t="inlineStr">
        <is>
          <t>5.1</t>
        </is>
      </c>
      <c r="G255" s="1497"/>
      <c r="H255" s="120">
        <f>BV255</f>
        <v/>
      </c>
      <c r="I255" s="120">
        <f>BW255</f>
        <v/>
      </c>
      <c r="J255" s="687">
        <f>BT255</f>
        <v/>
      </c>
      <c r="K255" s="194">
        <f>BU255</f>
        <v/>
      </c>
      <c r="L255" s="115"/>
      <c r="M255" s="120">
        <f>BZ255</f>
        <v/>
      </c>
      <c r="N255" s="119"/>
      <c r="O255" s="131"/>
      <c r="P255" s="6597"/>
      <c r="Q255" s="131"/>
      <c r="R255" s="131"/>
      <c r="S255" s="120">
        <f>CG255</f>
        <v/>
      </c>
      <c r="T255" s="120">
        <f>CC255</f>
        <v/>
      </c>
      <c r="U255" s="120">
        <f>CD255</f>
        <v/>
      </c>
      <c r="V255" s="119"/>
      <c r="W255" s="197">
        <f>CK255*100</f>
        <v/>
      </c>
      <c r="X255" s="119"/>
      <c r="Y255" s="119"/>
      <c r="Z255" s="119"/>
      <c r="AA255" s="115"/>
      <c r="AB255" s="115"/>
      <c r="AC255" s="689">
        <f>IF(OR(BX$249="Close to Ear",BX$249="Close to Head"),"Head",IF(BX$249="Extremity","Extremity","Body"))</f>
        <v/>
      </c>
      <c r="AD255" s="690">
        <f>CA255</f>
        <v/>
      </c>
      <c r="AE255" s="688">
        <f>CB255</f>
        <v/>
      </c>
      <c r="AF255" s="115"/>
      <c r="AG255" s="808">
        <f>IF(AZ255="","N/A",IF(CQ255="Pass","P","F"))</f>
        <v/>
      </c>
      <c r="AH255" s="129"/>
      <c r="AI255" s="129"/>
      <c r="AJ255" s="129"/>
      <c r="AK255" s="119"/>
      <c r="AL255" s="115"/>
      <c r="AM255" s="119"/>
      <c r="AN255" s="119"/>
      <c r="AO255" s="692"/>
      <c r="AP255" s="692"/>
      <c r="AQ255" s="692"/>
      <c r="AR255" s="692"/>
      <c r="AS255" s="692"/>
      <c r="AT255" s="691">
        <f>CE255</f>
        <v/>
      </c>
      <c r="AU255" s="691">
        <f>CF255</f>
        <v/>
      </c>
      <c r="AV255" s="813"/>
      <c r="AW255" s="813"/>
      <c r="AX255" s="197">
        <f>CZ255</f>
        <v/>
      </c>
      <c r="AY255" s="197">
        <f>DE255</f>
        <v/>
      </c>
      <c r="AZ255" s="3379">
        <f>CO255</f>
        <v/>
      </c>
      <c r="BA255" s="3380"/>
      <c r="BB255" s="197">
        <f>CP255</f>
        <v/>
      </c>
      <c r="BC255" s="813"/>
      <c r="BD255" s="197">
        <f>CR255</f>
        <v/>
      </c>
      <c r="BE255" s="121">
        <f>CS255</f>
        <v/>
      </c>
      <c r="BF255" s="122">
        <f>CT255*60</f>
        <v/>
      </c>
      <c r="BG255" s="121">
        <f>BE255</f>
        <v/>
      </c>
      <c r="BH255" s="122">
        <f>CU255*60</f>
        <v/>
      </c>
      <c r="BI255" s="122">
        <f>CV255</f>
        <v/>
      </c>
      <c r="BJ255" s="117"/>
      <c r="BK255" s="812">
        <f>Overview!$E$7</f>
        <v/>
      </c>
      <c r="BL255" s="117"/>
      <c r="BM255" s="836">
        <f>CW255</f>
        <v/>
      </c>
      <c r="BN255" s="812">
        <f>Overview!$P$153</f>
        <v/>
      </c>
      <c r="BO255" s="117"/>
      <c r="BP255" s="117"/>
      <c r="BQ255" s="115"/>
      <c r="BR255" s="1478" t="inlineStr">
        <is>
          <t>N/A</t>
        </is>
      </c>
      <c r="BS255" s="1548"/>
      <c r="BT255" s="2071" t="inlineStr">
        <is>
          <t>GSM</t>
        </is>
      </c>
      <c r="BU255" s="2071">
        <v>1800</v>
      </c>
      <c r="BV255" s="415">
        <f>Overview!$H$30</f>
        <v/>
      </c>
      <c r="BW255" s="2010"/>
      <c r="BX255" s="2071"/>
      <c r="BY255" s="2072"/>
      <c r="BZ255" s="2072"/>
      <c r="CA255" s="418" t="str">
        <f>CONCATENATE(CA253," - Battery check 1")</f>
        <v>TBD - Battery check 1</v>
      </c>
      <c r="CB255" s="2074">
        <v>0</v>
      </c>
      <c r="CC255" s="1089">
        <f>IF(COUNT($CO$249:$CO$254)=0,"N/A",INDEX($CC$249:$CC$254,MATCH(MAX($CO$249:$CO$254),$CO$249:$CO$254,0)))</f>
        <v/>
      </c>
      <c r="CD255" s="1089">
        <f>IF(COUNT($CO$249:$CO$254)=0,"N/A",INDEX($CD$249:$CD$254,MATCH(MAX($CO$249:$CO$254),$CO$249:$CO$254,0)))</f>
        <v/>
      </c>
      <c r="CE255" s="1874"/>
      <c r="CF255" s="1874"/>
      <c r="CG255" s="388" t="inlineStr">
        <is>
          <t>N/A</t>
        </is>
      </c>
      <c r="CH255" s="388">
        <f>BZ255</f>
        <v/>
      </c>
      <c r="CI255" s="388">
        <f>CA255</f>
        <v/>
      </c>
      <c r="CJ255" s="2046"/>
      <c r="CK255" s="2047"/>
      <c r="CL255" s="209">
        <f>IF(CF255=""," ",IF(ABS(CE255-CF255)&lt;=0.125,"Valid","Not valid"))</f>
        <v/>
      </c>
      <c r="CM255" s="210">
        <f> IF(CE255="","",IF(AND(CE255&lt;&gt;"",CF255=""),IF(CE255&gt;=1,"Medir+Sig Max","No"),IF(CF255&lt;&gt;"",IF(CF255&gt;=1,"Medir+Sig Max","No"),"")))</f>
        <v/>
      </c>
      <c r="CN255" s="1792"/>
      <c r="CO255" s="221">
        <f>IF(CK255="",IF(AND(CE255="",CF255=""),"",IF(CF255="",IF(DE255&gt;1,ROUND(DE255*CE255,3),CE255),IF(DE255&gt;1,ROUND(DE255*CF255,3),CF255))),IF(AND(CE255="",CF255=""),"",IF(CF255="",IF(DE255&gt;1,ROUND(DE255*CE255*(1/(CK255)),3),CE255*(1/(CK255))),IF(DE255&gt;1,ROUND(DE255*CF255*(1/(CK255)),3),CF255*(1/(CK255))))))</f>
        <v/>
      </c>
      <c r="CP255" s="2048">
        <f>$CP$3</f>
        <v/>
      </c>
      <c r="CQ255" s="1473">
        <f>IF(CO255="","",IF(CO255&gt;CP255,"Fail","Pass"))</f>
        <v/>
      </c>
      <c r="CR255" s="1482">
        <f>IF(CO255&lt;&gt;"",MAX($CR$3:CR254)+1,"")</f>
        <v/>
      </c>
      <c r="CS255" s="2002">
        <f>MyTimestamp(CQ255)</f>
        <v/>
      </c>
      <c r="CT255" s="1533">
        <f>IF(COUNT(CE255:CF255)=1,15,IF(COUNT(CE255:CF255)=0,0,30))</f>
        <v/>
      </c>
      <c r="CU255" s="1534">
        <f>IF(CT255=0,0,2)</f>
        <v/>
      </c>
      <c r="CV255" s="860" t="inlineStr">
        <is>
          <t>S/02</t>
        </is>
      </c>
      <c r="CW255" s="860" t="inlineStr">
        <is>
          <t>Dasy6</t>
        </is>
      </c>
      <c r="CX255" s="2038"/>
      <c r="CY255" s="2049"/>
      <c r="CZ255" s="1544">
        <f>10^(CJ255/20)*100-100</f>
        <v/>
      </c>
      <c r="DA255" s="1326">
        <f>IF('Tune-Up'!$H$21="","",'Tune-Up'!$H$21)</f>
        <v/>
      </c>
      <c r="DB255" s="702">
        <f>IF(COUNT($CO$249:$CO$254)=0,"N/A",IFERROR(INDEX($DB$249:$DB$254,MATCH(MAX($CO$249:$CO$254),$CO$249:$CO$254,0)),"N/A"))</f>
        <v/>
      </c>
      <c r="DC255" s="770">
        <f>IF(DA255="","",10^(DA255/10))</f>
        <v/>
      </c>
      <c r="DD255" s="1370">
        <f>IF(ISNUMBER(DB255)=FALSE,"N/A",10^(DB255/10))</f>
        <v/>
      </c>
      <c r="DE255" s="1544">
        <f>IF(AND(ISNUMBER(DC255),ISNUMBER(DD255)),IF(DC255/DD255&gt;1,ROUND((DC255)/DD255,3),1),1)</f>
        <v/>
      </c>
      <c r="DF255" s="1541"/>
      <c r="DG255" s="1541"/>
      <c r="DH255" s="1541"/>
      <c r="DI255" s="1541"/>
      <c r="DJ255" s="1541"/>
      <c r="DK255" s="1541"/>
      <c r="DL255" s="1541"/>
      <c r="DM255" s="1541"/>
      <c r="DN255" s="1541"/>
      <c r="DO255" s="1541"/>
      <c r="DP255" s="1541"/>
      <c r="DQ255" s="1541"/>
      <c r="DR255" s="1541"/>
    </row>
    <row r="256" ht="12.75" x14ac:dyDescent="0.2">
      <c r="A256" s="1541"/>
      <c r="B256" s="1541"/>
      <c r="C256"/>
      <c r="D256" s="130">
        <f>IF(BX$249="Close to Ear","EN 62209-1","EN 62209-2")</f>
        <v/>
      </c>
      <c r="E256" s="130">
        <f>IF(CG256="Close to Ear","2016","2010/A1:2019")</f>
        <v/>
      </c>
      <c r="F256" s="1488" t="inlineStr">
        <is>
          <t>5.1</t>
        </is>
      </c>
      <c r="G256" s="1497"/>
      <c r="H256" s="120">
        <f>BV256</f>
        <v/>
      </c>
      <c r="I256" s="120">
        <f>BW256</f>
        <v/>
      </c>
      <c r="J256" s="687">
        <f>BT256</f>
        <v/>
      </c>
      <c r="K256" s="194">
        <f>BU256</f>
        <v/>
      </c>
      <c r="L256" s="115"/>
      <c r="M256" s="120">
        <f>BZ256</f>
        <v/>
      </c>
      <c r="N256" s="119"/>
      <c r="O256" s="131"/>
      <c r="P256" s="6597"/>
      <c r="Q256" s="131"/>
      <c r="R256" s="131"/>
      <c r="S256" s="120">
        <f>CG256</f>
        <v/>
      </c>
      <c r="T256" s="120">
        <f>CC256</f>
        <v/>
      </c>
      <c r="U256" s="120">
        <f>CD256</f>
        <v/>
      </c>
      <c r="V256" s="119"/>
      <c r="W256" s="197">
        <f>CK256*100</f>
        <v/>
      </c>
      <c r="X256" s="119"/>
      <c r="Y256" s="119"/>
      <c r="Z256" s="119"/>
      <c r="AA256" s="115"/>
      <c r="AB256" s="115"/>
      <c r="AC256" s="689">
        <f>IF(OR(BX$249="Close to Ear",BX$249="Close to Head"),"Head",IF(BX$249="Extremity","Extremity","Body"))</f>
        <v/>
      </c>
      <c r="AD256" s="690">
        <f>CA256</f>
        <v/>
      </c>
      <c r="AE256" s="688">
        <f>CB256</f>
        <v/>
      </c>
      <c r="AF256" s="115"/>
      <c r="AG256" s="808">
        <f>IF(AZ256="","N/A",IF(CQ256="Pass","P","F"))</f>
        <v/>
      </c>
      <c r="AH256" s="129"/>
      <c r="AI256" s="129"/>
      <c r="AJ256" s="129"/>
      <c r="AK256" s="119"/>
      <c r="AL256" s="115"/>
      <c r="AM256" s="119"/>
      <c r="AN256" s="119"/>
      <c r="AO256" s="692"/>
      <c r="AP256" s="692"/>
      <c r="AQ256" s="692"/>
      <c r="AR256" s="692"/>
      <c r="AS256" s="692"/>
      <c r="AT256" s="691">
        <f>CE256</f>
        <v/>
      </c>
      <c r="AU256" s="691">
        <f>CF256</f>
        <v/>
      </c>
      <c r="AV256" s="813"/>
      <c r="AW256" s="813"/>
      <c r="AX256" s="197">
        <f>CZ256</f>
        <v/>
      </c>
      <c r="AY256" s="197">
        <f>DE256</f>
        <v/>
      </c>
      <c r="AZ256" s="3379">
        <f>CO256</f>
        <v/>
      </c>
      <c r="BA256" s="3380"/>
      <c r="BB256" s="197">
        <f>CP256</f>
        <v/>
      </c>
      <c r="BC256" s="813"/>
      <c r="BD256" s="197">
        <f>CR256</f>
        <v/>
      </c>
      <c r="BE256" s="121">
        <f>CS256</f>
        <v/>
      </c>
      <c r="BF256" s="122">
        <f>CT256*60</f>
        <v/>
      </c>
      <c r="BG256" s="121">
        <f>BE256</f>
        <v/>
      </c>
      <c r="BH256" s="122">
        <f>CU256*60</f>
        <v/>
      </c>
      <c r="BI256" s="122">
        <f>CV256</f>
        <v/>
      </c>
      <c r="BJ256" s="117"/>
      <c r="BK256" s="812">
        <f>Overview!$E$7</f>
        <v/>
      </c>
      <c r="BL256" s="117"/>
      <c r="BM256" s="836">
        <f>CW256</f>
        <v/>
      </c>
      <c r="BN256" s="812">
        <f>Overview!$P$153</f>
        <v/>
      </c>
      <c r="BO256" s="117"/>
      <c r="BP256" s="117"/>
      <c r="BQ256" s="115"/>
      <c r="BR256" s="1478" t="inlineStr">
        <is>
          <t>N/A</t>
        </is>
      </c>
      <c r="BS256" s="1548"/>
      <c r="BT256" s="2071" t="inlineStr">
        <is>
          <t>GSM</t>
        </is>
      </c>
      <c r="BU256" s="2071">
        <v>1800</v>
      </c>
      <c r="BV256" s="415">
        <f>Overview!$H$30</f>
        <v/>
      </c>
      <c r="BW256" s="2010"/>
      <c r="BX256" s="2071"/>
      <c r="BY256" s="2072"/>
      <c r="BZ256" s="2072"/>
      <c r="CA256" s="418" t="str">
        <f>CONCATENATE(CA254," - Battery check 2")</f>
        <v>TBD - Battery check 2</v>
      </c>
      <c r="CB256" s="2074">
        <v>0</v>
      </c>
      <c r="CC256" s="1089">
        <f>IF(COUNT($CO$249:$CO$254)=0,"N/A",INDEX($CC$249:$CC$254,MATCH(MAX($CO$249:$CO$254),$CO$249:$CO$254,0)))</f>
        <v/>
      </c>
      <c r="CD256" s="1089">
        <f>IF(COUNT($CO$249:$CO$254)=0,"N/A",INDEX($CD$249:$CD$254,MATCH(MAX($CO$249:$CO$254),$CO$249:$CO$254,0)))</f>
        <v/>
      </c>
      <c r="CE256" s="1874"/>
      <c r="CF256" s="1874"/>
      <c r="CG256" s="388" t="inlineStr">
        <is>
          <t>N/A</t>
        </is>
      </c>
      <c r="CH256" s="388">
        <f>BZ256</f>
        <v/>
      </c>
      <c r="CI256" s="388">
        <f>CA256</f>
        <v/>
      </c>
      <c r="CJ256" s="2046"/>
      <c r="CK256" s="2047"/>
      <c r="CL256" s="209">
        <f>IF(CF256=""," ",IF(ABS(CE256-CF256)&lt;=0.125,"Valid","Not valid"))</f>
        <v/>
      </c>
      <c r="CM256" s="210">
        <f> IF(CE256="","",IF(AND(CE256&lt;&gt;"",CF256=""),IF(CE256&gt;=1,"Medir+Sig Max","No"),IF(CF256&lt;&gt;"",IF(CF256&gt;=1,"Medir+Sig Max","No"),"")))</f>
        <v/>
      </c>
      <c r="CN256" s="1792"/>
      <c r="CO256" s="221">
        <f>IF(CK256="",IF(AND(CE256="",CF256=""),"",IF(CF256="",IF(DE256&gt;1,ROUND(DE256*CE256,3),CE256),IF(DE256&gt;1,ROUND(DE256*CF256,3),CF256))),IF(AND(CE256="",CF256=""),"",IF(CF256="",IF(DE256&gt;1,ROUND(DE256*CE256*(1/(CK256)),3),CE256*(1/(CK256))),IF(DE256&gt;1,ROUND(DE256*CF256*(1/(CK256)),3),CF256*(1/(CK256))))))</f>
        <v/>
      </c>
      <c r="CP256" s="2048">
        <f>$CP$3</f>
        <v/>
      </c>
      <c r="CQ256" s="1473">
        <f>IF(CO256="","",IF(CO256&gt;CP256,"Fail","Pass"))</f>
        <v/>
      </c>
      <c r="CR256" s="1482">
        <f>IF(CO256&lt;&gt;"",MAX($CR$3:CR255)+1,"")</f>
        <v/>
      </c>
      <c r="CS256" s="2002">
        <f>MyTimestamp(CQ256)</f>
        <v/>
      </c>
      <c r="CT256" s="1533">
        <f>IF(COUNT(CE256:CF256)=1,15,IF(COUNT(CE256:CF256)=0,0,30))</f>
        <v/>
      </c>
      <c r="CU256" s="1534">
        <f>IF(CT256=0,0,2)</f>
        <v/>
      </c>
      <c r="CV256" s="860" t="inlineStr">
        <is>
          <t>S/02</t>
        </is>
      </c>
      <c r="CW256" s="860" t="inlineStr">
        <is>
          <t>Dasy6</t>
        </is>
      </c>
      <c r="CX256" s="2038"/>
      <c r="CY256" s="2049"/>
      <c r="CZ256" s="1544">
        <f>10^(CJ256/20)*100-100</f>
        <v/>
      </c>
      <c r="DA256" s="1326">
        <f>IF('Tune-Up'!$H$21="","",'Tune-Up'!$H$21)</f>
        <v/>
      </c>
      <c r="DB256" s="702">
        <f>IF(COUNT($CO$249:$CO$254)=0,"N/A",IFERROR(INDEX($DB$249:$DB$254,MATCH(MAX($CO$249:$CO$254),$CO$249:$CO$254,0)),"N/A"))</f>
        <v/>
      </c>
      <c r="DC256" s="770">
        <f>IF(DA256="","",10^(DA256/10))</f>
        <v/>
      </c>
      <c r="DD256" s="1370">
        <f>IF(ISNUMBER(DB256)=FALSE,"N/A",10^(DB256/10))</f>
        <v/>
      </c>
      <c r="DE256" s="1544">
        <f>IF(AND(ISNUMBER(DC256),ISNUMBER(DD256)),IF(DC256/DD256&gt;1,ROUND((DC256)/DD256,3),1),1)</f>
        <v/>
      </c>
      <c r="DF256" s="1541"/>
      <c r="DG256" s="1541"/>
      <c r="DH256" s="1541"/>
      <c r="DI256" s="1541"/>
      <c r="DJ256" s="1541"/>
      <c r="DK256" s="1541"/>
      <c r="DL256" s="1541"/>
      <c r="DM256" s="1541"/>
      <c r="DN256" s="1541"/>
      <c r="DO256" s="1541"/>
      <c r="DP256" s="1541"/>
      <c r="DQ256" s="1541"/>
      <c r="DR256" s="1541"/>
    </row>
    <row r="257" ht="12.75" x14ac:dyDescent="0.2">
      <c r="A257" s="1541"/>
      <c r="B257" s="1541"/>
      <c r="C257"/>
      <c r="D257" s="130">
        <f>IF(BX$257="Close to Ear","EN 62209-1","EN 62209-2")</f>
        <v/>
      </c>
      <c r="E257" s="130">
        <f>IF(CG257="Close to Ear","2016","2010/A1:2019")</f>
        <v/>
      </c>
      <c r="F257" s="1488" t="inlineStr">
        <is>
          <t>5.1</t>
        </is>
      </c>
      <c r="G257" s="1497"/>
      <c r="H257" s="120">
        <f>BV257</f>
        <v/>
      </c>
      <c r="I257" s="120">
        <f>BW257</f>
        <v/>
      </c>
      <c r="J257" s="687" t="str">
        <f>BT257</f>
        <v>GSM</v>
      </c>
      <c r="K257" s="194">
        <f>BU257</f>
        <v>1800</v>
      </c>
      <c r="L257" s="115"/>
      <c r="M257" s="120">
        <f>BZ257</f>
        <v>0</v>
      </c>
      <c r="N257" s="119"/>
      <c r="O257" s="131"/>
      <c r="P257" s="6597"/>
      <c r="Q257" s="131"/>
      <c r="R257" s="131"/>
      <c r="S257" s="120">
        <f>CG257</f>
        <v>0</v>
      </c>
      <c r="T257" s="120">
        <f>CC257</f>
        <v>698</v>
      </c>
      <c r="U257" s="120">
        <f>CD257</f>
        <v>1747.4</v>
      </c>
      <c r="V257" s="119"/>
      <c r="W257" s="197">
        <f>CK257*100</f>
        <v/>
      </c>
      <c r="X257" s="119"/>
      <c r="Y257" s="119"/>
      <c r="Z257" s="119"/>
      <c r="AA257" s="115"/>
      <c r="AB257" s="115"/>
      <c r="AC257" s="689">
        <f>IF(OR(BX$257="Close to Ear",BX$257="Close to Head"),"Head",IF(BX$257="Extremity","Extremity","Body"))</f>
        <v/>
      </c>
      <c r="AD257" s="690">
        <f>CA257</f>
        <v/>
      </c>
      <c r="AE257" s="688">
        <f>CB257</f>
        <v/>
      </c>
      <c r="AF257" s="115"/>
      <c r="AG257" s="808">
        <f>IF(AZ257="","N/A",IF(CQ257="Pass","P","F"))</f>
        <v/>
      </c>
      <c r="AH257" s="129"/>
      <c r="AI257" s="129"/>
      <c r="AJ257" s="129"/>
      <c r="AK257" s="119"/>
      <c r="AL257" s="115"/>
      <c r="AM257" s="119"/>
      <c r="AN257" s="119"/>
      <c r="AO257" s="692"/>
      <c r="AP257" s="692"/>
      <c r="AQ257" s="692"/>
      <c r="AR257" s="692"/>
      <c r="AS257" s="692"/>
      <c r="AT257" s="691">
        <f>CE257</f>
        <v/>
      </c>
      <c r="AU257" s="691">
        <f>CF257</f>
        <v/>
      </c>
      <c r="AV257" s="813"/>
      <c r="AW257" s="813"/>
      <c r="AX257" s="197">
        <f>CZ257</f>
        <v/>
      </c>
      <c r="AY257" s="197">
        <f>DE257</f>
        <v/>
      </c>
      <c r="AZ257" s="3379">
        <f>CO257</f>
        <v/>
      </c>
      <c r="BA257" s="3380"/>
      <c r="BB257" s="197">
        <f>CP257</f>
        <v/>
      </c>
      <c r="BC257" s="813"/>
      <c r="BD257" s="197">
        <f>CR257</f>
        <v/>
      </c>
      <c r="BE257" s="121">
        <f>CS257</f>
        <v/>
      </c>
      <c r="BF257" s="122">
        <f>CT257*60</f>
        <v/>
      </c>
      <c r="BG257" s="121">
        <f>BE257</f>
        <v/>
      </c>
      <c r="BH257" s="122">
        <f>CU257*60</f>
        <v/>
      </c>
      <c r="BI257" s="122">
        <f>CV257</f>
        <v/>
      </c>
      <c r="BJ257" s="117"/>
      <c r="BK257" s="812">
        <f>Overview!$E$7</f>
        <v/>
      </c>
      <c r="BL257" s="117"/>
      <c r="BM257" s="836">
        <f>CW257</f>
        <v/>
      </c>
      <c r="BN257" s="812">
        <f>Overview!$P$153</f>
        <v/>
      </c>
      <c r="BO257" s="117"/>
      <c r="BP257" s="117"/>
      <c r="BQ257" s="115"/>
      <c r="BR257" s="1478" t="inlineStr">
        <is>
          <t>N/A</t>
        </is>
      </c>
      <c r="BS257" s="1548"/>
      <c r="BT257" s="2071" t="inlineStr">
        <is>
          <t>GSM</t>
        </is>
      </c>
      <c r="BU257" s="2071">
        <v>1800</v>
      </c>
      <c r="BV257" s="415">
        <f>Overview!$H$30</f>
        <v/>
      </c>
      <c r="BW257" s="2010"/>
      <c r="BX257" s="7674" t="inlineStr">
        <is>
          <t>Close to Head</t>
        </is>
      </c>
      <c r="BY257" s="2072"/>
      <c r="BZ257" s="2072"/>
      <c r="CA257" s="1996" t="inlineStr">
        <is>
          <t>Front Face</t>
        </is>
      </c>
      <c r="CB257" s="1959">
        <v>5</v>
      </c>
      <c r="CC257" s="856">
        <f>'2G-3G'!BX33</f>
        <v>698</v>
      </c>
      <c r="CD257" s="856">
        <f>'2G-3G'!BY33</f>
        <v>1747.4</v>
      </c>
      <c r="CE257" s="1522"/>
      <c r="CF257" s="1522"/>
      <c r="CG257" s="386" t="str">
        <f>IF(OR($BY$167="",$BY$167=""),"",$BY$167)</f>
        <v/>
      </c>
      <c r="CH257" s="386">
        <f>BZ257</f>
        <v/>
      </c>
      <c r="CI257" s="386">
        <f>CA257</f>
        <v/>
      </c>
      <c r="CJ257" s="1526"/>
      <c r="CK257" s="2070"/>
      <c r="CL257" s="203">
        <f>IF(CF257=""," ",IF(ABS(CE257-CF257)&lt;=0.125,"Valid","Not valid"))</f>
        <v/>
      </c>
      <c r="CM257" s="204">
        <f> IF(CE257="","",IF(AND(CE257&lt;&gt;"",CF257=""),IF(CE257&gt;=1,"Medir+Sig Max","No"),IF(CF257&lt;&gt;"",IF(CF257&gt;=1,"Medir+Sig Max","No"),"")))</f>
        <v/>
      </c>
      <c r="CN257" s="1798"/>
      <c r="CO257" s="219">
        <f>IF(CK257="",IF(AND(CE257="",CF257=""),"",IF(CF257="",IF(DE257&gt;1,ROUND(DE257*CE257,3),CE257),IF(DE257&gt;1,ROUND(DE257*CF257,3),CF257))),IF(AND(CE257="",CF257=""),"",IF(CF257="",IF(DE257&gt;1,ROUND(DE257*CE257*(1/(CK257)),3),CE257*(1/(CK257))),IF(DE257&gt;1,ROUND(DE257*CF257*(1/(CK257)),3),CF257*(1/(CK257))))))</f>
        <v/>
      </c>
      <c r="CP257" s="2037">
        <f>$CP$3</f>
        <v/>
      </c>
      <c r="CQ257" s="1471">
        <f>IF(CO257="","",IF(CO257&gt;CP257,"Fail","Pass"))</f>
        <v/>
      </c>
      <c r="CR257" s="1480">
        <f>IF(AND(MAX(CO257:CO264)=CO257,CO257&lt;&gt;0),COUNT($CR$3:CR254)+1,"")</f>
        <v/>
      </c>
      <c r="CS257" s="1564">
        <f>MyTimestamp(CO257)</f>
        <v/>
      </c>
      <c r="CT257" s="1529">
        <f>IF(CE257="",0,15)+IF(CF257="",0,15)</f>
        <v/>
      </c>
      <c r="CU257" s="1530">
        <f>IF(CT257=0,0,2)</f>
        <v/>
      </c>
      <c r="CV257" s="862" t="inlineStr">
        <is>
          <t>S/02</t>
        </is>
      </c>
      <c r="CW257" s="862" t="inlineStr">
        <is>
          <t>Dasy6</t>
        </is>
      </c>
      <c r="CX257" s="2038"/>
      <c r="CY257" s="2039"/>
      <c r="CZ257" s="1542">
        <f>10^(CJ257/20)*100-100</f>
        <v/>
      </c>
      <c r="DA257" s="1324">
        <f>IF('Tune-Up'!$H$21="","",'Tune-Up'!$H$21)</f>
        <v/>
      </c>
      <c r="DB257" s="700">
        <f>'2G-3G'!BZ33</f>
        <v/>
      </c>
      <c r="DC257" s="768">
        <f>IF(DA257="","",10^(DA257/10))</f>
        <v/>
      </c>
      <c r="DD257" s="1368">
        <f>IF(ISNUMBER(DB257)=FALSE,"",10^(DB257/10))</f>
        <v/>
      </c>
      <c r="DE257" s="1542">
        <f>IF(AND(ISNUMBER(DC257),ISNUMBER(DD257)),IF(DC257/DD257&gt;1,ROUND((DC257)/DD257,3),1),1)</f>
        <v/>
      </c>
      <c r="DF257" s="1541"/>
      <c r="DG257" s="1541"/>
      <c r="DH257" s="1541"/>
      <c r="DI257" s="1541"/>
      <c r="DJ257" s="1541"/>
      <c r="DK257" s="1541"/>
      <c r="DL257" s="1541"/>
      <c r="DM257" s="1541"/>
      <c r="DN257" s="1541"/>
      <c r="DO257" s="1541"/>
      <c r="DP257" s="1541"/>
      <c r="DQ257" s="1541"/>
      <c r="DR257" s="1541"/>
    </row>
    <row r="258" ht="12.75" x14ac:dyDescent="0.2">
      <c r="A258" s="1541"/>
      <c r="B258" s="1541"/>
      <c r="C258"/>
      <c r="D258" s="130">
        <f>IF(BX$257="Close to Ear","EN 62209-1","EN 62209-2")</f>
        <v/>
      </c>
      <c r="E258" s="130">
        <f>IF(CG258="Close to Ear","2016","2010/A1:2019")</f>
        <v/>
      </c>
      <c r="F258" s="1488" t="inlineStr">
        <is>
          <t>5.1</t>
        </is>
      </c>
      <c r="G258" s="1497"/>
      <c r="H258" s="120">
        <f>BV258</f>
        <v/>
      </c>
      <c r="I258" s="120">
        <f>BW258</f>
        <v/>
      </c>
      <c r="J258" s="687" t="str">
        <f>BT258</f>
        <v>GSM</v>
      </c>
      <c r="K258" s="194">
        <f>BU258</f>
        <v>1800</v>
      </c>
      <c r="L258" s="115"/>
      <c r="M258" s="120">
        <f>BZ258</f>
        <v>0</v>
      </c>
      <c r="N258" s="119"/>
      <c r="O258" s="131"/>
      <c r="P258" s="6597"/>
      <c r="Q258" s="131"/>
      <c r="R258" s="131"/>
      <c r="S258" s="120">
        <f>CG258</f>
        <v>0</v>
      </c>
      <c r="T258" s="120">
        <f>CC258</f>
        <v>698</v>
      </c>
      <c r="U258" s="120">
        <f>CD258</f>
        <v>1747.4</v>
      </c>
      <c r="V258" s="119"/>
      <c r="W258" s="197">
        <f>CK258*100</f>
        <v/>
      </c>
      <c r="X258" s="119"/>
      <c r="Y258" s="119"/>
      <c r="Z258" s="119"/>
      <c r="AA258" s="115"/>
      <c r="AB258" s="115"/>
      <c r="AC258" s="689">
        <f>IF(OR(BX$257="Close to Ear",BX$257="Close to Head"),"Head",IF(BX$257="Extremity","Extremity","Body"))</f>
        <v/>
      </c>
      <c r="AD258" s="690">
        <f>CA258</f>
        <v/>
      </c>
      <c r="AE258" s="688">
        <f>CB258</f>
        <v/>
      </c>
      <c r="AF258" s="115"/>
      <c r="AG258" s="808">
        <f>IF(AZ258="","N/A",IF(CQ258="Pass","P","F"))</f>
        <v/>
      </c>
      <c r="AH258" s="129"/>
      <c r="AI258" s="129"/>
      <c r="AJ258" s="129"/>
      <c r="AK258" s="119"/>
      <c r="AL258" s="115"/>
      <c r="AM258" s="119"/>
      <c r="AN258" s="119"/>
      <c r="AO258" s="692"/>
      <c r="AP258" s="692"/>
      <c r="AQ258" s="692"/>
      <c r="AR258" s="692"/>
      <c r="AS258" s="692"/>
      <c r="AT258" s="691">
        <f>CE258</f>
        <v/>
      </c>
      <c r="AU258" s="691">
        <f>CF258</f>
        <v/>
      </c>
      <c r="AV258" s="813"/>
      <c r="AW258" s="813"/>
      <c r="AX258" s="197">
        <f>CZ258</f>
        <v/>
      </c>
      <c r="AY258" s="197">
        <f>DE258</f>
        <v/>
      </c>
      <c r="AZ258" s="3379">
        <f>CO258</f>
        <v/>
      </c>
      <c r="BA258" s="3380"/>
      <c r="BB258" s="197">
        <f>CP258</f>
        <v/>
      </c>
      <c r="BC258" s="813"/>
      <c r="BD258" s="197">
        <f>CR258</f>
        <v/>
      </c>
      <c r="BE258" s="121">
        <f>CS258</f>
        <v/>
      </c>
      <c r="BF258" s="122">
        <f>CT258*60</f>
        <v/>
      </c>
      <c r="BG258" s="121">
        <f>BE258</f>
        <v/>
      </c>
      <c r="BH258" s="122">
        <f>CU258*60</f>
        <v/>
      </c>
      <c r="BI258" s="122">
        <f>CV258</f>
        <v/>
      </c>
      <c r="BJ258" s="117"/>
      <c r="BK258" s="812">
        <f>Overview!$E$7</f>
        <v/>
      </c>
      <c r="BL258" s="117"/>
      <c r="BM258" s="836">
        <f>CW258</f>
        <v/>
      </c>
      <c r="BN258" s="812">
        <f>Overview!$P$153</f>
        <v/>
      </c>
      <c r="BO258" s="117"/>
      <c r="BP258" s="117"/>
      <c r="BQ258" s="115"/>
      <c r="BR258" s="1478" t="inlineStr">
        <is>
          <t>N/A</t>
        </is>
      </c>
      <c r="BS258" s="1548"/>
      <c r="BT258" s="2071" t="inlineStr">
        <is>
          <t>GSM</t>
        </is>
      </c>
      <c r="BU258" s="2071">
        <v>1800</v>
      </c>
      <c r="BV258" s="415">
        <f>Overview!$H$30</f>
        <v/>
      </c>
      <c r="BW258" s="2010"/>
      <c r="BX258" s="2071"/>
      <c r="BY258" s="2072"/>
      <c r="BZ258" s="2072"/>
      <c r="CA258" s="1997" t="inlineStr">
        <is>
          <t>Back Face</t>
        </is>
      </c>
      <c r="CB258" s="200">
        <v>5</v>
      </c>
      <c r="CC258" s="902">
        <f>'2G-3G'!BX33</f>
        <v>698</v>
      </c>
      <c r="CD258" s="902">
        <f>'2G-3G'!BY33</f>
        <v>1747.4</v>
      </c>
      <c r="CE258" s="1523"/>
      <c r="CF258" s="1523"/>
      <c r="CG258" s="387" t="str">
        <f>IF(OR($BY$167="",$BY$167=""),"",$BY$167)</f>
        <v/>
      </c>
      <c r="CH258" s="387">
        <f>BZ258</f>
        <v/>
      </c>
      <c r="CI258" s="387">
        <f>CA258</f>
        <v/>
      </c>
      <c r="CJ258" s="1527"/>
      <c r="CK258" s="2042"/>
      <c r="CL258" s="206">
        <f>IF(CF258=""," ",IF(ABS(CE258-CF258)&lt;=0.125,"Valid","Not valid"))</f>
        <v/>
      </c>
      <c r="CM258" s="207">
        <f> IF(CE258="","",IF(AND(CE258&lt;&gt;"",CF258=""),IF(CE258&gt;=1,"Medir+Sig Max","No"),IF(CF258&lt;&gt;"",IF(CF258&gt;=1,"Medir+Sig Max","No"),"")))</f>
        <v/>
      </c>
      <c r="CN258" s="1787"/>
      <c r="CO258" s="220">
        <f>IF(CK258="",IF(AND(CE258="",CF258=""),"",IF(CF258="",IF(DE258&gt;1,ROUND(DE258*CE258,3),CE258),IF(DE258&gt;1,ROUND(DE258*CF258,3),CF258))),IF(AND(CE258="",CF258=""),"",IF(CF258="",IF(DE258&gt;1,ROUND(DE258*CE258*(1/(CK258)),3),CE258*(1/(CK258))),IF(DE258&gt;1,ROUND(DE258*CF258*(1/(CK258)),3),CF258*(1/(CK258))))))</f>
        <v/>
      </c>
      <c r="CP258" s="2043">
        <f>$CP$3</f>
        <v/>
      </c>
      <c r="CQ258" s="1472">
        <f>IF(CO258="","",IF(CO258&gt;CP258,"Fail","Pass"))</f>
        <v/>
      </c>
      <c r="CR258" s="1481">
        <f>IF(AND(MAX(CO257:CO264)=CO258,CO258&lt;&gt;0),COUNT($CR$3:CR257)+1,"")</f>
        <v/>
      </c>
      <c r="CS258" s="1565">
        <f>MyTimestamp(CO258)</f>
        <v/>
      </c>
      <c r="CT258" s="1531">
        <f>IF(CE258="",0,15)+IF(CF258="",0,15)</f>
        <v/>
      </c>
      <c r="CU258" s="1532">
        <f>IF(CT258=0,0,2)</f>
        <v/>
      </c>
      <c r="CV258" s="859" t="inlineStr">
        <is>
          <t>S/02</t>
        </is>
      </c>
      <c r="CW258" s="859" t="inlineStr">
        <is>
          <t>Dasy6</t>
        </is>
      </c>
      <c r="CX258" s="2038"/>
      <c r="CY258" s="2044"/>
      <c r="CZ258" s="1543">
        <f>10^(CJ258/20)*100-100</f>
        <v/>
      </c>
      <c r="DA258" s="1325">
        <f>IF('Tune-Up'!$H$21="","",'Tune-Up'!$H$21)</f>
        <v/>
      </c>
      <c r="DB258" s="701">
        <f>'2G-3G'!BZ33</f>
        <v/>
      </c>
      <c r="DC258" s="769">
        <f>IF(DA258="","",10^(DA258/10))</f>
        <v/>
      </c>
      <c r="DD258" s="1369">
        <f>IF(ISNUMBER(DB258)=FALSE,"",10^(DB258/10))</f>
        <v/>
      </c>
      <c r="DE258" s="1543">
        <f>IF(AND(ISNUMBER(DC258),ISNUMBER(DD258)),IF(DC258/DD258&gt;1,ROUND((DC258)/DD258,3),1),1)</f>
        <v/>
      </c>
      <c r="DF258" s="1541"/>
      <c r="DG258" s="1541"/>
      <c r="DH258" s="1541"/>
      <c r="DI258" s="1541"/>
      <c r="DJ258" s="1541"/>
      <c r="DK258" s="1541"/>
      <c r="DL258" s="1541"/>
      <c r="DM258" s="1541"/>
      <c r="DN258" s="1541"/>
      <c r="DO258" s="1541"/>
      <c r="DP258" s="1541"/>
      <c r="DQ258" s="1541"/>
      <c r="DR258" s="1541"/>
    </row>
    <row r="259" ht="12.75" x14ac:dyDescent="0.2">
      <c r="A259" s="1541"/>
      <c r="B259" s="1541"/>
      <c r="C259"/>
      <c r="D259" s="130">
        <f>IF(BX$257="Close to Ear","EN 62209-1","EN 62209-2")</f>
        <v/>
      </c>
      <c r="E259" s="130">
        <f>IF(CG259="Close to Ear","2016","2010/A1:2019")</f>
        <v/>
      </c>
      <c r="F259" s="1488" t="inlineStr">
        <is>
          <t>5.1</t>
        </is>
      </c>
      <c r="G259" s="1497"/>
      <c r="H259" s="120">
        <f>BV259</f>
        <v/>
      </c>
      <c r="I259" s="120">
        <f>BW259</f>
        <v/>
      </c>
      <c r="J259" s="687" t="str">
        <f>BT259</f>
        <v>GSM</v>
      </c>
      <c r="K259" s="194">
        <f>BU259</f>
        <v>1800</v>
      </c>
      <c r="L259" s="115"/>
      <c r="M259" s="120">
        <f>BZ259</f>
        <v>0</v>
      </c>
      <c r="N259" s="119"/>
      <c r="O259" s="131"/>
      <c r="P259" s="6597"/>
      <c r="Q259" s="131"/>
      <c r="R259" s="131"/>
      <c r="S259" s="120">
        <f>CG259</f>
        <v>0</v>
      </c>
      <c r="T259" s="120">
        <f>CC259</f>
        <v>698</v>
      </c>
      <c r="U259" s="120">
        <f>CD259</f>
        <v>1747.4</v>
      </c>
      <c r="V259" s="119"/>
      <c r="W259" s="197">
        <f>CK259*100</f>
        <v/>
      </c>
      <c r="X259" s="119"/>
      <c r="Y259" s="119"/>
      <c r="Z259" s="119"/>
      <c r="AA259" s="115"/>
      <c r="AB259" s="115"/>
      <c r="AC259" s="689">
        <f>IF(OR(BX$257="Close to Ear",BX$257="Close to Head"),"Head",IF(BX$257="Extremity","Extremity","Body"))</f>
        <v/>
      </c>
      <c r="AD259" s="690">
        <f>CA259</f>
        <v/>
      </c>
      <c r="AE259" s="688">
        <f>CB259</f>
        <v/>
      </c>
      <c r="AF259" s="115"/>
      <c r="AG259" s="808">
        <f>IF(AZ259="","N/A",IF(CQ259="Pass","P","F"))</f>
        <v/>
      </c>
      <c r="AH259" s="129"/>
      <c r="AI259" s="129"/>
      <c r="AJ259" s="129"/>
      <c r="AK259" s="119"/>
      <c r="AL259" s="115"/>
      <c r="AM259" s="119"/>
      <c r="AN259" s="119"/>
      <c r="AO259" s="692"/>
      <c r="AP259" s="692"/>
      <c r="AQ259" s="692"/>
      <c r="AR259" s="692"/>
      <c r="AS259" s="692"/>
      <c r="AT259" s="691">
        <f>CE259</f>
        <v/>
      </c>
      <c r="AU259" s="691">
        <f>CF259</f>
        <v/>
      </c>
      <c r="AV259" s="813"/>
      <c r="AW259" s="813"/>
      <c r="AX259" s="197">
        <f>CZ259</f>
        <v/>
      </c>
      <c r="AY259" s="197">
        <f>DE259</f>
        <v/>
      </c>
      <c r="AZ259" s="3379">
        <f>CO259</f>
        <v/>
      </c>
      <c r="BA259" s="3380"/>
      <c r="BB259" s="197">
        <f>CP259</f>
        <v/>
      </c>
      <c r="BC259" s="813"/>
      <c r="BD259" s="197">
        <f>CR259</f>
        <v/>
      </c>
      <c r="BE259" s="121">
        <f>CS259</f>
        <v/>
      </c>
      <c r="BF259" s="122">
        <f>CT259*60</f>
        <v/>
      </c>
      <c r="BG259" s="121">
        <f>BE259</f>
        <v/>
      </c>
      <c r="BH259" s="122">
        <f>CU259*60</f>
        <v/>
      </c>
      <c r="BI259" s="122">
        <f>CV259</f>
        <v/>
      </c>
      <c r="BJ259" s="117"/>
      <c r="BK259" s="812">
        <f>Overview!$E$7</f>
        <v/>
      </c>
      <c r="BL259" s="117"/>
      <c r="BM259" s="836">
        <f>CW259</f>
        <v/>
      </c>
      <c r="BN259" s="812">
        <f>Overview!$P$153</f>
        <v/>
      </c>
      <c r="BO259" s="117"/>
      <c r="BP259" s="117"/>
      <c r="BQ259" s="115"/>
      <c r="BR259" s="1478" t="inlineStr">
        <is>
          <t>N/A</t>
        </is>
      </c>
      <c r="BS259" s="1548"/>
      <c r="BT259" s="2071" t="inlineStr">
        <is>
          <t>GSM</t>
        </is>
      </c>
      <c r="BU259" s="2071">
        <v>1800</v>
      </c>
      <c r="BV259" s="415">
        <f>Overview!$H$30</f>
        <v/>
      </c>
      <c r="BW259" s="2010"/>
      <c r="BX259" s="2071"/>
      <c r="BY259" s="2072"/>
      <c r="BZ259" s="2072"/>
      <c r="CA259" s="1997" t="inlineStr">
        <is>
          <t>Left Edge</t>
        </is>
      </c>
      <c r="CB259" s="200">
        <v>5</v>
      </c>
      <c r="CC259" s="902">
        <f>'2G-3G'!BX33</f>
        <v>698</v>
      </c>
      <c r="CD259" s="902">
        <f>'2G-3G'!BY33</f>
        <v>1747.4</v>
      </c>
      <c r="CE259" s="1523"/>
      <c r="CF259" s="1523"/>
      <c r="CG259" s="387" t="str">
        <f>IF(OR($BY$167="",$BY$167=""),"",$BY$167)</f>
        <v/>
      </c>
      <c r="CH259" s="387">
        <f>BZ259</f>
        <v/>
      </c>
      <c r="CI259" s="387">
        <f>CA259</f>
        <v/>
      </c>
      <c r="CJ259" s="1527"/>
      <c r="CK259" s="2042"/>
      <c r="CL259" s="206">
        <f>IF(CF259=""," ",IF(ABS(CE259-CF259)&lt;=0.125,"Valid","Not valid"))</f>
        <v/>
      </c>
      <c r="CM259" s="207">
        <f> IF(CE259="","",IF(AND(CE259&lt;&gt;"",CF259=""),IF(CE259&gt;=1,"Medir+Sig Max","No"),IF(CF259&lt;&gt;"",IF(CF259&gt;=1,"Medir+Sig Max","No"),"")))</f>
        <v/>
      </c>
      <c r="CN259" s="1787"/>
      <c r="CO259" s="220">
        <f>IF(CK259="",IF(AND(CE259="",CF259=""),"",IF(CF259="",IF(DE259&gt;1,ROUND(DE259*CE259,3),CE259),IF(DE259&gt;1,ROUND(DE259*CF259,3),CF259))),IF(AND(CE259="",CF259=""),"",IF(CF259="",IF(DE259&gt;1,ROUND(DE259*CE259*(1/(CK259)),3),CE259*(1/(CK259))),IF(DE259&gt;1,ROUND(DE259*CF259*(1/(CK259)),3),CF259*(1/(CK259))))))</f>
        <v/>
      </c>
      <c r="CP259" s="2043">
        <f>$CP$3</f>
        <v/>
      </c>
      <c r="CQ259" s="1472">
        <f>IF(CO259="","",IF(CO259&gt;CP259,"Fail","Pass"))</f>
        <v/>
      </c>
      <c r="CR259" s="1481">
        <f>IF(AND(MAX(CO257:CO264)=CO259,CO259&lt;&gt;0),COUNT($CR$3:CR258)+1,"")</f>
        <v/>
      </c>
      <c r="CS259" s="1565">
        <f>MyTimestamp(CO259)</f>
        <v/>
      </c>
      <c r="CT259" s="1531">
        <f>IF(CE259="",0,15)+IF(CF259="",0,15)</f>
        <v/>
      </c>
      <c r="CU259" s="1532">
        <f>IF(CT259=0,0,2)</f>
        <v/>
      </c>
      <c r="CV259" s="859" t="inlineStr">
        <is>
          <t>S/02</t>
        </is>
      </c>
      <c r="CW259" s="859" t="inlineStr">
        <is>
          <t>Dasy6</t>
        </is>
      </c>
      <c r="CX259" s="2038"/>
      <c r="CY259" s="2044"/>
      <c r="CZ259" s="1543">
        <f>10^(CJ259/20)*100-100</f>
        <v/>
      </c>
      <c r="DA259" s="1325">
        <f>IF('Tune-Up'!$H$21="","",'Tune-Up'!$H$21)</f>
        <v/>
      </c>
      <c r="DB259" s="701">
        <f>'2G-3G'!BZ33</f>
        <v/>
      </c>
      <c r="DC259" s="769">
        <f>IF(DA259="","",10^(DA259/10))</f>
        <v/>
      </c>
      <c r="DD259" s="1369">
        <f>IF(ISNUMBER(DB259)=FALSE,"",10^(DB259/10))</f>
        <v/>
      </c>
      <c r="DE259" s="1543">
        <f>IF(AND(ISNUMBER(DC259),ISNUMBER(DD259)),IF(DC259/DD259&gt;1,ROUND((DC259)/DD259,3),1),1)</f>
        <v/>
      </c>
      <c r="DF259" s="1541"/>
      <c r="DG259" s="1541"/>
      <c r="DH259" s="1541"/>
      <c r="DI259" s="1541"/>
      <c r="DJ259" s="1541"/>
      <c r="DK259" s="1541"/>
      <c r="DL259" s="1541"/>
      <c r="DM259" s="1541"/>
      <c r="DN259" s="1541"/>
      <c r="DO259" s="1541"/>
      <c r="DP259" s="1541"/>
      <c r="DQ259" s="1541"/>
      <c r="DR259" s="1541"/>
    </row>
    <row r="260" ht="12.75" x14ac:dyDescent="0.2">
      <c r="A260" s="1541"/>
      <c r="B260" s="1541"/>
      <c r="C260"/>
      <c r="D260" s="130">
        <f>IF(BX$257="Close to Ear","EN 62209-1","EN 62209-2")</f>
        <v/>
      </c>
      <c r="E260" s="130">
        <f>IF(CG260="Close to Ear","2016","2010/A1:2019")</f>
        <v/>
      </c>
      <c r="F260" s="1488" t="inlineStr">
        <is>
          <t>5.1</t>
        </is>
      </c>
      <c r="G260" s="1497"/>
      <c r="H260" s="120">
        <f>BV260</f>
        <v/>
      </c>
      <c r="I260" s="120">
        <f>BW260</f>
        <v/>
      </c>
      <c r="J260" s="687" t="str">
        <f>BT260</f>
        <v>GSM</v>
      </c>
      <c r="K260" s="194">
        <f>BU260</f>
        <v>1800</v>
      </c>
      <c r="L260" s="115"/>
      <c r="M260" s="120">
        <f>BZ260</f>
        <v>0</v>
      </c>
      <c r="N260" s="119"/>
      <c r="O260" s="131"/>
      <c r="P260" s="6597"/>
      <c r="Q260" s="131"/>
      <c r="R260" s="131"/>
      <c r="S260" s="120">
        <f>CG260</f>
        <v>0</v>
      </c>
      <c r="T260" s="120">
        <f>CC260</f>
        <v>698</v>
      </c>
      <c r="U260" s="120">
        <f>CD260</f>
        <v>1747.4</v>
      </c>
      <c r="V260" s="119"/>
      <c r="W260" s="197">
        <f>CK260*100</f>
        <v/>
      </c>
      <c r="X260" s="119"/>
      <c r="Y260" s="119"/>
      <c r="Z260" s="119"/>
      <c r="AA260" s="115"/>
      <c r="AB260" s="115"/>
      <c r="AC260" s="689">
        <f>IF(OR(BX$257="Close to Ear",BX$257="Close to Head"),"Head",IF(BX$257="Extremity","Extremity","Body"))</f>
        <v/>
      </c>
      <c r="AD260" s="690">
        <f>CA260</f>
        <v/>
      </c>
      <c r="AE260" s="688">
        <f>CB260</f>
        <v/>
      </c>
      <c r="AF260" s="115"/>
      <c r="AG260" s="808">
        <f>IF(AZ260="","N/A",IF(CQ260="Pass","P","F"))</f>
        <v/>
      </c>
      <c r="AH260" s="129"/>
      <c r="AI260" s="129"/>
      <c r="AJ260" s="129"/>
      <c r="AK260" s="119"/>
      <c r="AL260" s="115"/>
      <c r="AM260" s="119"/>
      <c r="AN260" s="119"/>
      <c r="AO260" s="692"/>
      <c r="AP260" s="692"/>
      <c r="AQ260" s="692"/>
      <c r="AR260" s="692"/>
      <c r="AS260" s="692"/>
      <c r="AT260" s="691">
        <f>CE260</f>
        <v/>
      </c>
      <c r="AU260" s="691">
        <f>CF260</f>
        <v/>
      </c>
      <c r="AV260" s="813"/>
      <c r="AW260" s="813"/>
      <c r="AX260" s="197">
        <f>CZ260</f>
        <v/>
      </c>
      <c r="AY260" s="197">
        <f>DE260</f>
        <v/>
      </c>
      <c r="AZ260" s="3379">
        <f>CO260</f>
        <v/>
      </c>
      <c r="BA260" s="3380"/>
      <c r="BB260" s="197">
        <f>CP260</f>
        <v/>
      </c>
      <c r="BC260" s="813"/>
      <c r="BD260" s="197">
        <f>CR260</f>
        <v/>
      </c>
      <c r="BE260" s="121">
        <f>CS260</f>
        <v/>
      </c>
      <c r="BF260" s="122">
        <f>CT260*60</f>
        <v/>
      </c>
      <c r="BG260" s="121">
        <f>BE260</f>
        <v/>
      </c>
      <c r="BH260" s="122">
        <f>CU260*60</f>
        <v/>
      </c>
      <c r="BI260" s="122">
        <f>CV260</f>
        <v/>
      </c>
      <c r="BJ260" s="117"/>
      <c r="BK260" s="812">
        <f>Overview!$E$7</f>
        <v/>
      </c>
      <c r="BL260" s="117"/>
      <c r="BM260" s="836">
        <f>CW260</f>
        <v/>
      </c>
      <c r="BN260" s="812">
        <f>Overview!$P$153</f>
        <v/>
      </c>
      <c r="BO260" s="117"/>
      <c r="BP260" s="117"/>
      <c r="BQ260" s="115"/>
      <c r="BR260" s="1478" t="inlineStr">
        <is>
          <t>N/A</t>
        </is>
      </c>
      <c r="BS260" s="1548"/>
      <c r="BT260" s="1891" t="inlineStr">
        <is>
          <t>GSM</t>
        </is>
      </c>
      <c r="BU260" s="1891">
        <v>1800</v>
      </c>
      <c r="BV260" s="417">
        <f>Overview!$H$30</f>
        <v/>
      </c>
      <c r="BW260" s="2010"/>
      <c r="BX260" s="1891"/>
      <c r="BY260" s="2072"/>
      <c r="BZ260" s="2072"/>
      <c r="CA260" s="1997" t="inlineStr">
        <is>
          <t>Right Edge</t>
        </is>
      </c>
      <c r="CB260" s="200">
        <v>5</v>
      </c>
      <c r="CC260" s="902">
        <f>'2G-3G'!BX33</f>
        <v>698</v>
      </c>
      <c r="CD260" s="902">
        <f>'2G-3G'!BY33</f>
        <v>1747.4</v>
      </c>
      <c r="CE260" s="1523"/>
      <c r="CF260" s="1523"/>
      <c r="CG260" s="387" t="str">
        <f>IF(OR($BY$167="",$BY$167=""),"",$BY$167)</f>
        <v/>
      </c>
      <c r="CH260" s="387">
        <f>BZ260</f>
        <v/>
      </c>
      <c r="CI260" s="387">
        <f>CA260</f>
        <v/>
      </c>
      <c r="CJ260" s="1527"/>
      <c r="CK260" s="2042"/>
      <c r="CL260" s="206">
        <f>IF(CF260=""," ",IF(ABS(CE260-CF260)&lt;=0.125,"Valid","Not valid"))</f>
        <v/>
      </c>
      <c r="CM260" s="207">
        <f> IF(CE260="","",IF(AND(CE260&lt;&gt;"",CF260=""),IF(CE260&gt;=1,"Medir+Sig Max","No"),IF(CF260&lt;&gt;"",IF(CF260&gt;=1,"Medir+Sig Max","No"),"")))</f>
        <v/>
      </c>
      <c r="CN260" s="1787"/>
      <c r="CO260" s="220">
        <f>IF(CK260="",IF(AND(CE260="",CF260=""),"",IF(CF260="",IF(DE260&gt;1,ROUND(DE260*CE260,3),CE260),IF(DE260&gt;1,ROUND(DE260*CF260,3),CF260))),IF(AND(CE260="",CF260=""),"",IF(CF260="",IF(DE260&gt;1,ROUND(DE260*CE260*(1/(CK260)),3),CE260*(1/(CK260))),IF(DE260&gt;1,ROUND(DE260*CF260*(1/(CK260)),3),CF260*(1/(CK260))))))</f>
        <v/>
      </c>
      <c r="CP260" s="2043">
        <f>$CP$3</f>
        <v/>
      </c>
      <c r="CQ260" s="1472">
        <f>IF(CO260="","",IF(CO260&gt;CP260,"Fail","Pass"))</f>
        <v/>
      </c>
      <c r="CR260" s="1481">
        <f>IF(AND(MAX(CO257:CO264)=CO260,CO260&lt;&gt;0),COUNT($CR$3:CR259)+1,"")</f>
        <v/>
      </c>
      <c r="CS260" s="1565">
        <f>MyTimestamp(CO260)</f>
        <v/>
      </c>
      <c r="CT260" s="1531">
        <f>IF(CE260="",0,15)+IF(CF260="",0,15)</f>
        <v/>
      </c>
      <c r="CU260" s="1532">
        <f>IF(CT260=0,0,2)</f>
        <v/>
      </c>
      <c r="CV260" s="859" t="inlineStr">
        <is>
          <t>S/02</t>
        </is>
      </c>
      <c r="CW260" s="859" t="inlineStr">
        <is>
          <t>Dasy6</t>
        </is>
      </c>
      <c r="CX260" s="2038"/>
      <c r="CY260" s="2044"/>
      <c r="CZ260" s="1543">
        <f>10^(CJ260/20)*100-100</f>
        <v/>
      </c>
      <c r="DA260" s="1325">
        <f>IF('Tune-Up'!$H$21="","",'Tune-Up'!$H$21)</f>
        <v/>
      </c>
      <c r="DB260" s="701">
        <f>'2G-3G'!BZ33</f>
        <v/>
      </c>
      <c r="DC260" s="769">
        <f>IF(DA260="","",10^(DA260/10))</f>
        <v/>
      </c>
      <c r="DD260" s="1369">
        <f>IF(ISNUMBER(DB260)=FALSE,"",10^(DB260/10))</f>
        <v/>
      </c>
      <c r="DE260" s="1543">
        <f>IF(AND(ISNUMBER(DC260),ISNUMBER(DD260)),IF(DC260/DD260&gt;1,ROUND((DC260)/DD260,3),1),1)</f>
        <v/>
      </c>
      <c r="DF260" s="1541"/>
      <c r="DG260" s="1541"/>
      <c r="DH260" s="1541"/>
      <c r="DI260" s="1541"/>
      <c r="DJ260" s="1541"/>
      <c r="DK260" s="1541"/>
      <c r="DL260" s="1541"/>
      <c r="DM260" s="1541"/>
      <c r="DN260" s="1541"/>
      <c r="DO260" s="1541"/>
      <c r="DP260" s="1541"/>
      <c r="DQ260" s="1541"/>
      <c r="DR260" s="1541"/>
    </row>
    <row r="261" ht="12.75" x14ac:dyDescent="0.2">
      <c r="A261" s="1541"/>
      <c r="B261" s="1541"/>
      <c r="C261"/>
      <c r="D261" s="130">
        <f>IF(BX$257="Close to Ear","EN 62209-1","EN 62209-2")</f>
        <v/>
      </c>
      <c r="E261" s="130">
        <f>IF(CG261="Close to Ear","2016","2010/A1:2019")</f>
        <v/>
      </c>
      <c r="F261" s="1488" t="inlineStr">
        <is>
          <t>5.1</t>
        </is>
      </c>
      <c r="G261" s="1497"/>
      <c r="H261" s="120">
        <f>BV261</f>
        <v/>
      </c>
      <c r="I261" s="120">
        <f>BW261</f>
        <v/>
      </c>
      <c r="J261" s="687" t="str">
        <f>BT261</f>
        <v>GSM</v>
      </c>
      <c r="K261" s="194">
        <f>BU261</f>
        <v>1800</v>
      </c>
      <c r="L261" s="115"/>
      <c r="M261" s="120">
        <f>BZ261</f>
        <v>0</v>
      </c>
      <c r="N261" s="119"/>
      <c r="O261" s="131"/>
      <c r="P261" s="6597"/>
      <c r="Q261" s="131"/>
      <c r="R261" s="131"/>
      <c r="S261" s="120">
        <f>CG261</f>
        <v>0</v>
      </c>
      <c r="T261" s="120">
        <f>CC261</f>
        <v>698</v>
      </c>
      <c r="U261" s="120">
        <f>CD261</f>
        <v>1747.4</v>
      </c>
      <c r="V261" s="119"/>
      <c r="W261" s="197">
        <f>CK261*100</f>
        <v/>
      </c>
      <c r="X261" s="119"/>
      <c r="Y261" s="119"/>
      <c r="Z261" s="119"/>
      <c r="AA261" s="115"/>
      <c r="AB261" s="115"/>
      <c r="AC261" s="689">
        <f>IF(OR(BX$257="Close to Ear",BX$257="Close to Head"),"Head",IF(BX$257="Extremity","Extremity","Body"))</f>
        <v/>
      </c>
      <c r="AD261" s="690">
        <f>CA261</f>
        <v/>
      </c>
      <c r="AE261" s="688">
        <f>CB261</f>
        <v/>
      </c>
      <c r="AF261" s="115"/>
      <c r="AG261" s="808">
        <f>IF(AZ261="","N/A",IF(CQ261="Pass","P","F"))</f>
        <v/>
      </c>
      <c r="AH261" s="129"/>
      <c r="AI261" s="129"/>
      <c r="AJ261" s="129"/>
      <c r="AK261" s="119"/>
      <c r="AL261" s="115"/>
      <c r="AM261" s="119"/>
      <c r="AN261" s="119"/>
      <c r="AO261" s="692"/>
      <c r="AP261" s="692"/>
      <c r="AQ261" s="692"/>
      <c r="AR261" s="692"/>
      <c r="AS261" s="692"/>
      <c r="AT261" s="691">
        <f>CE261</f>
        <v/>
      </c>
      <c r="AU261" s="691">
        <f>CF261</f>
        <v/>
      </c>
      <c r="AV261" s="813"/>
      <c r="AW261" s="813"/>
      <c r="AX261" s="197">
        <f>CZ261</f>
        <v/>
      </c>
      <c r="AY261" s="197">
        <f>DE261</f>
        <v/>
      </c>
      <c r="AZ261" s="3379">
        <f>CO261</f>
        <v/>
      </c>
      <c r="BA261" s="3380"/>
      <c r="BB261" s="197">
        <f>CP261</f>
        <v/>
      </c>
      <c r="BC261" s="813"/>
      <c r="BD261" s="197">
        <f>CR261</f>
        <v/>
      </c>
      <c r="BE261" s="121">
        <f>CS261</f>
        <v/>
      </c>
      <c r="BF261" s="122">
        <f>CT261*60</f>
        <v/>
      </c>
      <c r="BG261" s="121">
        <f>BE261</f>
        <v/>
      </c>
      <c r="BH261" s="122">
        <f>CU261*60</f>
        <v/>
      </c>
      <c r="BI261" s="122">
        <f>CV261</f>
        <v/>
      </c>
      <c r="BJ261" s="117"/>
      <c r="BK261" s="812">
        <f>Overview!$E$7</f>
        <v/>
      </c>
      <c r="BL261" s="117"/>
      <c r="BM261" s="836">
        <f>CW261</f>
        <v/>
      </c>
      <c r="BN261" s="812">
        <f>Overview!$P$153</f>
        <v/>
      </c>
      <c r="BO261" s="117"/>
      <c r="BP261" s="117"/>
      <c r="BQ261" s="115"/>
      <c r="BR261" s="1478" t="inlineStr">
        <is>
          <t>N/A</t>
        </is>
      </c>
      <c r="BS261" s="1548"/>
      <c r="BT261" s="2071" t="inlineStr">
        <is>
          <t>GSM</t>
        </is>
      </c>
      <c r="BU261" s="2071">
        <v>1800</v>
      </c>
      <c r="BV261" s="415">
        <f>Overview!$H$30</f>
        <v/>
      </c>
      <c r="BW261" s="2010"/>
      <c r="BX261" s="2071"/>
      <c r="BY261" s="2072"/>
      <c r="BZ261" s="2072"/>
      <c r="CA261" s="1997" t="inlineStr">
        <is>
          <t>Top Edge</t>
        </is>
      </c>
      <c r="CB261" s="200">
        <v>5</v>
      </c>
      <c r="CC261" s="902">
        <f>'2G-3G'!BX33</f>
        <v>698</v>
      </c>
      <c r="CD261" s="902">
        <f>'2G-3G'!BY33</f>
        <v>1747.4</v>
      </c>
      <c r="CE261" s="1523"/>
      <c r="CF261" s="1523"/>
      <c r="CG261" s="387" t="str">
        <f>IF(OR($BY$167="",$BY$167=""),"",$BY$167)</f>
        <v/>
      </c>
      <c r="CH261" s="387">
        <f>BZ261</f>
        <v/>
      </c>
      <c r="CI261" s="387">
        <f>CA261</f>
        <v/>
      </c>
      <c r="CJ261" s="1527"/>
      <c r="CK261" s="2042"/>
      <c r="CL261" s="206">
        <f>IF(CF261=""," ",IF(ABS(CE261-CF261)&lt;=0.125,"Valid","Not valid"))</f>
        <v/>
      </c>
      <c r="CM261" s="207">
        <f> IF(CE261="","",IF(AND(CE261&lt;&gt;"",CF261=""),IF(CE261&gt;=1,"Medir+Sig Max","No"),IF(CF261&lt;&gt;"",IF(CF261&gt;=1,"Medir+Sig Max","No"),"")))</f>
        <v/>
      </c>
      <c r="CN261" s="1787"/>
      <c r="CO261" s="220">
        <f>IF(CK261="",IF(AND(CE261="",CF261=""),"",IF(CF261="",IF(DE261&gt;1,ROUND(DE261*CE261,3),CE261),IF(DE261&gt;1,ROUND(DE261*CF261,3),CF261))),IF(AND(CE261="",CF261=""),"",IF(CF261="",IF(DE261&gt;1,ROUND(DE261*CE261*(1/(CK261)),3),CE261*(1/(CK261))),IF(DE261&gt;1,ROUND(DE261*CF261*(1/(CK261)),3),CF261*(1/(CK261))))))</f>
        <v/>
      </c>
      <c r="CP261" s="2043">
        <f>$CP$3</f>
        <v/>
      </c>
      <c r="CQ261" s="1472">
        <f>IF(CO261="","",IF(CO261&gt;CP261,"Fail","Pass"))</f>
        <v/>
      </c>
      <c r="CR261" s="1481">
        <f>IF(AND(MAX(CO257:CO264)=CO261,CO261&lt;&gt;0),COUNT($CR$3:CR260)+1,"")</f>
        <v/>
      </c>
      <c r="CS261" s="1565">
        <f>MyTimestamp(CO261)</f>
        <v/>
      </c>
      <c r="CT261" s="1531">
        <f>IF(CE261="",0,15)+IF(CF261="",0,15)</f>
        <v/>
      </c>
      <c r="CU261" s="1532">
        <f>IF(CT261=0,0,2)</f>
        <v/>
      </c>
      <c r="CV261" s="859" t="inlineStr">
        <is>
          <t>S/02</t>
        </is>
      </c>
      <c r="CW261" s="859" t="inlineStr">
        <is>
          <t>Dasy6</t>
        </is>
      </c>
      <c r="CX261" s="2038"/>
      <c r="CY261" s="2044"/>
      <c r="CZ261" s="1543">
        <f>10^(CJ261/20)*100-100</f>
        <v/>
      </c>
      <c r="DA261" s="1325">
        <f>IF('Tune-Up'!$H$21="","",'Tune-Up'!$H$21)</f>
        <v/>
      </c>
      <c r="DB261" s="701">
        <f>'2G-3G'!BZ33</f>
        <v/>
      </c>
      <c r="DC261" s="769">
        <f>IF(DA261="","",10^(DA261/10))</f>
        <v/>
      </c>
      <c r="DD261" s="1369">
        <f>IF(ISNUMBER(DB261)=FALSE,"",10^(DB261/10))</f>
        <v/>
      </c>
      <c r="DE261" s="1543">
        <f>IF(AND(ISNUMBER(DC261),ISNUMBER(DD261)),IF(DC261/DD261&gt;1,ROUND((DC261)/DD261,3),1),1)</f>
        <v/>
      </c>
      <c r="DF261" s="1541"/>
      <c r="DG261" s="1541"/>
      <c r="DH261" s="1541"/>
      <c r="DI261" s="1541"/>
      <c r="DJ261" s="1541"/>
      <c r="DK261" s="1541"/>
      <c r="DL261" s="1541"/>
      <c r="DM261" s="1541"/>
      <c r="DN261" s="1541"/>
      <c r="DO261" s="1541"/>
      <c r="DP261" s="1541"/>
      <c r="DQ261" s="1541"/>
      <c r="DR261" s="1541"/>
    </row>
    <row r="262" ht="12.75" x14ac:dyDescent="0.2">
      <c r="A262" s="1541"/>
      <c r="B262" s="1541"/>
      <c r="C262"/>
      <c r="D262" s="130">
        <f>IF(BX$257="Close to Ear","EN 62209-1","EN 62209-2")</f>
        <v/>
      </c>
      <c r="E262" s="130">
        <f>IF(CG262="Close to Ear","2016","2010/A1:2019")</f>
        <v/>
      </c>
      <c r="F262" s="1488" t="inlineStr">
        <is>
          <t>5.1</t>
        </is>
      </c>
      <c r="G262" s="1497"/>
      <c r="H262" s="120">
        <f>BV262</f>
        <v/>
      </c>
      <c r="I262" s="120">
        <f>BW262</f>
        <v/>
      </c>
      <c r="J262" s="687" t="str">
        <f>BT262</f>
        <v>GSM</v>
      </c>
      <c r="K262" s="194">
        <f>BU262</f>
        <v>1800</v>
      </c>
      <c r="L262" s="115"/>
      <c r="M262" s="120">
        <f>BZ262</f>
        <v>0</v>
      </c>
      <c r="N262" s="119"/>
      <c r="O262" s="131"/>
      <c r="P262" s="6597"/>
      <c r="Q262" s="131"/>
      <c r="R262" s="131"/>
      <c r="S262" s="120">
        <f>CG262</f>
        <v>0</v>
      </c>
      <c r="T262" s="120">
        <f>CC262</f>
        <v>698</v>
      </c>
      <c r="U262" s="120">
        <f>CD262</f>
        <v>1747.4</v>
      </c>
      <c r="V262" s="119"/>
      <c r="W262" s="197">
        <f>CK262*100</f>
        <v/>
      </c>
      <c r="X262" s="119"/>
      <c r="Y262" s="119"/>
      <c r="Z262" s="119"/>
      <c r="AA262" s="115"/>
      <c r="AB262" s="115"/>
      <c r="AC262" s="689">
        <f>IF(OR(BX$257="Close to Ear",BX$257="Close to Head"),"Head",IF(BX$257="Extremity","Extremity","Body"))</f>
        <v/>
      </c>
      <c r="AD262" s="690">
        <f>CA262</f>
        <v/>
      </c>
      <c r="AE262" s="688">
        <f>CB262</f>
        <v/>
      </c>
      <c r="AF262" s="115"/>
      <c r="AG262" s="808">
        <f>IF(AZ262="","N/A",IF(CQ262="Pass","P","F"))</f>
        <v/>
      </c>
      <c r="AH262" s="129"/>
      <c r="AI262" s="129"/>
      <c r="AJ262" s="129"/>
      <c r="AK262" s="119"/>
      <c r="AL262" s="115"/>
      <c r="AM262" s="119"/>
      <c r="AN262" s="119"/>
      <c r="AO262" s="692"/>
      <c r="AP262" s="692"/>
      <c r="AQ262" s="692"/>
      <c r="AR262" s="692"/>
      <c r="AS262" s="692"/>
      <c r="AT262" s="691">
        <f>CE262</f>
        <v/>
      </c>
      <c r="AU262" s="691">
        <f>CF262</f>
        <v/>
      </c>
      <c r="AV262" s="813"/>
      <c r="AW262" s="813"/>
      <c r="AX262" s="197">
        <f>CZ262</f>
        <v/>
      </c>
      <c r="AY262" s="197">
        <f>DE262</f>
        <v/>
      </c>
      <c r="AZ262" s="3379">
        <f>CO262</f>
        <v/>
      </c>
      <c r="BA262" s="3380"/>
      <c r="BB262" s="197">
        <f>CP262</f>
        <v/>
      </c>
      <c r="BC262" s="813"/>
      <c r="BD262" s="197">
        <f>CR262</f>
        <v/>
      </c>
      <c r="BE262" s="121">
        <f>CS262</f>
        <v/>
      </c>
      <c r="BF262" s="122">
        <f>CT262*60</f>
        <v/>
      </c>
      <c r="BG262" s="121">
        <f>BE262</f>
        <v/>
      </c>
      <c r="BH262" s="122">
        <f>CU262*60</f>
        <v/>
      </c>
      <c r="BI262" s="122">
        <f>CV262</f>
        <v/>
      </c>
      <c r="BJ262" s="117"/>
      <c r="BK262" s="812">
        <f>Overview!$E$7</f>
        <v/>
      </c>
      <c r="BL262" s="117"/>
      <c r="BM262" s="836">
        <f>CW262</f>
        <v/>
      </c>
      <c r="BN262" s="812">
        <f>Overview!$P$153</f>
        <v/>
      </c>
      <c r="BO262" s="117"/>
      <c r="BP262" s="117"/>
      <c r="BQ262" s="115"/>
      <c r="BR262" s="1478" t="inlineStr">
        <is>
          <t>N/A</t>
        </is>
      </c>
      <c r="BS262" s="1548"/>
      <c r="BT262" s="2071" t="inlineStr">
        <is>
          <t>GSM</t>
        </is>
      </c>
      <c r="BU262" s="2071">
        <v>1800</v>
      </c>
      <c r="BV262" s="415">
        <f>Overview!$H$30</f>
        <v/>
      </c>
      <c r="BW262" s="2010"/>
      <c r="BX262" s="2071"/>
      <c r="BY262" s="2072"/>
      <c r="BZ262" s="2072"/>
      <c r="CA262" s="1997" t="inlineStr">
        <is>
          <t>Bottom Edge</t>
        </is>
      </c>
      <c r="CB262" s="200">
        <v>5</v>
      </c>
      <c r="CC262" s="902">
        <f>'2G-3G'!BX33</f>
        <v>698</v>
      </c>
      <c r="CD262" s="902">
        <f>'2G-3G'!BY33</f>
        <v>1747.4</v>
      </c>
      <c r="CE262" s="1523"/>
      <c r="CF262" s="1523"/>
      <c r="CG262" s="387" t="str">
        <f>IF(OR($BY$167="",$BY$167=""),"",$BY$167)</f>
        <v/>
      </c>
      <c r="CH262" s="387">
        <f>BZ262</f>
        <v/>
      </c>
      <c r="CI262" s="387">
        <f>CA262</f>
        <v/>
      </c>
      <c r="CJ262" s="1527"/>
      <c r="CK262" s="2042"/>
      <c r="CL262" s="206">
        <f>IF(CF262=""," ",IF(ABS(CE262-CF262)&lt;=0.125,"Valid","Not valid"))</f>
        <v/>
      </c>
      <c r="CM262" s="207">
        <f> IF(CE262="","",IF(AND(CE262&lt;&gt;"",CF262=""),IF(CE262&gt;=1,"Medir+Sig Max","No"),IF(CF262&lt;&gt;"",IF(CF262&gt;=1,"Medir+Sig Max","No"),"")))</f>
        <v/>
      </c>
      <c r="CN262" s="1787"/>
      <c r="CO262" s="220">
        <f>IF(CK262="",IF(AND(CE262="",CF262=""),"",IF(CF262="",IF(DE262&gt;1,ROUND(DE262*CE262,3),CE262),IF(DE262&gt;1,ROUND(DE262*CF262,3),CF262))),IF(AND(CE262="",CF262=""),"",IF(CF262="",IF(DE262&gt;1,ROUND(DE262*CE262*(1/(CK262)),3),CE262*(1/(CK262))),IF(DE262&gt;1,ROUND(DE262*CF262*(1/(CK262)),3),CF262*(1/(CK262))))))</f>
        <v/>
      </c>
      <c r="CP262" s="2043">
        <f>$CP$3</f>
        <v/>
      </c>
      <c r="CQ262" s="1472">
        <f>IF(CO262="","",IF(CO262&gt;CP262,"Fail","Pass"))</f>
        <v/>
      </c>
      <c r="CR262" s="1481">
        <f>IF(AND(MAX(CO257:CO264)=CO262,CO262&lt;&gt;0),COUNT($CR$3:CR261)+1,"")</f>
        <v/>
      </c>
      <c r="CS262" s="1565">
        <f>MyTimestamp(CO262)</f>
        <v/>
      </c>
      <c r="CT262" s="1531">
        <f>IF(CE262="",0,15)+IF(CF262="",0,15)</f>
        <v/>
      </c>
      <c r="CU262" s="1532">
        <f>IF(CT262=0,0,2)</f>
        <v/>
      </c>
      <c r="CV262" s="859" t="inlineStr">
        <is>
          <t>S/02</t>
        </is>
      </c>
      <c r="CW262" s="859" t="inlineStr">
        <is>
          <t>Dasy6</t>
        </is>
      </c>
      <c r="CX262" s="2038"/>
      <c r="CY262" s="2044"/>
      <c r="CZ262" s="1543">
        <f>10^(CJ262/20)*100-100</f>
        <v/>
      </c>
      <c r="DA262" s="1325">
        <f>IF('Tune-Up'!$H$21="","",'Tune-Up'!$H$21)</f>
        <v/>
      </c>
      <c r="DB262" s="701">
        <f>'2G-3G'!BZ33</f>
        <v/>
      </c>
      <c r="DC262" s="769">
        <f>IF(DA262="","",10^(DA262/10))</f>
        <v/>
      </c>
      <c r="DD262" s="1369">
        <f>IF(ISNUMBER(DB262)=FALSE,"",10^(DB262/10))</f>
        <v/>
      </c>
      <c r="DE262" s="1543">
        <f>IF(AND(ISNUMBER(DC262),ISNUMBER(DD262)),IF(DC262/DD262&gt;1,ROUND((DC262)/DD262,3),1),1)</f>
        <v/>
      </c>
      <c r="DF262" s="1541"/>
      <c r="DG262" s="1541"/>
      <c r="DH262" s="1541"/>
      <c r="DI262" s="1541"/>
      <c r="DJ262" s="1541"/>
      <c r="DK262" s="1541"/>
      <c r="DL262" s="1541"/>
      <c r="DM262" s="1541"/>
      <c r="DN262" s="1541"/>
      <c r="DO262" s="1541"/>
      <c r="DP262" s="1541"/>
      <c r="DQ262" s="1541"/>
      <c r="DR262" s="1541"/>
    </row>
    <row r="263" ht="12.75" x14ac:dyDescent="0.2">
      <c r="A263" s="1541"/>
      <c r="B263" s="1541"/>
      <c r="C263"/>
      <c r="D263" s="130">
        <f>IF(BX$257="Close to Ear","EN 62209-1","EN 62209-2")</f>
        <v/>
      </c>
      <c r="E263" s="130">
        <f>IF(CG263="Close to Ear","2016","2010/A1:2019")</f>
        <v/>
      </c>
      <c r="F263" s="1488" t="inlineStr">
        <is>
          <t>5.1</t>
        </is>
      </c>
      <c r="G263" s="1497"/>
      <c r="H263" s="120">
        <f>BV263</f>
        <v/>
      </c>
      <c r="I263" s="120">
        <f>BW263</f>
        <v/>
      </c>
      <c r="J263" s="687" t="str">
        <f>BT263</f>
        <v>GSM</v>
      </c>
      <c r="K263" s="194">
        <f>BU263</f>
        <v>1800</v>
      </c>
      <c r="L263" s="115"/>
      <c r="M263" s="120">
        <f>BZ263</f>
        <v>0</v>
      </c>
      <c r="N263" s="119"/>
      <c r="O263" s="131"/>
      <c r="P263" s="6597"/>
      <c r="Q263" s="131"/>
      <c r="R263" s="131"/>
      <c r="S263" s="120">
        <f>CG263</f>
        <v>0</v>
      </c>
      <c r="T263" s="120">
        <f>CC263</f>
        <v>512</v>
      </c>
      <c r="U263" s="120">
        <f>CD263</f>
        <v>1710.2</v>
      </c>
      <c r="V263" s="119"/>
      <c r="W263" s="197">
        <f>CK263*100</f>
        <v/>
      </c>
      <c r="X263" s="119"/>
      <c r="Y263" s="119"/>
      <c r="Z263" s="119"/>
      <c r="AA263" s="115"/>
      <c r="AB263" s="115"/>
      <c r="AC263" s="689">
        <f>IF(OR(BX$257="Close to Ear",BX$257="Close to Head"),"Head",IF(BX$257="Extremity","Extremity","Body"))</f>
        <v/>
      </c>
      <c r="AD263" s="690">
        <f>CA263</f>
        <v/>
      </c>
      <c r="AE263" s="688">
        <f>CB263</f>
        <v/>
      </c>
      <c r="AF263" s="115"/>
      <c r="AG263" s="808">
        <f>IF(AZ263="","N/A",IF(CQ263="Pass","P","F"))</f>
        <v/>
      </c>
      <c r="AH263" s="129"/>
      <c r="AI263" s="129"/>
      <c r="AJ263" s="129"/>
      <c r="AK263" s="119"/>
      <c r="AL263" s="115"/>
      <c r="AM263" s="119"/>
      <c r="AN263" s="119"/>
      <c r="AO263" s="692"/>
      <c r="AP263" s="692"/>
      <c r="AQ263" s="692"/>
      <c r="AR263" s="692"/>
      <c r="AS263" s="692"/>
      <c r="AT263" s="691">
        <f>CE263</f>
        <v/>
      </c>
      <c r="AU263" s="691">
        <f>CF263</f>
        <v/>
      </c>
      <c r="AV263" s="813"/>
      <c r="AW263" s="813"/>
      <c r="AX263" s="197">
        <f>CZ263</f>
        <v/>
      </c>
      <c r="AY263" s="197">
        <f>DE263</f>
        <v/>
      </c>
      <c r="AZ263" s="3379">
        <f>CO263</f>
        <v/>
      </c>
      <c r="BA263" s="3380"/>
      <c r="BB263" s="197">
        <f>CP263</f>
        <v/>
      </c>
      <c r="BC263" s="813"/>
      <c r="BD263" s="197">
        <f>CR263</f>
        <v/>
      </c>
      <c r="BE263" s="121">
        <f>CS263</f>
        <v/>
      </c>
      <c r="BF263" s="122">
        <f>CT263*60</f>
        <v/>
      </c>
      <c r="BG263" s="121">
        <f>BE263</f>
        <v/>
      </c>
      <c r="BH263" s="122">
        <f>CU263*60</f>
        <v/>
      </c>
      <c r="BI263" s="122">
        <f>CV263</f>
        <v/>
      </c>
      <c r="BJ263" s="117"/>
      <c r="BK263" s="812">
        <f>Overview!$E$7</f>
        <v/>
      </c>
      <c r="BL263" s="117"/>
      <c r="BM263" s="836">
        <f>CW263</f>
        <v/>
      </c>
      <c r="BN263" s="812">
        <f>Overview!$P$153</f>
        <v/>
      </c>
      <c r="BO263" s="117"/>
      <c r="BP263" s="117"/>
      <c r="BQ263" s="115"/>
      <c r="BR263" s="1478" t="inlineStr">
        <is>
          <t>N/A</t>
        </is>
      </c>
      <c r="BS263" s="1548"/>
      <c r="BT263" s="2071" t="inlineStr">
        <is>
          <t>GSM</t>
        </is>
      </c>
      <c r="BU263" s="2071">
        <v>1800</v>
      </c>
      <c r="BV263" s="415">
        <f>Overview!$H$30</f>
        <v/>
      </c>
      <c r="BW263" s="2010"/>
      <c r="BX263" s="2071"/>
      <c r="BY263" s="2072"/>
      <c r="BZ263" s="2072"/>
      <c r="CA263" s="416" t="str">
        <f>IF(COUNT(CF257:CF262)=0,IF(COUNT(CE257:CE262)=0,"TBD",VLOOKUP(MAX(CE257:CE262),CE257:CI262,5,FALSE)),VLOOKUP(MAX(CF257:CF262),CF257:CI262,4,FALSE))</f>
        <v>TBD</v>
      </c>
      <c r="CB263" s="200">
        <v>5</v>
      </c>
      <c r="CC263" s="902">
        <f>'2G-3G'!BX34</f>
        <v>512</v>
      </c>
      <c r="CD263" s="902">
        <f>'2G-3G'!BY34</f>
        <v>1710.2</v>
      </c>
      <c r="CE263" s="1523"/>
      <c r="CF263" s="1523"/>
      <c r="CG263" s="387" t="str">
        <f>IF(OR($BY$167="",$BY$167=""),"",$BY$167)</f>
        <v/>
      </c>
      <c r="CH263" s="387">
        <f>BZ263</f>
        <v/>
      </c>
      <c r="CI263" s="387">
        <f>CA263</f>
        <v/>
      </c>
      <c r="CJ263" s="1527"/>
      <c r="CK263" s="2042"/>
      <c r="CL263" s="206">
        <f>IF(CF263=""," ",IF(ABS(CE263-CF263)&lt;=0.125,"Valid","Not valid"))</f>
        <v/>
      </c>
      <c r="CM263" s="207">
        <f> IF(CE263="","",IF(AND(CE263&lt;&gt;"",CF263=""),IF(CE263&gt;=1,"Medir+Sig Max","No"),IF(CF263&lt;&gt;"",IF(CF263&gt;=1,"Medir+Sig Max","No"),"")))</f>
        <v/>
      </c>
      <c r="CN263" s="1787"/>
      <c r="CO263" s="220">
        <f>IF(CK263="",IF(AND(CE263="",CF263=""),"",IF(CF263="",IF(DE263&gt;1,ROUND(DE263*CE263,3),CE263),IF(DE263&gt;1,ROUND(DE263*CF263,3),CF263))),IF(AND(CE263="",CF263=""),"",IF(CF263="",IF(DE263&gt;1,ROUND(DE263*CE263*(1/(CK263)),3),CE263*(1/(CK263))),IF(DE263&gt;1,ROUND(DE263*CF263*(1/(CK263)),3),CF263*(1/(CK263))))))</f>
        <v/>
      </c>
      <c r="CP263" s="2043">
        <f>$CP$3</f>
        <v/>
      </c>
      <c r="CQ263" s="1472">
        <f>IF(CO263="","",IF(CO263&gt;CP263,"Fail","Pass"))</f>
        <v/>
      </c>
      <c r="CR263" s="1481">
        <f>IF(AND(MAX(CO257:CO264)=CO263,CO263&lt;&gt;0),COUNT($CR$3:CR262)+1,"")</f>
        <v/>
      </c>
      <c r="CS263" s="1565">
        <f>MyTimestamp(CO263)</f>
        <v/>
      </c>
      <c r="CT263" s="1531">
        <f>IF(CE263="",0,15)+IF(CF263="",0,15)</f>
        <v/>
      </c>
      <c r="CU263" s="1532">
        <f>IF(CT263=0,0,2)</f>
        <v/>
      </c>
      <c r="CV263" s="859" t="inlineStr">
        <is>
          <t>S/02</t>
        </is>
      </c>
      <c r="CW263" s="859" t="inlineStr">
        <is>
          <t>Dasy6</t>
        </is>
      </c>
      <c r="CX263" s="2038"/>
      <c r="CY263" s="2044"/>
      <c r="CZ263" s="1543">
        <f>10^(CJ263/20)*100-100</f>
        <v/>
      </c>
      <c r="DA263" s="1325">
        <f>IF('Tune-Up'!$H$21="","",'Tune-Up'!$H$21)</f>
        <v/>
      </c>
      <c r="DB263" s="701">
        <f>'2G-3G'!BZ34</f>
        <v/>
      </c>
      <c r="DC263" s="769">
        <f>IF(DA263="","",10^(DA263/10))</f>
        <v/>
      </c>
      <c r="DD263" s="1369">
        <f>IF(ISNUMBER(DB263)=FALSE,"",10^(DB263/10))</f>
        <v/>
      </c>
      <c r="DE263" s="1543">
        <f>IF(AND(ISNUMBER(DC263),ISNUMBER(DD263)),IF(DC263/DD263&gt;1,ROUND((DC263)/DD263,3),1),1)</f>
        <v/>
      </c>
      <c r="DF263" s="1541"/>
      <c r="DG263" s="1541"/>
      <c r="DH263" s="1541"/>
      <c r="DI263" s="1541"/>
      <c r="DJ263" s="1541"/>
      <c r="DK263" s="1541"/>
      <c r="DL263" s="1541"/>
      <c r="DM263" s="1541"/>
      <c r="DN263" s="1541"/>
      <c r="DO263" s="1541"/>
      <c r="DP263" s="1541"/>
      <c r="DQ263" s="1541"/>
      <c r="DR263" s="1541"/>
    </row>
    <row r="264" ht="12.75" x14ac:dyDescent="0.2">
      <c r="A264" s="1541"/>
      <c r="B264" s="1541"/>
      <c r="C264"/>
      <c r="D264" s="130">
        <f>IF(BX$257="Close to Ear","EN 62209-1","EN 62209-2")</f>
        <v/>
      </c>
      <c r="E264" s="130">
        <f>IF(CG264="Close to Ear","2016","2010/A1:2019")</f>
        <v/>
      </c>
      <c r="F264" s="1488" t="inlineStr">
        <is>
          <t>5.1</t>
        </is>
      </c>
      <c r="G264" s="1497"/>
      <c r="H264" s="120">
        <f>BV264</f>
        <v/>
      </c>
      <c r="I264" s="120">
        <f>BW264</f>
        <v/>
      </c>
      <c r="J264" s="687" t="str">
        <f>BT264</f>
        <v>GSM</v>
      </c>
      <c r="K264" s="194">
        <f>BU264</f>
        <v>1800</v>
      </c>
      <c r="L264" s="115"/>
      <c r="M264" s="120">
        <f>BZ264</f>
        <v>0</v>
      </c>
      <c r="N264" s="119"/>
      <c r="O264" s="131"/>
      <c r="P264" s="6597"/>
      <c r="Q264" s="131"/>
      <c r="R264" s="131"/>
      <c r="S264" s="120">
        <f>CG264</f>
        <v>0</v>
      </c>
      <c r="T264" s="120">
        <f>CC264</f>
        <v>885</v>
      </c>
      <c r="U264" s="120">
        <f>CD264</f>
        <v>1784.8</v>
      </c>
      <c r="V264" s="119"/>
      <c r="W264" s="197">
        <f>CK264*100</f>
        <v/>
      </c>
      <c r="X264" s="119"/>
      <c r="Y264" s="119"/>
      <c r="Z264" s="119"/>
      <c r="AA264" s="115"/>
      <c r="AB264" s="115"/>
      <c r="AC264" s="689">
        <f>IF(OR(BX$257="Close to Ear",BX$257="Close to Head"),"Head",IF(BX$257="Extremity","Extremity","Body"))</f>
        <v/>
      </c>
      <c r="AD264" s="690">
        <f>CA264</f>
        <v/>
      </c>
      <c r="AE264" s="688">
        <f>CB264</f>
        <v/>
      </c>
      <c r="AF264" s="115"/>
      <c r="AG264" s="808">
        <f>IF(AZ264="","N/A",IF(CQ264="Pass","P","F"))</f>
        <v/>
      </c>
      <c r="AH264" s="129"/>
      <c r="AI264" s="129"/>
      <c r="AJ264" s="129"/>
      <c r="AK264" s="119"/>
      <c r="AL264" s="115"/>
      <c r="AM264" s="119"/>
      <c r="AN264" s="119"/>
      <c r="AO264" s="692"/>
      <c r="AP264" s="692"/>
      <c r="AQ264" s="692"/>
      <c r="AR264" s="692"/>
      <c r="AS264" s="692"/>
      <c r="AT264" s="691">
        <f>CE264</f>
        <v/>
      </c>
      <c r="AU264" s="691">
        <f>CF264</f>
        <v/>
      </c>
      <c r="AV264" s="813"/>
      <c r="AW264" s="813"/>
      <c r="AX264" s="197">
        <f>CZ264</f>
        <v/>
      </c>
      <c r="AY264" s="197">
        <f>DE264</f>
        <v/>
      </c>
      <c r="AZ264" s="3379">
        <f>CO264</f>
        <v/>
      </c>
      <c r="BA264" s="3380"/>
      <c r="BB264" s="197">
        <f>CP264</f>
        <v/>
      </c>
      <c r="BC264" s="813"/>
      <c r="BD264" s="197">
        <f>CR264</f>
        <v/>
      </c>
      <c r="BE264" s="121">
        <f>CS264</f>
        <v/>
      </c>
      <c r="BF264" s="122">
        <f>CT264*60</f>
        <v/>
      </c>
      <c r="BG264" s="121">
        <f>BE264</f>
        <v/>
      </c>
      <c r="BH264" s="122">
        <f>CU264*60</f>
        <v/>
      </c>
      <c r="BI264" s="122">
        <f>CV264</f>
        <v/>
      </c>
      <c r="BJ264" s="117"/>
      <c r="BK264" s="812">
        <f>Overview!$E$7</f>
        <v/>
      </c>
      <c r="BL264" s="117"/>
      <c r="BM264" s="836">
        <f>CW264</f>
        <v/>
      </c>
      <c r="BN264" s="812">
        <f>Overview!$P$153</f>
        <v/>
      </c>
      <c r="BO264" s="117"/>
      <c r="BP264" s="117"/>
      <c r="BQ264" s="115"/>
      <c r="BR264" s="1478" t="inlineStr">
        <is>
          <t>N/A</t>
        </is>
      </c>
      <c r="BS264" s="1548"/>
      <c r="BT264" s="2071" t="inlineStr">
        <is>
          <t>GSM</t>
        </is>
      </c>
      <c r="BU264" s="2071">
        <v>1800</v>
      </c>
      <c r="BV264" s="415">
        <f>Overview!$H$30</f>
        <v/>
      </c>
      <c r="BW264" s="2010"/>
      <c r="BX264" s="2075"/>
      <c r="BY264" s="2010"/>
      <c r="BZ264" s="2010"/>
      <c r="CA264" s="418" t="str">
        <f>IF(COUNT(CF257:CF262)=0,IF(COUNT(CE257:CE262)=0,"TBD",VLOOKUP(MAX(CE257:CE262),CE257:CI262,5,FALSE)),VLOOKUP(MAX(CF257:CF262),CF257:CI262,4,FALSE))</f>
        <v>TBD</v>
      </c>
      <c r="CB264" s="201">
        <v>5</v>
      </c>
      <c r="CC264" s="857">
        <f>'2G-3G'!BX35</f>
        <v>885</v>
      </c>
      <c r="CD264" s="857">
        <f>'2G-3G'!BY35</f>
        <v>1784.8</v>
      </c>
      <c r="CE264" s="1874"/>
      <c r="CF264" s="1874"/>
      <c r="CG264" s="388" t="str">
        <f>IF(OR($BY$167="",$BY$167=""),"",$BY$167)</f>
        <v/>
      </c>
      <c r="CH264" s="388">
        <f>BZ264</f>
        <v/>
      </c>
      <c r="CI264" s="388">
        <f>CA264</f>
        <v/>
      </c>
      <c r="CJ264" s="2046"/>
      <c r="CK264" s="2047"/>
      <c r="CL264" s="212">
        <f>IF(CF264=""," ",IF(ABS(CE264-CF264)&lt;=0.125,"Valid","Not valid"))</f>
        <v/>
      </c>
      <c r="CM264" s="213">
        <f> IF(CE264="","",IF(AND(CE264&lt;&gt;"",CF264=""),IF(CE264&gt;=1,"Medir+Sig Max","No"),IF(CF264&lt;&gt;"",IF(CF264&gt;=1,"Medir+Sig Max","No"),"")))</f>
        <v/>
      </c>
      <c r="CN264" s="1794"/>
      <c r="CO264" s="221">
        <f>IF(CK264="",IF(AND(CE264="",CF264=""),"",IF(CF264="",IF(DE264&gt;1,ROUND(DE264*CE264,3),CE264),IF(DE264&gt;1,ROUND(DE264*CF264,3),CF264))),IF(AND(CE264="",CF264=""),"",IF(CF264="",IF(DE264&gt;1,ROUND(DE264*CE264*(1/(CK264)),3),CE264*(1/(CK264))),IF(DE264&gt;1,ROUND(DE264*CF264*(1/(CK264)),3),CF264*(1/(CK264))))))</f>
        <v/>
      </c>
      <c r="CP264" s="2048">
        <f>$CP$3</f>
        <v/>
      </c>
      <c r="CQ264" s="1473">
        <f>IF(CO264="","",IF(CO264&gt;CP264,"Fail","Pass"))</f>
        <v/>
      </c>
      <c r="CR264" s="1482">
        <f>IF(AND(MAX(CO257:CO264)=CO264,CO264&lt;&gt;0),COUNT($CR$3:CR263)+1,"")</f>
        <v/>
      </c>
      <c r="CS264" s="1566">
        <f>MyTimestamp(CO264)</f>
        <v/>
      </c>
      <c r="CT264" s="1535">
        <f>IF(CE264="",0,15)+IF(CF264="",0,15)</f>
        <v/>
      </c>
      <c r="CU264" s="1536">
        <f>IF(CT264=0,0,2)</f>
        <v/>
      </c>
      <c r="CV264" s="861" t="inlineStr">
        <is>
          <t>S/02</t>
        </is>
      </c>
      <c r="CW264" s="861" t="inlineStr">
        <is>
          <t>Dasy6</t>
        </is>
      </c>
      <c r="CX264" s="2038"/>
      <c r="CY264" s="2050"/>
      <c r="CZ264" s="1545">
        <f>10^(CJ264/20)*100-100</f>
        <v/>
      </c>
      <c r="DA264" s="1327">
        <f>IF('Tune-Up'!$H$21="","",'Tune-Up'!$H$21)</f>
        <v/>
      </c>
      <c r="DB264" s="703">
        <f>'2G-3G'!BZ35</f>
        <v/>
      </c>
      <c r="DC264" s="771">
        <f>IF(DA264="","",10^(DA264/10))</f>
        <v/>
      </c>
      <c r="DD264" s="1371">
        <f>IF(ISNUMBER(DB264)=FALSE,"",10^(DB264/10))</f>
        <v/>
      </c>
      <c r="DE264" s="1545">
        <f>IF(AND(ISNUMBER(DC264),ISNUMBER(DD264)),IF(DC264/DD264&gt;1,ROUND((DC264)/DD264,3),1),1)</f>
        <v/>
      </c>
      <c r="DF264" s="1541"/>
      <c r="DG264" s="1541"/>
      <c r="DH264" s="1541"/>
      <c r="DI264" s="1541"/>
      <c r="DJ264" s="1541"/>
      <c r="DK264" s="1541"/>
      <c r="DL264" s="1541"/>
      <c r="DM264" s="1541"/>
      <c r="DN264" s="1541"/>
      <c r="DO264" s="1541"/>
      <c r="DP264" s="1541"/>
      <c r="DQ264" s="1541"/>
      <c r="DR264" s="1541"/>
    </row>
    <row r="265" ht="12.75" x14ac:dyDescent="0.2">
      <c r="A265" s="1541"/>
      <c r="B265" s="1541"/>
      <c r="C265"/>
      <c r="D265" s="130">
        <f>IF(BX$257="Close to Ear","EN 62209-1","EN 62209-2")</f>
        <v/>
      </c>
      <c r="E265" s="130">
        <f>IF(CG265="Close to Ear","2016","2010/A1:2019")</f>
        <v/>
      </c>
      <c r="F265" s="1488" t="inlineStr">
        <is>
          <t>5.1</t>
        </is>
      </c>
      <c r="G265" s="1497"/>
      <c r="H265" s="120">
        <f>BV265</f>
        <v/>
      </c>
      <c r="I265" s="120">
        <f>BW265</f>
        <v/>
      </c>
      <c r="J265" s="687">
        <f>BT265</f>
        <v/>
      </c>
      <c r="K265" s="194">
        <f>BU265</f>
        <v/>
      </c>
      <c r="L265" s="115"/>
      <c r="M265" s="120">
        <f>BZ265</f>
        <v/>
      </c>
      <c r="N265" s="119"/>
      <c r="O265" s="131"/>
      <c r="P265" s="6597"/>
      <c r="Q265" s="131"/>
      <c r="R265" s="131"/>
      <c r="S265" s="120">
        <f>CG265</f>
        <v/>
      </c>
      <c r="T265" s="120">
        <f>CC265</f>
        <v/>
      </c>
      <c r="U265" s="120">
        <f>CD265</f>
        <v/>
      </c>
      <c r="V265" s="119"/>
      <c r="W265" s="197">
        <f>CK265*100</f>
        <v/>
      </c>
      <c r="X265" s="119"/>
      <c r="Y265" s="119"/>
      <c r="Z265" s="119"/>
      <c r="AA265" s="115"/>
      <c r="AB265" s="115"/>
      <c r="AC265" s="689">
        <f>IF(OR(BX$257="Close to Ear",BX$257="Close to Head"),"Head",IF(BX$257="Extremity","Extremity","Body"))</f>
        <v/>
      </c>
      <c r="AD265" s="690">
        <f>CA265</f>
        <v/>
      </c>
      <c r="AE265" s="688">
        <f>CB265</f>
        <v/>
      </c>
      <c r="AF265" s="115"/>
      <c r="AG265" s="808">
        <f>IF(AZ265="","N/A",IF(CQ265="Pass","P","F"))</f>
        <v/>
      </c>
      <c r="AH265" s="129"/>
      <c r="AI265" s="129"/>
      <c r="AJ265" s="129"/>
      <c r="AK265" s="119"/>
      <c r="AL265" s="115"/>
      <c r="AM265" s="119"/>
      <c r="AN265" s="119"/>
      <c r="AO265" s="692"/>
      <c r="AP265" s="692"/>
      <c r="AQ265" s="692"/>
      <c r="AR265" s="692"/>
      <c r="AS265" s="692"/>
      <c r="AT265" s="691">
        <f>CE265</f>
        <v/>
      </c>
      <c r="AU265" s="691">
        <f>CF265</f>
        <v/>
      </c>
      <c r="AV265" s="813"/>
      <c r="AW265" s="813"/>
      <c r="AX265" s="197">
        <f>CZ265</f>
        <v/>
      </c>
      <c r="AY265" s="197">
        <f>DE265</f>
        <v/>
      </c>
      <c r="AZ265" s="3379">
        <f>CO265</f>
        <v/>
      </c>
      <c r="BA265" s="3380"/>
      <c r="BB265" s="197">
        <f>CP265</f>
        <v/>
      </c>
      <c r="BC265" s="813"/>
      <c r="BD265" s="197">
        <f>CR265</f>
        <v/>
      </c>
      <c r="BE265" s="121">
        <f>CS265</f>
        <v/>
      </c>
      <c r="BF265" s="122">
        <f>CT265*60</f>
        <v/>
      </c>
      <c r="BG265" s="121">
        <f>BE265</f>
        <v/>
      </c>
      <c r="BH265" s="122">
        <f>CU265*60</f>
        <v/>
      </c>
      <c r="BI265" s="122">
        <f>CV265</f>
        <v/>
      </c>
      <c r="BJ265" s="117"/>
      <c r="BK265" s="812">
        <f>Overview!$E$7</f>
        <v/>
      </c>
      <c r="BL265" s="117"/>
      <c r="BM265" s="836">
        <f>CW265</f>
        <v/>
      </c>
      <c r="BN265" s="812">
        <f>Overview!$P$153</f>
        <v/>
      </c>
      <c r="BO265" s="117"/>
      <c r="BP265" s="117"/>
      <c r="BQ265" s="115"/>
      <c r="BR265" s="1478" t="inlineStr">
        <is>
          <t>N/A</t>
        </is>
      </c>
      <c r="BS265" s="1548"/>
      <c r="BT265" s="2071" t="inlineStr">
        <is>
          <t>GSM</t>
        </is>
      </c>
      <c r="BU265" s="2071">
        <v>1800</v>
      </c>
      <c r="BV265" s="415">
        <f>Overview!$H$30</f>
        <v/>
      </c>
      <c r="BW265" s="2010"/>
      <c r="BX265" s="2075"/>
      <c r="BY265" s="2010"/>
      <c r="BZ265" s="2010"/>
      <c r="CA265" s="418" t="str">
        <f>CONCATENATE(CA263," - Battery check 1")</f>
        <v>TBD - Battery check 1</v>
      </c>
      <c r="CB265" s="201">
        <v>5</v>
      </c>
      <c r="CC265" s="857">
        <f>IF(COUNT($CO$257:$CO$264)=0,"N/A",INDEX($CC$257:$CC$264,MATCH(MAX($CO$257:$CO$264),$CO$257:$CO$264,0)))</f>
        <v/>
      </c>
      <c r="CD265" s="857">
        <f>IF(COUNT($CO$257:$CO$264)=0,"N/A",INDEX($CD$257:$CD$264,MATCH(MAX($CO$257:$CO$264),$CO$257:$CO$264,0)))</f>
        <v/>
      </c>
      <c r="CE265" s="1874"/>
      <c r="CF265" s="1874"/>
      <c r="CG265" s="388" t="inlineStr">
        <is>
          <t>N/A</t>
        </is>
      </c>
      <c r="CH265" s="388">
        <f>BZ265</f>
        <v/>
      </c>
      <c r="CI265" s="388">
        <f>CA265</f>
        <v/>
      </c>
      <c r="CJ265" s="2046"/>
      <c r="CK265" s="2047"/>
      <c r="CL265" s="212">
        <f>IF(CF265=""," ",IF(ABS(CE265-CF265)&lt;=0.125,"Valid","Not valid"))</f>
        <v/>
      </c>
      <c r="CM265" s="213">
        <f> IF(CE265="","",IF(AND(CE265&lt;&gt;"",CF265=""),IF(CE265&gt;=1,"Medir+Sig Max","No"),IF(CF265&lt;&gt;"",IF(CF265&gt;=1,"Medir+Sig Max","No"),"")))</f>
        <v/>
      </c>
      <c r="CN265" s="1794"/>
      <c r="CO265" s="221">
        <f>IF(CK265="",IF(AND(CE265="",CF265=""),"",IF(CF265="",IF(DE265&gt;1,ROUND(DE265*CE265,3),CE265),IF(DE265&gt;1,ROUND(DE265*CF265,3),CF265))),IF(AND(CE265="",CF265=""),"",IF(CF265="",IF(DE265&gt;1,ROUND(DE265*CE265*(1/(CK265)),3),CE265*(1/(CK265))),IF(DE265&gt;1,ROUND(DE265*CF265*(1/(CK265)),3),CF265*(1/(CK265))))))</f>
        <v/>
      </c>
      <c r="CP265" s="2048">
        <f>$CP$3</f>
        <v/>
      </c>
      <c r="CQ265" s="1473">
        <f>IF(CO265="","",IF(CO265&gt;CP265,"Fail","Pass"))</f>
        <v/>
      </c>
      <c r="CR265" s="1482">
        <f>IF(CO265&lt;&gt;"",MAX($CR$3:CR264)+1,"")</f>
        <v/>
      </c>
      <c r="CS265" s="1566">
        <f>MyTimestamp(CQ265)</f>
        <v/>
      </c>
      <c r="CT265" s="1535">
        <f>IF(COUNT(CE265:CF265)=1,15,IF(COUNT(CE265:CF265)=0,0,30))</f>
        <v/>
      </c>
      <c r="CU265" s="1536">
        <f>IF(CT265=0,0,2)</f>
        <v/>
      </c>
      <c r="CV265" s="861" t="inlineStr">
        <is>
          <t>S/02</t>
        </is>
      </c>
      <c r="CW265" s="861" t="inlineStr">
        <is>
          <t>Dasy6</t>
        </is>
      </c>
      <c r="CX265" s="2038"/>
      <c r="CY265" s="2050"/>
      <c r="CZ265" s="1545">
        <f>10^(CJ265/20)*100-100</f>
        <v/>
      </c>
      <c r="DA265" s="1327">
        <f>IF('Tune-Up'!$H$21="","",'Tune-Up'!$H$21)</f>
        <v/>
      </c>
      <c r="DB265" s="703">
        <f>IF(COUNT($CO$257:$CO$264)=0,"N/A",IFERROR(INDEX($DB$257:$DB$264,MATCH(MAX($CO$257:$CO$264),$CO$257:$CO$264,0)),"N/A"))</f>
        <v/>
      </c>
      <c r="DC265" s="771">
        <f>IF(DA265="","",10^(DA265/10))</f>
        <v/>
      </c>
      <c r="DD265" s="1371">
        <f>IF(ISNUMBER(DB265)=FALSE,"N/A",10^(DB265/10))</f>
        <v/>
      </c>
      <c r="DE265" s="1545">
        <f>IF(AND(ISNUMBER(DC265),ISNUMBER(DD265)),IF(DC265/DD265&gt;1,ROUND((DC265)/DD265,3),1),1)</f>
        <v/>
      </c>
      <c r="DF265" s="1541"/>
      <c r="DG265" s="1541"/>
      <c r="DH265" s="1541"/>
      <c r="DI265" s="1541"/>
      <c r="DJ265" s="1541"/>
      <c r="DK265" s="1541"/>
      <c r="DL265" s="1541"/>
      <c r="DM265" s="1541"/>
      <c r="DN265" s="1541"/>
      <c r="DO265" s="1541"/>
      <c r="DP265" s="1541"/>
      <c r="DQ265" s="1541"/>
      <c r="DR265" s="1541"/>
    </row>
    <row r="266" ht="12.75" x14ac:dyDescent="0.2">
      <c r="A266" s="1541"/>
      <c r="B266" s="1541"/>
      <c r="C266"/>
      <c r="D266" s="130">
        <f>IF(BX$257="Close to Ear","EN 62209-1","EN 62209-2")</f>
        <v/>
      </c>
      <c r="E266" s="130">
        <f>IF(CG266="Close to Ear","2016","2010/A1:2019")</f>
        <v/>
      </c>
      <c r="F266" s="1488" t="inlineStr">
        <is>
          <t>5.1</t>
        </is>
      </c>
      <c r="G266" s="1497"/>
      <c r="H266" s="120">
        <f>BV266</f>
        <v/>
      </c>
      <c r="I266" s="120">
        <f>BW266</f>
        <v/>
      </c>
      <c r="J266" s="687">
        <f>BT266</f>
        <v/>
      </c>
      <c r="K266" s="194">
        <f>BU266</f>
        <v/>
      </c>
      <c r="L266" s="115"/>
      <c r="M266" s="120">
        <f>BZ266</f>
        <v/>
      </c>
      <c r="N266" s="119"/>
      <c r="O266" s="131"/>
      <c r="P266" s="6597"/>
      <c r="Q266" s="131"/>
      <c r="R266" s="131"/>
      <c r="S266" s="120">
        <f>CG266</f>
        <v/>
      </c>
      <c r="T266" s="120">
        <f>CC266</f>
        <v/>
      </c>
      <c r="U266" s="120">
        <f>CD266</f>
        <v/>
      </c>
      <c r="V266" s="119"/>
      <c r="W266" s="197">
        <f>CK266*100</f>
        <v/>
      </c>
      <c r="X266" s="119"/>
      <c r="Y266" s="119"/>
      <c r="Z266" s="119"/>
      <c r="AA266" s="115"/>
      <c r="AB266" s="115"/>
      <c r="AC266" s="689">
        <f>IF(OR(BX$257="Close to Ear",BX$257="Close to Head"),"Head",IF(BX$257="Extremity","Extremity","Body"))</f>
        <v/>
      </c>
      <c r="AD266" s="690">
        <f>CA266</f>
        <v/>
      </c>
      <c r="AE266" s="688">
        <f>CB266</f>
        <v/>
      </c>
      <c r="AF266" s="115"/>
      <c r="AG266" s="808">
        <f>IF(AZ266="","N/A",IF(CQ266="Pass","P","F"))</f>
        <v/>
      </c>
      <c r="AH266" s="129"/>
      <c r="AI266" s="129"/>
      <c r="AJ266" s="129"/>
      <c r="AK266" s="119"/>
      <c r="AL266" s="115"/>
      <c r="AM266" s="119"/>
      <c r="AN266" s="119"/>
      <c r="AO266" s="692"/>
      <c r="AP266" s="692"/>
      <c r="AQ266" s="692"/>
      <c r="AR266" s="692"/>
      <c r="AS266" s="692"/>
      <c r="AT266" s="691">
        <f>CE266</f>
        <v/>
      </c>
      <c r="AU266" s="691">
        <f>CF266</f>
        <v/>
      </c>
      <c r="AV266" s="813"/>
      <c r="AW266" s="813"/>
      <c r="AX266" s="197">
        <f>CZ266</f>
        <v/>
      </c>
      <c r="AY266" s="197">
        <f>DE266</f>
        <v/>
      </c>
      <c r="AZ266" s="3379">
        <f>CO266</f>
        <v/>
      </c>
      <c r="BA266" s="3380"/>
      <c r="BB266" s="197">
        <f>CP266</f>
        <v/>
      </c>
      <c r="BC266" s="813"/>
      <c r="BD266" s="197">
        <f>CR266</f>
        <v/>
      </c>
      <c r="BE266" s="121">
        <f>CS266</f>
        <v/>
      </c>
      <c r="BF266" s="122">
        <f>CT266*60</f>
        <v/>
      </c>
      <c r="BG266" s="121">
        <f>BE266</f>
        <v/>
      </c>
      <c r="BH266" s="122">
        <f>CU266*60</f>
        <v/>
      </c>
      <c r="BI266" s="122">
        <f>CV266</f>
        <v/>
      </c>
      <c r="BJ266" s="117"/>
      <c r="BK266" s="812">
        <f>Overview!$E$7</f>
        <v/>
      </c>
      <c r="BL266" s="117"/>
      <c r="BM266" s="836">
        <f>CW266</f>
        <v/>
      </c>
      <c r="BN266" s="812">
        <f>Overview!$P$153</f>
        <v/>
      </c>
      <c r="BO266" s="117"/>
      <c r="BP266" s="117"/>
      <c r="BQ266" s="115"/>
      <c r="BR266" s="1478" t="inlineStr">
        <is>
          <t>N/A</t>
        </is>
      </c>
      <c r="BS266" s="1548"/>
      <c r="BT266" s="2071" t="inlineStr">
        <is>
          <t>GSM</t>
        </is>
      </c>
      <c r="BU266" s="2071">
        <v>1800</v>
      </c>
      <c r="BV266" s="415">
        <f>Overview!$H$30</f>
        <v/>
      </c>
      <c r="BW266" s="2010"/>
      <c r="BX266" s="2075"/>
      <c r="BY266" s="2010"/>
      <c r="BZ266" s="2010"/>
      <c r="CA266" s="418" t="str">
        <f>CONCATENATE(CA264," - Battery check 2")</f>
        <v>TBD - Battery check 2</v>
      </c>
      <c r="CB266" s="201">
        <v>5</v>
      </c>
      <c r="CC266" s="857">
        <f>IF(COUNT($CO$257:$CO$264)=0,"N/A",INDEX($CC$257:$CC$264,MATCH(MAX($CO$257:$CO$264),$CO$257:$CO$264,0)))</f>
        <v/>
      </c>
      <c r="CD266" s="857">
        <f>IF(COUNT($CO$257:$CO$264)=0,"N/A",INDEX($CD$257:$CD$264,MATCH(MAX($CO$257:$CO$264),$CO$257:$CO$264,0)))</f>
        <v/>
      </c>
      <c r="CE266" s="1874"/>
      <c r="CF266" s="1874"/>
      <c r="CG266" s="388" t="inlineStr">
        <is>
          <t>N/A</t>
        </is>
      </c>
      <c r="CH266" s="388">
        <f>BZ266</f>
        <v/>
      </c>
      <c r="CI266" s="388">
        <f>CA266</f>
        <v/>
      </c>
      <c r="CJ266" s="2046"/>
      <c r="CK266" s="2047"/>
      <c r="CL266" s="212">
        <f>IF(CF266=""," ",IF(ABS(CE266-CF266)&lt;=0.125,"Valid","Not valid"))</f>
        <v/>
      </c>
      <c r="CM266" s="213">
        <f> IF(CE266="","",IF(AND(CE266&lt;&gt;"",CF266=""),IF(CE266&gt;=1,"Medir+Sig Max","No"),IF(CF266&lt;&gt;"",IF(CF266&gt;=1,"Medir+Sig Max","No"),"")))</f>
        <v/>
      </c>
      <c r="CN266" s="1794"/>
      <c r="CO266" s="221">
        <f>IF(CK266="",IF(AND(CE266="",CF266=""),"",IF(CF266="",IF(DE266&gt;1,ROUND(DE266*CE266,3),CE266),IF(DE266&gt;1,ROUND(DE266*CF266,3),CF266))),IF(AND(CE266="",CF266=""),"",IF(CF266="",IF(DE266&gt;1,ROUND(DE266*CE266*(1/(CK266)),3),CE266*(1/(CK266))),IF(DE266&gt;1,ROUND(DE266*CF266*(1/(CK266)),3),CF266*(1/(CK266))))))</f>
        <v/>
      </c>
      <c r="CP266" s="2048">
        <f>$CP$3</f>
        <v/>
      </c>
      <c r="CQ266" s="1473">
        <f>IF(CO266="","",IF(CO266&gt;CP266,"Fail","Pass"))</f>
        <v/>
      </c>
      <c r="CR266" s="1482">
        <f>IF(CO266&lt;&gt;"",MAX($CR$3:CR265)+1,"")</f>
        <v/>
      </c>
      <c r="CS266" s="1566">
        <f>MyTimestamp(CQ266)</f>
        <v/>
      </c>
      <c r="CT266" s="1535">
        <f>IF(COUNT(CE266:CF266)=1,15,IF(COUNT(CE266:CF266)=0,0,30))</f>
        <v/>
      </c>
      <c r="CU266" s="1536">
        <f>IF(CT266=0,0,2)</f>
        <v/>
      </c>
      <c r="CV266" s="861" t="inlineStr">
        <is>
          <t>S/02</t>
        </is>
      </c>
      <c r="CW266" s="861" t="inlineStr">
        <is>
          <t>Dasy6</t>
        </is>
      </c>
      <c r="CX266" s="2038"/>
      <c r="CY266" s="2050"/>
      <c r="CZ266" s="1545">
        <f>10^(CJ266/20)*100-100</f>
        <v/>
      </c>
      <c r="DA266" s="1327">
        <f>IF('Tune-Up'!$H$21="","",'Tune-Up'!$H$21)</f>
        <v/>
      </c>
      <c r="DB266" s="703">
        <f>IF(COUNT($CO$257:$CO$264)=0,"N/A",IFERROR(INDEX($DB$257:$DB$264,MATCH(MAX($CO$257:$CO$264),$CO$257:$CO$264,0)),"N/A"))</f>
        <v/>
      </c>
      <c r="DC266" s="771">
        <f>IF(DA266="","",10^(DA266/10))</f>
        <v/>
      </c>
      <c r="DD266" s="1371">
        <f>IF(ISNUMBER(DB266)=FALSE,"N/A",10^(DB266/10))</f>
        <v/>
      </c>
      <c r="DE266" s="1545">
        <f>IF(AND(ISNUMBER(DC266),ISNUMBER(DD266)),IF(DC266/DD266&gt;1,ROUND((DC266)/DD266,3),1),1)</f>
        <v/>
      </c>
      <c r="DF266" s="1541"/>
      <c r="DG266" s="1541"/>
      <c r="DH266" s="1541"/>
      <c r="DI266" s="1541"/>
      <c r="DJ266" s="1541"/>
      <c r="DK266" s="1541"/>
      <c r="DL266" s="1541"/>
      <c r="DM266" s="1541"/>
      <c r="DN266" s="1541"/>
      <c r="DO266" s="1541"/>
      <c r="DP266" s="1541"/>
      <c r="DQ266" s="1541"/>
      <c r="DR266" s="1541"/>
    </row>
    <row r="267" ht="12.75" x14ac:dyDescent="0.2">
      <c r="A267" s="1541"/>
      <c r="B267" s="1541"/>
      <c r="C267"/>
      <c r="D267" s="130">
        <f>IF(BX$267="Close to Ear","EN 62209-1","EN 62209-2")</f>
        <v/>
      </c>
      <c r="E267" s="130">
        <f>IF(CG267="Close to Ear","2016","2010/A1:2019")</f>
        <v/>
      </c>
      <c r="F267" s="1488" t="inlineStr">
        <is>
          <t>5.1</t>
        </is>
      </c>
      <c r="G267" s="1497"/>
      <c r="H267" s="120">
        <f>BV267</f>
        <v/>
      </c>
      <c r="I267" s="120">
        <f>BW267</f>
        <v/>
      </c>
      <c r="J267" s="687" t="str">
        <f>BT267</f>
        <v>GSM</v>
      </c>
      <c r="K267" s="194">
        <f>BU267</f>
        <v>1800</v>
      </c>
      <c r="L267" s="115"/>
      <c r="M267" s="120">
        <f>BZ267</f>
        <v>0</v>
      </c>
      <c r="N267" s="119"/>
      <c r="O267" s="131"/>
      <c r="P267" s="6597"/>
      <c r="Q267" s="131"/>
      <c r="R267" s="131"/>
      <c r="S267" s="120">
        <f>CG267</f>
        <v>0</v>
      </c>
      <c r="T267" s="120">
        <f>CC267</f>
        <v>698</v>
      </c>
      <c r="U267" s="120">
        <f>CD267</f>
        <v>1747.4</v>
      </c>
      <c r="V267" s="119"/>
      <c r="W267" s="197">
        <f>CK267*100</f>
        <v/>
      </c>
      <c r="X267" s="119"/>
      <c r="Y267" s="119"/>
      <c r="Z267" s="119"/>
      <c r="AA267" s="115"/>
      <c r="AB267" s="115"/>
      <c r="AC267" s="689">
        <f>IF(OR(BX$267="Close to Ear",BX$267="Close to Head"),"Head",IF(BX$267="Extremity","Extremity","Body"))</f>
        <v/>
      </c>
      <c r="AD267" s="690">
        <f>CA267</f>
        <v/>
      </c>
      <c r="AE267" s="688">
        <f>CB267</f>
        <v/>
      </c>
      <c r="AF267" s="115"/>
      <c r="AG267" s="808">
        <f>IF(AZ267="","N/A",IF(CQ267="Pass","P","F"))</f>
        <v/>
      </c>
      <c r="AH267" s="129"/>
      <c r="AI267" s="129"/>
      <c r="AJ267" s="129"/>
      <c r="AK267" s="119"/>
      <c r="AL267" s="115"/>
      <c r="AM267" s="119"/>
      <c r="AN267" s="119"/>
      <c r="AO267" s="692"/>
      <c r="AP267" s="692"/>
      <c r="AQ267" s="692"/>
      <c r="AR267" s="692"/>
      <c r="AS267" s="692"/>
      <c r="AT267" s="691">
        <f>CE267</f>
        <v/>
      </c>
      <c r="AU267" s="691">
        <f>CF267</f>
        <v/>
      </c>
      <c r="AV267" s="813"/>
      <c r="AW267" s="813"/>
      <c r="AX267" s="197">
        <f>CZ267</f>
        <v/>
      </c>
      <c r="AY267" s="197">
        <f>DE267</f>
        <v/>
      </c>
      <c r="AZ267" s="3379">
        <f>CO267</f>
        <v/>
      </c>
      <c r="BA267" s="3380"/>
      <c r="BB267" s="197">
        <f>CP267</f>
        <v/>
      </c>
      <c r="BC267" s="813"/>
      <c r="BD267" s="197">
        <f>CR267</f>
        <v/>
      </c>
      <c r="BE267" s="121">
        <f>CS267</f>
        <v/>
      </c>
      <c r="BF267" s="122">
        <f>CT267*60</f>
        <v/>
      </c>
      <c r="BG267" s="121">
        <f>BE267</f>
        <v/>
      </c>
      <c r="BH267" s="122">
        <f>CU267*60</f>
        <v/>
      </c>
      <c r="BI267" s="122">
        <f>CV267</f>
        <v/>
      </c>
      <c r="BJ267" s="117"/>
      <c r="BK267" s="812">
        <f>Overview!$E$7</f>
        <v/>
      </c>
      <c r="BL267" s="117"/>
      <c r="BM267" s="836">
        <f>CW267</f>
        <v/>
      </c>
      <c r="BN267" s="812">
        <f>Overview!$P$153</f>
        <v/>
      </c>
      <c r="BO267" s="117"/>
      <c r="BP267" s="117"/>
      <c r="BQ267" s="115"/>
      <c r="BR267" s="1478" t="inlineStr">
        <is>
          <t>N/A</t>
        </is>
      </c>
      <c r="BS267" s="1548"/>
      <c r="BT267" s="2071" t="inlineStr">
        <is>
          <t>GSM</t>
        </is>
      </c>
      <c r="BU267" s="2071">
        <v>1800</v>
      </c>
      <c r="BV267" s="415">
        <f>Overview!$H$30</f>
        <v/>
      </c>
      <c r="BW267" s="2010"/>
      <c r="BX267" s="7674" t="inlineStr">
        <is>
          <t>Body</t>
        </is>
      </c>
      <c r="BY267" s="2072"/>
      <c r="BZ267" s="2072"/>
      <c r="CA267" s="1996" t="inlineStr">
        <is>
          <t>Front Face</t>
        </is>
      </c>
      <c r="CB267" s="1959">
        <v>5</v>
      </c>
      <c r="CC267" s="856">
        <f>'2G-3G'!BX33</f>
        <v>698</v>
      </c>
      <c r="CD267" s="856">
        <f>'2G-3G'!BY33</f>
        <v>1747.4</v>
      </c>
      <c r="CE267" s="1522"/>
      <c r="CF267" s="1522"/>
      <c r="CG267" s="386" t="str">
        <f>IF(OR($BY$167="",$BY$167=""),"",$BY$167)</f>
        <v/>
      </c>
      <c r="CH267" s="386">
        <f>BZ267</f>
        <v/>
      </c>
      <c r="CI267" s="386">
        <f>CA267</f>
        <v/>
      </c>
      <c r="CJ267" s="1526"/>
      <c r="CK267" s="2070"/>
      <c r="CL267" s="203">
        <f>IF(CF267=""," ",IF(ABS(CE267-CF267)&lt;=0.125,"Valid","Not valid"))</f>
        <v/>
      </c>
      <c r="CM267" s="204">
        <f> IF(CE267="","",IF(AND(CE267&lt;&gt;"",CF267=""),IF(CE267&gt;=1,"Medir+Sig Max","No"),IF(CF267&lt;&gt;"",IF(CF267&gt;=1,"Medir+Sig Max","No"),"")))</f>
        <v/>
      </c>
      <c r="CN267" s="1798"/>
      <c r="CO267" s="219">
        <f>IF(CK267="",IF(AND(CE267="",CF267=""),"",IF(CF267="",IF(DE267&gt;1,ROUND(DE267*CE267,3),CE267),IF(DE267&gt;1,ROUND(DE267*CF267,3),CF267))),IF(AND(CE267="",CF267=""),"",IF(CF267="",IF(DE267&gt;1,ROUND(DE267*CE267*(1/(CK267)),3),CE267*(1/(CK267))),IF(DE267&gt;1,ROUND(DE267*CF267*(1/(CK267)),3),CF267*(1/(CK267))))))</f>
        <v/>
      </c>
      <c r="CP267" s="2037">
        <f>$CP$3</f>
        <v/>
      </c>
      <c r="CQ267" s="1471">
        <f>IF(CO267="","",IF(CO267&gt;CP267,"Fail","Pass"))</f>
        <v/>
      </c>
      <c r="CR267" s="1480">
        <f>IF(AND(MAX(CO267:CO274)=CO267,CO267&lt;&gt;0),COUNT($CR$3:CR264)+1,"")</f>
        <v/>
      </c>
      <c r="CS267" s="1564">
        <f>MyTimestamp(CO267)</f>
        <v/>
      </c>
      <c r="CT267" s="1529">
        <f>IF(CE267="",0,15)+IF(CF267="",0,15)</f>
        <v/>
      </c>
      <c r="CU267" s="1530">
        <f>IF(CT267=0,0,2)</f>
        <v/>
      </c>
      <c r="CV267" s="862" t="inlineStr">
        <is>
          <t>S/02</t>
        </is>
      </c>
      <c r="CW267" s="862" t="inlineStr">
        <is>
          <t>Dasy6</t>
        </is>
      </c>
      <c r="CX267" s="2038"/>
      <c r="CY267" s="2039"/>
      <c r="CZ267" s="1542">
        <f>10^(CJ267/20)*100-100</f>
        <v/>
      </c>
      <c r="DA267" s="1324">
        <f>IF('Tune-Up'!$H$21="","",'Tune-Up'!$H$21)</f>
        <v/>
      </c>
      <c r="DB267" s="700">
        <f>'2G-3G'!BZ33</f>
        <v/>
      </c>
      <c r="DC267" s="768">
        <f>IF(DA267="","",10^(DA267/10))</f>
        <v/>
      </c>
      <c r="DD267" s="1368">
        <f>IF(ISNUMBER(DB267)=FALSE,"",10^(DB267/10))</f>
        <v/>
      </c>
      <c r="DE267" s="1542">
        <f>IF(AND(ISNUMBER(DC267),ISNUMBER(DD267)),IF(DC267/DD267&gt;1,ROUND((DC267)/DD267,3),1),1)</f>
        <v/>
      </c>
      <c r="DF267" s="1541"/>
      <c r="DG267" s="1541"/>
      <c r="DH267" s="1541"/>
      <c r="DI267" s="1541"/>
      <c r="DJ267" s="1541"/>
      <c r="DK267" s="1541"/>
      <c r="DL267" s="1541"/>
      <c r="DM267" s="1541"/>
      <c r="DN267" s="1541"/>
      <c r="DO267" s="1541"/>
      <c r="DP267" s="1541"/>
      <c r="DQ267" s="1541"/>
      <c r="DR267" s="1541"/>
    </row>
    <row r="268" ht="12.75" x14ac:dyDescent="0.2">
      <c r="A268" s="1541"/>
      <c r="B268" s="1541"/>
      <c r="C268"/>
      <c r="D268" s="130">
        <f>IF(BX$267="Close to Ear","EN 62209-1","EN 62209-2")</f>
        <v/>
      </c>
      <c r="E268" s="130">
        <f>IF(CG268="Close to Ear","2016","2010/A1:2019")</f>
        <v/>
      </c>
      <c r="F268" s="1488" t="inlineStr">
        <is>
          <t>5.1</t>
        </is>
      </c>
      <c r="G268" s="1497"/>
      <c r="H268" s="120">
        <f>BV268</f>
        <v/>
      </c>
      <c r="I268" s="120">
        <f>BW268</f>
        <v/>
      </c>
      <c r="J268" s="687" t="str">
        <f>BT268</f>
        <v>GSM</v>
      </c>
      <c r="K268" s="194">
        <f>BU268</f>
        <v>1800</v>
      </c>
      <c r="L268" s="115"/>
      <c r="M268" s="120">
        <f>BZ268</f>
        <v>0</v>
      </c>
      <c r="N268" s="119"/>
      <c r="O268" s="131"/>
      <c r="P268" s="6597"/>
      <c r="Q268" s="131"/>
      <c r="R268" s="131"/>
      <c r="S268" s="120">
        <f>CG268</f>
        <v>0</v>
      </c>
      <c r="T268" s="120">
        <f>CC268</f>
        <v>698</v>
      </c>
      <c r="U268" s="120">
        <f>CD268</f>
        <v>1747.4</v>
      </c>
      <c r="V268" s="119"/>
      <c r="W268" s="197">
        <f>CK268*100</f>
        <v/>
      </c>
      <c r="X268" s="119"/>
      <c r="Y268" s="119"/>
      <c r="Z268" s="119"/>
      <c r="AA268" s="115"/>
      <c r="AB268" s="115"/>
      <c r="AC268" s="689">
        <f>IF(OR(BX$267="Close to Ear",BX$267="Close to Head"),"Head",IF(BX$267="Extremity","Extremity","Body"))</f>
        <v/>
      </c>
      <c r="AD268" s="690">
        <f>CA268</f>
        <v/>
      </c>
      <c r="AE268" s="688">
        <f>CB268</f>
        <v/>
      </c>
      <c r="AF268" s="115"/>
      <c r="AG268" s="808">
        <f>IF(AZ268="","N/A",IF(CQ268="Pass","P","F"))</f>
        <v/>
      </c>
      <c r="AH268" s="129"/>
      <c r="AI268" s="129"/>
      <c r="AJ268" s="129"/>
      <c r="AK268" s="119"/>
      <c r="AL268" s="115"/>
      <c r="AM268" s="119"/>
      <c r="AN268" s="119"/>
      <c r="AO268" s="692"/>
      <c r="AP268" s="692"/>
      <c r="AQ268" s="692"/>
      <c r="AR268" s="692"/>
      <c r="AS268" s="692"/>
      <c r="AT268" s="691">
        <f>CE268</f>
        <v/>
      </c>
      <c r="AU268" s="691">
        <f>CF268</f>
        <v/>
      </c>
      <c r="AV268" s="813"/>
      <c r="AW268" s="813"/>
      <c r="AX268" s="197">
        <f>CZ268</f>
        <v/>
      </c>
      <c r="AY268" s="197">
        <f>DE268</f>
        <v/>
      </c>
      <c r="AZ268" s="3379">
        <f>CO268</f>
        <v/>
      </c>
      <c r="BA268" s="3380"/>
      <c r="BB268" s="197">
        <f>CP268</f>
        <v/>
      </c>
      <c r="BC268" s="813"/>
      <c r="BD268" s="197">
        <f>CR268</f>
        <v/>
      </c>
      <c r="BE268" s="121">
        <f>CS268</f>
        <v/>
      </c>
      <c r="BF268" s="122">
        <f>CT268*60</f>
        <v/>
      </c>
      <c r="BG268" s="121">
        <f>BE268</f>
        <v/>
      </c>
      <c r="BH268" s="122">
        <f>CU268*60</f>
        <v/>
      </c>
      <c r="BI268" s="122">
        <f>CV268</f>
        <v/>
      </c>
      <c r="BJ268" s="117"/>
      <c r="BK268" s="812">
        <f>Overview!$E$7</f>
        <v/>
      </c>
      <c r="BL268" s="117"/>
      <c r="BM268" s="836">
        <f>CW268</f>
        <v/>
      </c>
      <c r="BN268" s="812">
        <f>Overview!$P$153</f>
        <v/>
      </c>
      <c r="BO268" s="117"/>
      <c r="BP268" s="117"/>
      <c r="BQ268" s="115"/>
      <c r="BR268" s="1478" t="inlineStr">
        <is>
          <t>N/A</t>
        </is>
      </c>
      <c r="BS268" s="1548"/>
      <c r="BT268" s="2071" t="inlineStr">
        <is>
          <t>GSM</t>
        </is>
      </c>
      <c r="BU268" s="2071">
        <v>1800</v>
      </c>
      <c r="BV268" s="415">
        <f>Overview!$H$30</f>
        <v/>
      </c>
      <c r="BW268" s="2010"/>
      <c r="BX268" s="2071"/>
      <c r="BY268" s="2072"/>
      <c r="BZ268" s="2072"/>
      <c r="CA268" s="1997" t="inlineStr">
        <is>
          <t>Back Face</t>
        </is>
      </c>
      <c r="CB268" s="200">
        <v>5</v>
      </c>
      <c r="CC268" s="902">
        <f>'2G-3G'!BX33</f>
        <v>698</v>
      </c>
      <c r="CD268" s="902">
        <f>'2G-3G'!BY33</f>
        <v>1747.4</v>
      </c>
      <c r="CE268" s="1523"/>
      <c r="CF268" s="1523"/>
      <c r="CG268" s="387" t="str">
        <f>IF(OR($BY$167="",$BY$167=""),"",$BY$167)</f>
        <v/>
      </c>
      <c r="CH268" s="387">
        <f>BZ268</f>
        <v/>
      </c>
      <c r="CI268" s="387">
        <f>CA268</f>
        <v/>
      </c>
      <c r="CJ268" s="1527"/>
      <c r="CK268" s="2042"/>
      <c r="CL268" s="206">
        <f>IF(CF268=""," ",IF(ABS(CE268-CF268)&lt;=0.125,"Valid","Not valid"))</f>
        <v/>
      </c>
      <c r="CM268" s="207">
        <f> IF(CE268="","",IF(AND(CE268&lt;&gt;"",CF268=""),IF(CE268&gt;=1,"Medir+Sig Max","No"),IF(CF268&lt;&gt;"",IF(CF268&gt;=1,"Medir+Sig Max","No"),"")))</f>
        <v/>
      </c>
      <c r="CN268" s="1787"/>
      <c r="CO268" s="220">
        <f>IF(CK268="",IF(AND(CE268="",CF268=""),"",IF(CF268="",IF(DE268&gt;1,ROUND(DE268*CE268,3),CE268),IF(DE268&gt;1,ROUND(DE268*CF268,3),CF268))),IF(AND(CE268="",CF268=""),"",IF(CF268="",IF(DE268&gt;1,ROUND(DE268*CE268*(1/(CK268)),3),CE268*(1/(CK268))),IF(DE268&gt;1,ROUND(DE268*CF268*(1/(CK268)),3),CF268*(1/(CK268))))))</f>
        <v/>
      </c>
      <c r="CP268" s="2043">
        <f>$CP$3</f>
        <v/>
      </c>
      <c r="CQ268" s="1472">
        <f>IF(CO268="","",IF(CO268&gt;CP268,"Fail","Pass"))</f>
        <v/>
      </c>
      <c r="CR268" s="1481">
        <f>IF(AND(MAX(CO267:CO274)=CO268,CO268&lt;&gt;0),COUNT($CR$3:CR267)+1,"")</f>
        <v/>
      </c>
      <c r="CS268" s="1565">
        <f>MyTimestamp(CO268)</f>
        <v/>
      </c>
      <c r="CT268" s="1531">
        <f>IF(CE268="",0,15)+IF(CF268="",0,15)</f>
        <v/>
      </c>
      <c r="CU268" s="1532">
        <f>IF(CT268=0,0,2)</f>
        <v/>
      </c>
      <c r="CV268" s="859" t="inlineStr">
        <is>
          <t>S/02</t>
        </is>
      </c>
      <c r="CW268" s="859" t="inlineStr">
        <is>
          <t>Dasy6</t>
        </is>
      </c>
      <c r="CX268" s="2038"/>
      <c r="CY268" s="2044"/>
      <c r="CZ268" s="1543">
        <f>10^(CJ268/20)*100-100</f>
        <v/>
      </c>
      <c r="DA268" s="1325">
        <f>IF('Tune-Up'!$H$21="","",'Tune-Up'!$H$21)</f>
        <v/>
      </c>
      <c r="DB268" s="701">
        <f>'2G-3G'!BZ33</f>
        <v/>
      </c>
      <c r="DC268" s="769">
        <f>IF(DA268="","",10^(DA268/10))</f>
        <v/>
      </c>
      <c r="DD268" s="1369">
        <f>IF(ISNUMBER(DB268)=FALSE,"",10^(DB268/10))</f>
        <v/>
      </c>
      <c r="DE268" s="1543">
        <f>IF(AND(ISNUMBER(DC268),ISNUMBER(DD268)),IF(DC268/DD268&gt;1,ROUND((DC268)/DD268,3),1),1)</f>
        <v/>
      </c>
      <c r="DF268" s="1541"/>
      <c r="DG268" s="1541"/>
      <c r="DH268" s="1541"/>
      <c r="DI268" s="1541"/>
      <c r="DJ268" s="1541"/>
      <c r="DK268" s="1541"/>
      <c r="DL268" s="1541"/>
      <c r="DM268" s="1541"/>
      <c r="DN268" s="1541"/>
      <c r="DO268" s="1541"/>
      <c r="DP268" s="1541"/>
      <c r="DQ268" s="1541"/>
      <c r="DR268" s="1541"/>
    </row>
    <row r="269" ht="12.75" x14ac:dyDescent="0.2">
      <c r="A269" s="1541"/>
      <c r="B269" s="1541"/>
      <c r="C269"/>
      <c r="D269" s="130">
        <f>IF(BX$267="Close to Ear","EN 62209-1","EN 62209-2")</f>
        <v/>
      </c>
      <c r="E269" s="130">
        <f>IF(CG269="Close to Ear","2016","2010/A1:2019")</f>
        <v/>
      </c>
      <c r="F269" s="1488" t="inlineStr">
        <is>
          <t>5.1</t>
        </is>
      </c>
      <c r="G269" s="1497"/>
      <c r="H269" s="120">
        <f>BV269</f>
        <v/>
      </c>
      <c r="I269" s="120">
        <f>BW269</f>
        <v/>
      </c>
      <c r="J269" s="687" t="str">
        <f>BT269</f>
        <v>GSM</v>
      </c>
      <c r="K269" s="194">
        <f>BU269</f>
        <v>1800</v>
      </c>
      <c r="L269" s="115"/>
      <c r="M269" s="120">
        <f>BZ269</f>
        <v>0</v>
      </c>
      <c r="N269" s="119"/>
      <c r="O269" s="131"/>
      <c r="P269" s="6597"/>
      <c r="Q269" s="131"/>
      <c r="R269" s="131"/>
      <c r="S269" s="120">
        <f>CG269</f>
        <v>0</v>
      </c>
      <c r="T269" s="120">
        <f>CC269</f>
        <v>698</v>
      </c>
      <c r="U269" s="120">
        <f>CD269</f>
        <v>1747.4</v>
      </c>
      <c r="V269" s="119"/>
      <c r="W269" s="197">
        <f>CK269*100</f>
        <v/>
      </c>
      <c r="X269" s="119"/>
      <c r="Y269" s="119"/>
      <c r="Z269" s="119"/>
      <c r="AA269" s="115"/>
      <c r="AB269" s="115"/>
      <c r="AC269" s="689">
        <f>IF(OR(BX$267="Close to Ear",BX$267="Close to Head"),"Head",IF(BX$267="Extremity","Extremity","Body"))</f>
        <v/>
      </c>
      <c r="AD269" s="690">
        <f>CA269</f>
        <v/>
      </c>
      <c r="AE269" s="688">
        <f>CB269</f>
        <v/>
      </c>
      <c r="AF269" s="115"/>
      <c r="AG269" s="808">
        <f>IF(AZ269="","N/A",IF(CQ269="Pass","P","F"))</f>
        <v/>
      </c>
      <c r="AH269" s="129"/>
      <c r="AI269" s="129"/>
      <c r="AJ269" s="129"/>
      <c r="AK269" s="119"/>
      <c r="AL269" s="115"/>
      <c r="AM269" s="119"/>
      <c r="AN269" s="119"/>
      <c r="AO269" s="692"/>
      <c r="AP269" s="692"/>
      <c r="AQ269" s="692"/>
      <c r="AR269" s="692"/>
      <c r="AS269" s="692"/>
      <c r="AT269" s="691">
        <f>CE269</f>
        <v/>
      </c>
      <c r="AU269" s="691">
        <f>CF269</f>
        <v/>
      </c>
      <c r="AV269" s="813"/>
      <c r="AW269" s="813"/>
      <c r="AX269" s="197">
        <f>CZ269</f>
        <v/>
      </c>
      <c r="AY269" s="197">
        <f>DE269</f>
        <v/>
      </c>
      <c r="AZ269" s="3379">
        <f>CO269</f>
        <v/>
      </c>
      <c r="BA269" s="3380"/>
      <c r="BB269" s="197">
        <f>CP269</f>
        <v/>
      </c>
      <c r="BC269" s="813"/>
      <c r="BD269" s="197">
        <f>CR269</f>
        <v/>
      </c>
      <c r="BE269" s="121">
        <f>CS269</f>
        <v/>
      </c>
      <c r="BF269" s="122">
        <f>CT269*60</f>
        <v/>
      </c>
      <c r="BG269" s="121">
        <f>BE269</f>
        <v/>
      </c>
      <c r="BH269" s="122">
        <f>CU269*60</f>
        <v/>
      </c>
      <c r="BI269" s="122">
        <f>CV269</f>
        <v/>
      </c>
      <c r="BJ269" s="117"/>
      <c r="BK269" s="812">
        <f>Overview!$E$7</f>
        <v/>
      </c>
      <c r="BL269" s="117"/>
      <c r="BM269" s="836">
        <f>CW269</f>
        <v/>
      </c>
      <c r="BN269" s="812">
        <f>Overview!$P$153</f>
        <v/>
      </c>
      <c r="BO269" s="117"/>
      <c r="BP269" s="117"/>
      <c r="BQ269" s="115"/>
      <c r="BR269" s="1478" t="inlineStr">
        <is>
          <t>N/A</t>
        </is>
      </c>
      <c r="BS269" s="1548"/>
      <c r="BT269" s="2071" t="inlineStr">
        <is>
          <t>GSM</t>
        </is>
      </c>
      <c r="BU269" s="2071">
        <v>1800</v>
      </c>
      <c r="BV269" s="415">
        <f>Overview!$H$30</f>
        <v/>
      </c>
      <c r="BW269" s="2010"/>
      <c r="BX269" s="2071"/>
      <c r="BY269" s="2072"/>
      <c r="BZ269" s="2072"/>
      <c r="CA269" s="1997" t="inlineStr">
        <is>
          <t>Left Edge</t>
        </is>
      </c>
      <c r="CB269" s="200">
        <v>5</v>
      </c>
      <c r="CC269" s="902">
        <f>'2G-3G'!BX33</f>
        <v>698</v>
      </c>
      <c r="CD269" s="902">
        <f>'2G-3G'!BY33</f>
        <v>1747.4</v>
      </c>
      <c r="CE269" s="1523"/>
      <c r="CF269" s="1523"/>
      <c r="CG269" s="387" t="str">
        <f>IF(OR($BY$167="",$BY$167=""),"",$BY$167)</f>
        <v/>
      </c>
      <c r="CH269" s="387">
        <f>BZ269</f>
        <v/>
      </c>
      <c r="CI269" s="387">
        <f>CA269</f>
        <v/>
      </c>
      <c r="CJ269" s="1527"/>
      <c r="CK269" s="2042"/>
      <c r="CL269" s="206">
        <f>IF(CF269=""," ",IF(ABS(CE269-CF269)&lt;=0.125,"Valid","Not valid"))</f>
        <v/>
      </c>
      <c r="CM269" s="207">
        <f> IF(CE269="","",IF(AND(CE269&lt;&gt;"",CF269=""),IF(CE269&gt;=1,"Medir+Sig Max","No"),IF(CF269&lt;&gt;"",IF(CF269&gt;=1,"Medir+Sig Max","No"),"")))</f>
        <v/>
      </c>
      <c r="CN269" s="1787"/>
      <c r="CO269" s="220">
        <f>IF(CK269="",IF(AND(CE269="",CF269=""),"",IF(CF269="",IF(DE269&gt;1,ROUND(DE269*CE269,3),CE269),IF(DE269&gt;1,ROUND(DE269*CF269,3),CF269))),IF(AND(CE269="",CF269=""),"",IF(CF269="",IF(DE269&gt;1,ROUND(DE269*CE269*(1/(CK269)),3),CE269*(1/(CK269))),IF(DE269&gt;1,ROUND(DE269*CF269*(1/(CK269)),3),CF269*(1/(CK269))))))</f>
        <v/>
      </c>
      <c r="CP269" s="2043">
        <f>$CP$3</f>
        <v/>
      </c>
      <c r="CQ269" s="1472">
        <f>IF(CO269="","",IF(CO269&gt;CP269,"Fail","Pass"))</f>
        <v/>
      </c>
      <c r="CR269" s="1481">
        <f>IF(AND(MAX(CO267:CO274)=CO269,CO269&lt;&gt;0),COUNT($CR$3:CR268)+1,"")</f>
        <v/>
      </c>
      <c r="CS269" s="1565">
        <f>MyTimestamp(CO269)</f>
        <v/>
      </c>
      <c r="CT269" s="1531">
        <f>IF(CE269="",0,15)+IF(CF269="",0,15)</f>
        <v/>
      </c>
      <c r="CU269" s="1532">
        <f>IF(CT269=0,0,2)</f>
        <v/>
      </c>
      <c r="CV269" s="859" t="inlineStr">
        <is>
          <t>S/02</t>
        </is>
      </c>
      <c r="CW269" s="859" t="inlineStr">
        <is>
          <t>Dasy6</t>
        </is>
      </c>
      <c r="CX269" s="2038"/>
      <c r="CY269" s="2044"/>
      <c r="CZ269" s="1543">
        <f>10^(CJ269/20)*100-100</f>
        <v/>
      </c>
      <c r="DA269" s="1325">
        <f>IF('Tune-Up'!$H$21="","",'Tune-Up'!$H$21)</f>
        <v/>
      </c>
      <c r="DB269" s="701">
        <f>'2G-3G'!BZ33</f>
        <v/>
      </c>
      <c r="DC269" s="769">
        <f>IF(DA269="","",10^(DA269/10))</f>
        <v/>
      </c>
      <c r="DD269" s="1369">
        <f>IF(ISNUMBER(DB269)=FALSE,"",10^(DB269/10))</f>
        <v/>
      </c>
      <c r="DE269" s="1543">
        <f>IF(AND(ISNUMBER(DC269),ISNUMBER(DD269)),IF(DC269/DD269&gt;1,ROUND((DC269)/DD269,3),1),1)</f>
        <v/>
      </c>
      <c r="DF269" s="1541"/>
      <c r="DG269" s="1541"/>
      <c r="DH269" s="1541"/>
      <c r="DI269" s="1541"/>
      <c r="DJ269" s="1541"/>
      <c r="DK269" s="1541"/>
      <c r="DL269" s="1541"/>
      <c r="DM269" s="1541"/>
      <c r="DN269" s="1541"/>
      <c r="DO269" s="1541"/>
      <c r="DP269" s="1541"/>
      <c r="DQ269" s="1541"/>
      <c r="DR269" s="1541"/>
    </row>
    <row r="270" ht="12.75" x14ac:dyDescent="0.2">
      <c r="A270" s="1541"/>
      <c r="B270" s="1541"/>
      <c r="C270"/>
      <c r="D270" s="130">
        <f>IF(BX$267="Close to Ear","EN 62209-1","EN 62209-2")</f>
        <v/>
      </c>
      <c r="E270" s="130">
        <f>IF(CG270="Close to Ear","2016","2010/A1:2019")</f>
        <v/>
      </c>
      <c r="F270" s="1488" t="inlineStr">
        <is>
          <t>5.1</t>
        </is>
      </c>
      <c r="G270" s="1497"/>
      <c r="H270" s="120">
        <f>BV270</f>
        <v/>
      </c>
      <c r="I270" s="120">
        <f>BW270</f>
        <v/>
      </c>
      <c r="J270" s="687" t="str">
        <f>BT270</f>
        <v>GSM</v>
      </c>
      <c r="K270" s="194">
        <f>BU270</f>
        <v>1800</v>
      </c>
      <c r="L270" s="115"/>
      <c r="M270" s="120">
        <f>BZ270</f>
        <v>0</v>
      </c>
      <c r="N270" s="119"/>
      <c r="O270" s="131"/>
      <c r="P270" s="6597"/>
      <c r="Q270" s="131"/>
      <c r="R270" s="131"/>
      <c r="S270" s="120">
        <f>CG270</f>
        <v>0</v>
      </c>
      <c r="T270" s="120">
        <f>CC270</f>
        <v>698</v>
      </c>
      <c r="U270" s="120">
        <f>CD270</f>
        <v>1747.4</v>
      </c>
      <c r="V270" s="119"/>
      <c r="W270" s="197">
        <f>CK270*100</f>
        <v/>
      </c>
      <c r="X270" s="119"/>
      <c r="Y270" s="119"/>
      <c r="Z270" s="119"/>
      <c r="AA270" s="115"/>
      <c r="AB270" s="115"/>
      <c r="AC270" s="689">
        <f>IF(OR(BX$267="Close to Ear",BX$267="Close to Head"),"Head",IF(BX$267="Extremity","Extremity","Body"))</f>
        <v/>
      </c>
      <c r="AD270" s="690">
        <f>CA270</f>
        <v/>
      </c>
      <c r="AE270" s="688">
        <f>CB270</f>
        <v/>
      </c>
      <c r="AF270" s="115"/>
      <c r="AG270" s="808">
        <f>IF(AZ270="","N/A",IF(CQ270="Pass","P","F"))</f>
        <v/>
      </c>
      <c r="AH270" s="129"/>
      <c r="AI270" s="129"/>
      <c r="AJ270" s="129"/>
      <c r="AK270" s="119"/>
      <c r="AL270" s="115"/>
      <c r="AM270" s="119"/>
      <c r="AN270" s="119"/>
      <c r="AO270" s="692"/>
      <c r="AP270" s="692"/>
      <c r="AQ270" s="692"/>
      <c r="AR270" s="692"/>
      <c r="AS270" s="692"/>
      <c r="AT270" s="691">
        <f>CE270</f>
        <v/>
      </c>
      <c r="AU270" s="691">
        <f>CF270</f>
        <v/>
      </c>
      <c r="AV270" s="813"/>
      <c r="AW270" s="813"/>
      <c r="AX270" s="197">
        <f>CZ270</f>
        <v/>
      </c>
      <c r="AY270" s="197">
        <f>DE270</f>
        <v/>
      </c>
      <c r="AZ270" s="3379">
        <f>CO270</f>
        <v/>
      </c>
      <c r="BA270" s="3380"/>
      <c r="BB270" s="197">
        <f>CP270</f>
        <v/>
      </c>
      <c r="BC270" s="813"/>
      <c r="BD270" s="197">
        <f>CR270</f>
        <v/>
      </c>
      <c r="BE270" s="121">
        <f>CS270</f>
        <v/>
      </c>
      <c r="BF270" s="122">
        <f>CT270*60</f>
        <v/>
      </c>
      <c r="BG270" s="121">
        <f>BE270</f>
        <v/>
      </c>
      <c r="BH270" s="122">
        <f>CU270*60</f>
        <v/>
      </c>
      <c r="BI270" s="122">
        <f>CV270</f>
        <v/>
      </c>
      <c r="BJ270" s="117"/>
      <c r="BK270" s="812">
        <f>Overview!$E$7</f>
        <v/>
      </c>
      <c r="BL270" s="117"/>
      <c r="BM270" s="836">
        <f>CW270</f>
        <v/>
      </c>
      <c r="BN270" s="812">
        <f>Overview!$P$153</f>
        <v/>
      </c>
      <c r="BO270" s="117"/>
      <c r="BP270" s="117"/>
      <c r="BQ270" s="115"/>
      <c r="BR270" s="1478" t="inlineStr">
        <is>
          <t>N/A</t>
        </is>
      </c>
      <c r="BS270" s="1548"/>
      <c r="BT270" s="1891" t="inlineStr">
        <is>
          <t>GSM</t>
        </is>
      </c>
      <c r="BU270" s="1891">
        <v>1800</v>
      </c>
      <c r="BV270" s="417">
        <f>Overview!$H$30</f>
        <v/>
      </c>
      <c r="BW270" s="2010"/>
      <c r="BX270" s="1891"/>
      <c r="BY270" s="2072"/>
      <c r="BZ270" s="2072"/>
      <c r="CA270" s="1997" t="inlineStr">
        <is>
          <t>Right Edge</t>
        </is>
      </c>
      <c r="CB270" s="200">
        <v>5</v>
      </c>
      <c r="CC270" s="902">
        <f>'2G-3G'!BX33</f>
        <v>698</v>
      </c>
      <c r="CD270" s="902">
        <f>'2G-3G'!BY33</f>
        <v>1747.4</v>
      </c>
      <c r="CE270" s="1523"/>
      <c r="CF270" s="1523"/>
      <c r="CG270" s="387" t="str">
        <f>IF(OR($BY$167="",$BY$167=""),"",$BY$167)</f>
        <v/>
      </c>
      <c r="CH270" s="387">
        <f>BZ270</f>
        <v/>
      </c>
      <c r="CI270" s="387">
        <f>CA270</f>
        <v/>
      </c>
      <c r="CJ270" s="1527"/>
      <c r="CK270" s="2042"/>
      <c r="CL270" s="206">
        <f>IF(CF270=""," ",IF(ABS(CE270-CF270)&lt;=0.125,"Valid","Not valid"))</f>
        <v/>
      </c>
      <c r="CM270" s="207">
        <f> IF(CE270="","",IF(AND(CE270&lt;&gt;"",CF270=""),IF(CE270&gt;=1,"Medir+Sig Max","No"),IF(CF270&lt;&gt;"",IF(CF270&gt;=1,"Medir+Sig Max","No"),"")))</f>
        <v/>
      </c>
      <c r="CN270" s="1787"/>
      <c r="CO270" s="220">
        <f>IF(CK270="",IF(AND(CE270="",CF270=""),"",IF(CF270="",IF(DE270&gt;1,ROUND(DE270*CE270,3),CE270),IF(DE270&gt;1,ROUND(DE270*CF270,3),CF270))),IF(AND(CE270="",CF270=""),"",IF(CF270="",IF(DE270&gt;1,ROUND(DE270*CE270*(1/(CK270)),3),CE270*(1/(CK270))),IF(DE270&gt;1,ROUND(DE270*CF270*(1/(CK270)),3),CF270*(1/(CK270))))))</f>
        <v/>
      </c>
      <c r="CP270" s="2043">
        <f>$CP$3</f>
        <v/>
      </c>
      <c r="CQ270" s="1472">
        <f>IF(CO270="","",IF(CO270&gt;CP270,"Fail","Pass"))</f>
        <v/>
      </c>
      <c r="CR270" s="1481">
        <f>IF(AND(MAX(CO267:CO274)=CO270,CO270&lt;&gt;0),COUNT($CR$3:CR269)+1,"")</f>
        <v/>
      </c>
      <c r="CS270" s="1565">
        <f>MyTimestamp(CO270)</f>
        <v/>
      </c>
      <c r="CT270" s="1531">
        <f>IF(CE270="",0,15)+IF(CF270="",0,15)</f>
        <v/>
      </c>
      <c r="CU270" s="1532">
        <f>IF(CT270=0,0,2)</f>
        <v/>
      </c>
      <c r="CV270" s="859" t="inlineStr">
        <is>
          <t>S/02</t>
        </is>
      </c>
      <c r="CW270" s="859" t="inlineStr">
        <is>
          <t>Dasy6</t>
        </is>
      </c>
      <c r="CX270" s="2038"/>
      <c r="CY270" s="2044"/>
      <c r="CZ270" s="1543">
        <f>10^(CJ270/20)*100-100</f>
        <v/>
      </c>
      <c r="DA270" s="1325">
        <f>IF('Tune-Up'!$H$21="","",'Tune-Up'!$H$21)</f>
        <v/>
      </c>
      <c r="DB270" s="701">
        <f>'2G-3G'!BZ33</f>
        <v/>
      </c>
      <c r="DC270" s="769">
        <f>IF(DA270="","",10^(DA270/10))</f>
        <v/>
      </c>
      <c r="DD270" s="1369">
        <f>IF(ISNUMBER(DB270)=FALSE,"",10^(DB270/10))</f>
        <v/>
      </c>
      <c r="DE270" s="1543">
        <f>IF(AND(ISNUMBER(DC270),ISNUMBER(DD270)),IF(DC270/DD270&gt;1,ROUND((DC270)/DD270,3),1),1)</f>
        <v/>
      </c>
      <c r="DF270" s="1541"/>
      <c r="DG270" s="1541"/>
      <c r="DH270" s="1541"/>
      <c r="DI270" s="1541"/>
      <c r="DJ270" s="1541"/>
      <c r="DK270" s="1541"/>
      <c r="DL270" s="1541"/>
      <c r="DM270" s="1541"/>
      <c r="DN270" s="1541"/>
      <c r="DO270" s="1541"/>
      <c r="DP270" s="1541"/>
      <c r="DQ270" s="1541"/>
      <c r="DR270" s="1541"/>
    </row>
    <row r="271" ht="12.75" x14ac:dyDescent="0.2">
      <c r="A271" s="1541"/>
      <c r="B271" s="1541"/>
      <c r="C271"/>
      <c r="D271" s="130">
        <f>IF(BX$267="Close to Ear","EN 62209-1","EN 62209-2")</f>
        <v/>
      </c>
      <c r="E271" s="130">
        <f>IF(CG271="Close to Ear","2016","2010/A1:2019")</f>
        <v/>
      </c>
      <c r="F271" s="1488" t="inlineStr">
        <is>
          <t>5.1</t>
        </is>
      </c>
      <c r="G271" s="1497"/>
      <c r="H271" s="120">
        <f>BV271</f>
        <v/>
      </c>
      <c r="I271" s="120">
        <f>BW271</f>
        <v/>
      </c>
      <c r="J271" s="687" t="str">
        <f>BT271</f>
        <v>GSM</v>
      </c>
      <c r="K271" s="194">
        <f>BU271</f>
        <v>1800</v>
      </c>
      <c r="L271" s="115"/>
      <c r="M271" s="120">
        <f>BZ271</f>
        <v>0</v>
      </c>
      <c r="N271" s="119"/>
      <c r="O271" s="131"/>
      <c r="P271" s="6597"/>
      <c r="Q271" s="131"/>
      <c r="R271" s="131"/>
      <c r="S271" s="120">
        <f>CG271</f>
        <v>0</v>
      </c>
      <c r="T271" s="120">
        <f>CC271</f>
        <v>698</v>
      </c>
      <c r="U271" s="120">
        <f>CD271</f>
        <v>1747.4</v>
      </c>
      <c r="V271" s="119"/>
      <c r="W271" s="197">
        <f>CK271*100</f>
        <v/>
      </c>
      <c r="X271" s="119"/>
      <c r="Y271" s="119"/>
      <c r="Z271" s="119"/>
      <c r="AA271" s="115"/>
      <c r="AB271" s="115"/>
      <c r="AC271" s="689">
        <f>IF(OR(BX$267="Close to Ear",BX$267="Close to Head"),"Head",IF(BX$267="Extremity","Extremity","Body"))</f>
        <v/>
      </c>
      <c r="AD271" s="690">
        <f>CA271</f>
        <v/>
      </c>
      <c r="AE271" s="688">
        <f>CB271</f>
        <v/>
      </c>
      <c r="AF271" s="115"/>
      <c r="AG271" s="808">
        <f>IF(AZ271="","N/A",IF(CQ271="Pass","P","F"))</f>
        <v/>
      </c>
      <c r="AH271" s="129"/>
      <c r="AI271" s="129"/>
      <c r="AJ271" s="129"/>
      <c r="AK271" s="119"/>
      <c r="AL271" s="115"/>
      <c r="AM271" s="119"/>
      <c r="AN271" s="119"/>
      <c r="AO271" s="692"/>
      <c r="AP271" s="692"/>
      <c r="AQ271" s="692"/>
      <c r="AR271" s="692"/>
      <c r="AS271" s="692"/>
      <c r="AT271" s="691">
        <f>CE271</f>
        <v/>
      </c>
      <c r="AU271" s="691">
        <f>CF271</f>
        <v/>
      </c>
      <c r="AV271" s="813"/>
      <c r="AW271" s="813"/>
      <c r="AX271" s="197">
        <f>CZ271</f>
        <v/>
      </c>
      <c r="AY271" s="197">
        <f>DE271</f>
        <v/>
      </c>
      <c r="AZ271" s="3379">
        <f>CO271</f>
        <v/>
      </c>
      <c r="BA271" s="3380"/>
      <c r="BB271" s="197">
        <f>CP271</f>
        <v/>
      </c>
      <c r="BC271" s="813"/>
      <c r="BD271" s="197">
        <f>CR271</f>
        <v/>
      </c>
      <c r="BE271" s="121">
        <f>CS271</f>
        <v/>
      </c>
      <c r="BF271" s="122">
        <f>CT271*60</f>
        <v/>
      </c>
      <c r="BG271" s="121">
        <f>BE271</f>
        <v/>
      </c>
      <c r="BH271" s="122">
        <f>CU271*60</f>
        <v/>
      </c>
      <c r="BI271" s="122">
        <f>CV271</f>
        <v/>
      </c>
      <c r="BJ271" s="117"/>
      <c r="BK271" s="812">
        <f>Overview!$E$7</f>
        <v/>
      </c>
      <c r="BL271" s="117"/>
      <c r="BM271" s="836">
        <f>CW271</f>
        <v/>
      </c>
      <c r="BN271" s="812">
        <f>Overview!$P$153</f>
        <v/>
      </c>
      <c r="BO271" s="117"/>
      <c r="BP271" s="117"/>
      <c r="BQ271" s="115"/>
      <c r="BR271" s="1478" t="inlineStr">
        <is>
          <t>N/A</t>
        </is>
      </c>
      <c r="BS271" s="1548"/>
      <c r="BT271" s="2071" t="inlineStr">
        <is>
          <t>GSM</t>
        </is>
      </c>
      <c r="BU271" s="2071">
        <v>1800</v>
      </c>
      <c r="BV271" s="415">
        <f>Overview!$H$30</f>
        <v/>
      </c>
      <c r="BW271" s="2010"/>
      <c r="BX271" s="2071"/>
      <c r="BY271" s="2072"/>
      <c r="BZ271" s="2072"/>
      <c r="CA271" s="1997" t="inlineStr">
        <is>
          <t>Top Edge</t>
        </is>
      </c>
      <c r="CB271" s="200">
        <v>5</v>
      </c>
      <c r="CC271" s="902">
        <f>'2G-3G'!BX33</f>
        <v>698</v>
      </c>
      <c r="CD271" s="902">
        <f>'2G-3G'!BY33</f>
        <v>1747.4</v>
      </c>
      <c r="CE271" s="1523"/>
      <c r="CF271" s="1523"/>
      <c r="CG271" s="387" t="str">
        <f>IF(OR($BY$167="",$BY$167=""),"",$BY$167)</f>
        <v/>
      </c>
      <c r="CH271" s="387">
        <f>BZ271</f>
        <v/>
      </c>
      <c r="CI271" s="387">
        <f>CA271</f>
        <v/>
      </c>
      <c r="CJ271" s="1527"/>
      <c r="CK271" s="2042"/>
      <c r="CL271" s="206">
        <f>IF(CF271=""," ",IF(ABS(CE271-CF271)&lt;=0.125,"Valid","Not valid"))</f>
        <v/>
      </c>
      <c r="CM271" s="207">
        <f> IF(CE271="","",IF(AND(CE271&lt;&gt;"",CF271=""),IF(CE271&gt;=1,"Medir+Sig Max","No"),IF(CF271&lt;&gt;"",IF(CF271&gt;=1,"Medir+Sig Max","No"),"")))</f>
        <v/>
      </c>
      <c r="CN271" s="1787"/>
      <c r="CO271" s="220">
        <f>IF(CK271="",IF(AND(CE271="",CF271=""),"",IF(CF271="",IF(DE271&gt;1,ROUND(DE271*CE271,3),CE271),IF(DE271&gt;1,ROUND(DE271*CF271,3),CF271))),IF(AND(CE271="",CF271=""),"",IF(CF271="",IF(DE271&gt;1,ROUND(DE271*CE271*(1/(CK271)),3),CE271*(1/(CK271))),IF(DE271&gt;1,ROUND(DE271*CF271*(1/(CK271)),3),CF271*(1/(CK271))))))</f>
        <v/>
      </c>
      <c r="CP271" s="2043">
        <f>$CP$3</f>
        <v/>
      </c>
      <c r="CQ271" s="1472">
        <f>IF(CO271="","",IF(CO271&gt;CP271,"Fail","Pass"))</f>
        <v/>
      </c>
      <c r="CR271" s="1481">
        <f>IF(AND(MAX(CO267:CO274)=CO271,CO271&lt;&gt;0),COUNT($CR$3:CR270)+1,"")</f>
        <v/>
      </c>
      <c r="CS271" s="1565">
        <f>MyTimestamp(CO271)</f>
        <v/>
      </c>
      <c r="CT271" s="1531">
        <f>IF(CE271="",0,15)+IF(CF271="",0,15)</f>
        <v/>
      </c>
      <c r="CU271" s="1532">
        <f>IF(CT271=0,0,2)</f>
        <v/>
      </c>
      <c r="CV271" s="859" t="inlineStr">
        <is>
          <t>S/02</t>
        </is>
      </c>
      <c r="CW271" s="859" t="inlineStr">
        <is>
          <t>Dasy6</t>
        </is>
      </c>
      <c r="CX271" s="2038"/>
      <c r="CY271" s="2044"/>
      <c r="CZ271" s="1543">
        <f>10^(CJ271/20)*100-100</f>
        <v/>
      </c>
      <c r="DA271" s="1325">
        <f>IF('Tune-Up'!$H$21="","",'Tune-Up'!$H$21)</f>
        <v/>
      </c>
      <c r="DB271" s="701">
        <f>'2G-3G'!BZ33</f>
        <v/>
      </c>
      <c r="DC271" s="769">
        <f>IF(DA271="","",10^(DA271/10))</f>
        <v/>
      </c>
      <c r="DD271" s="1369">
        <f>IF(ISNUMBER(DB271)=FALSE,"",10^(DB271/10))</f>
        <v/>
      </c>
      <c r="DE271" s="1543">
        <f>IF(AND(ISNUMBER(DC271),ISNUMBER(DD271)),IF(DC271/DD271&gt;1,ROUND((DC271)/DD271,3),1),1)</f>
        <v/>
      </c>
      <c r="DF271" s="1541"/>
      <c r="DG271" s="1541"/>
      <c r="DH271" s="1541"/>
      <c r="DI271" s="1541"/>
      <c r="DJ271" s="1541"/>
      <c r="DK271" s="1541"/>
      <c r="DL271" s="1541"/>
      <c r="DM271" s="1541"/>
      <c r="DN271" s="1541"/>
      <c r="DO271" s="1541"/>
      <c r="DP271" s="1541"/>
      <c r="DQ271" s="1541"/>
      <c r="DR271" s="1541"/>
    </row>
    <row r="272" ht="12.75" x14ac:dyDescent="0.2">
      <c r="A272" s="1541"/>
      <c r="B272" s="1541"/>
      <c r="C272"/>
      <c r="D272" s="130">
        <f>IF(BX$267="Close to Ear","EN 62209-1","EN 62209-2")</f>
        <v/>
      </c>
      <c r="E272" s="130">
        <f>IF(CG272="Close to Ear","2016","2010/A1:2019")</f>
        <v/>
      </c>
      <c r="F272" s="1488" t="inlineStr">
        <is>
          <t>5.1</t>
        </is>
      </c>
      <c r="G272" s="1497"/>
      <c r="H272" s="120">
        <f>BV272</f>
        <v/>
      </c>
      <c r="I272" s="120">
        <f>BW272</f>
        <v/>
      </c>
      <c r="J272" s="687" t="str">
        <f>BT272</f>
        <v>GSM</v>
      </c>
      <c r="K272" s="194">
        <f>BU272</f>
        <v>1800</v>
      </c>
      <c r="L272" s="115"/>
      <c r="M272" s="120">
        <f>BZ272</f>
        <v>0</v>
      </c>
      <c r="N272" s="119"/>
      <c r="O272" s="131"/>
      <c r="P272" s="6597"/>
      <c r="Q272" s="131"/>
      <c r="R272" s="131"/>
      <c r="S272" s="120">
        <f>CG272</f>
        <v>0</v>
      </c>
      <c r="T272" s="120">
        <f>CC272</f>
        <v>698</v>
      </c>
      <c r="U272" s="120">
        <f>CD272</f>
        <v>1747.4</v>
      </c>
      <c r="V272" s="119"/>
      <c r="W272" s="197">
        <f>CK272*100</f>
        <v/>
      </c>
      <c r="X272" s="119"/>
      <c r="Y272" s="119"/>
      <c r="Z272" s="119"/>
      <c r="AA272" s="115"/>
      <c r="AB272" s="115"/>
      <c r="AC272" s="689">
        <f>IF(OR(BX$267="Close to Ear",BX$267="Close to Head"),"Head",IF(BX$267="Extremity","Extremity","Body"))</f>
        <v/>
      </c>
      <c r="AD272" s="690">
        <f>CA272</f>
        <v/>
      </c>
      <c r="AE272" s="688">
        <f>CB272</f>
        <v/>
      </c>
      <c r="AF272" s="115"/>
      <c r="AG272" s="808">
        <f>IF(AZ272="","N/A",IF(CQ272="Pass","P","F"))</f>
        <v/>
      </c>
      <c r="AH272" s="129"/>
      <c r="AI272" s="129"/>
      <c r="AJ272" s="129"/>
      <c r="AK272" s="119"/>
      <c r="AL272" s="115"/>
      <c r="AM272" s="119"/>
      <c r="AN272" s="119"/>
      <c r="AO272" s="692"/>
      <c r="AP272" s="692"/>
      <c r="AQ272" s="692"/>
      <c r="AR272" s="692"/>
      <c r="AS272" s="692"/>
      <c r="AT272" s="691">
        <f>CE272</f>
        <v/>
      </c>
      <c r="AU272" s="691">
        <f>CF272</f>
        <v/>
      </c>
      <c r="AV272" s="813"/>
      <c r="AW272" s="813"/>
      <c r="AX272" s="197">
        <f>CZ272</f>
        <v/>
      </c>
      <c r="AY272" s="197">
        <f>DE272</f>
        <v/>
      </c>
      <c r="AZ272" s="3379">
        <f>CO272</f>
        <v/>
      </c>
      <c r="BA272" s="3380"/>
      <c r="BB272" s="197">
        <f>CP272</f>
        <v/>
      </c>
      <c r="BC272" s="813"/>
      <c r="BD272" s="197">
        <f>CR272</f>
        <v/>
      </c>
      <c r="BE272" s="121">
        <f>CS272</f>
        <v/>
      </c>
      <c r="BF272" s="122">
        <f>CT272*60</f>
        <v/>
      </c>
      <c r="BG272" s="121">
        <f>BE272</f>
        <v/>
      </c>
      <c r="BH272" s="122">
        <f>CU272*60</f>
        <v/>
      </c>
      <c r="BI272" s="122">
        <f>CV272</f>
        <v/>
      </c>
      <c r="BJ272" s="117"/>
      <c r="BK272" s="812">
        <f>Overview!$E$7</f>
        <v/>
      </c>
      <c r="BL272" s="117"/>
      <c r="BM272" s="836">
        <f>CW272</f>
        <v/>
      </c>
      <c r="BN272" s="812">
        <f>Overview!$P$153</f>
        <v/>
      </c>
      <c r="BO272" s="117"/>
      <c r="BP272" s="117"/>
      <c r="BQ272" s="115"/>
      <c r="BR272" s="1478" t="inlineStr">
        <is>
          <t>N/A</t>
        </is>
      </c>
      <c r="BS272" s="1548"/>
      <c r="BT272" s="2071" t="inlineStr">
        <is>
          <t>GSM</t>
        </is>
      </c>
      <c r="BU272" s="2071">
        <v>1800</v>
      </c>
      <c r="BV272" s="415">
        <f>Overview!$H$30</f>
        <v/>
      </c>
      <c r="BW272" s="2010"/>
      <c r="BX272" s="2071"/>
      <c r="BY272" s="2072"/>
      <c r="BZ272" s="2072"/>
      <c r="CA272" s="1997" t="inlineStr">
        <is>
          <t>Bottom Edge</t>
        </is>
      </c>
      <c r="CB272" s="200">
        <v>5</v>
      </c>
      <c r="CC272" s="902">
        <f>'2G-3G'!BX33</f>
        <v>698</v>
      </c>
      <c r="CD272" s="902">
        <f>'2G-3G'!BY33</f>
        <v>1747.4</v>
      </c>
      <c r="CE272" s="1523"/>
      <c r="CF272" s="1523"/>
      <c r="CG272" s="387" t="str">
        <f>IF(OR($BY$167="",$BY$167=""),"",$BY$167)</f>
        <v/>
      </c>
      <c r="CH272" s="387">
        <f>BZ272</f>
        <v/>
      </c>
      <c r="CI272" s="387">
        <f>CA272</f>
        <v/>
      </c>
      <c r="CJ272" s="1527"/>
      <c r="CK272" s="2042"/>
      <c r="CL272" s="206">
        <f>IF(CF272=""," ",IF(ABS(CE272-CF272)&lt;=0.125,"Valid","Not valid"))</f>
        <v/>
      </c>
      <c r="CM272" s="207">
        <f> IF(CE272="","",IF(AND(CE272&lt;&gt;"",CF272=""),IF(CE272&gt;=1,"Medir+Sig Max","No"),IF(CF272&lt;&gt;"",IF(CF272&gt;=1,"Medir+Sig Max","No"),"")))</f>
        <v/>
      </c>
      <c r="CN272" s="1787"/>
      <c r="CO272" s="220">
        <f>IF(CK272="",IF(AND(CE272="",CF272=""),"",IF(CF272="",IF(DE272&gt;1,ROUND(DE272*CE272,3),CE272),IF(DE272&gt;1,ROUND(DE272*CF272,3),CF272))),IF(AND(CE272="",CF272=""),"",IF(CF272="",IF(DE272&gt;1,ROUND(DE272*CE272*(1/(CK272)),3),CE272*(1/(CK272))),IF(DE272&gt;1,ROUND(DE272*CF272*(1/(CK272)),3),CF272*(1/(CK272))))))</f>
        <v/>
      </c>
      <c r="CP272" s="2043">
        <f>$CP$3</f>
        <v/>
      </c>
      <c r="CQ272" s="1472">
        <f>IF(CO272="","",IF(CO272&gt;CP272,"Fail","Pass"))</f>
        <v/>
      </c>
      <c r="CR272" s="1481">
        <f>IF(AND(MAX(CO267:CO274)=CO272,CO272&lt;&gt;0),COUNT($CR$3:CR271)+1,"")</f>
        <v/>
      </c>
      <c r="CS272" s="1565">
        <f>MyTimestamp(CO272)</f>
        <v/>
      </c>
      <c r="CT272" s="1531">
        <f>IF(CE272="",0,15)+IF(CF272="",0,15)</f>
        <v/>
      </c>
      <c r="CU272" s="1532">
        <f>IF(CT272=0,0,2)</f>
        <v/>
      </c>
      <c r="CV272" s="859" t="inlineStr">
        <is>
          <t>S/02</t>
        </is>
      </c>
      <c r="CW272" s="859" t="inlineStr">
        <is>
          <t>Dasy6</t>
        </is>
      </c>
      <c r="CX272" s="2038"/>
      <c r="CY272" s="2044"/>
      <c r="CZ272" s="1543">
        <f>10^(CJ272/20)*100-100</f>
        <v/>
      </c>
      <c r="DA272" s="1325">
        <f>IF('Tune-Up'!$H$21="","",'Tune-Up'!$H$21)</f>
        <v/>
      </c>
      <c r="DB272" s="701">
        <f>'2G-3G'!BZ33</f>
        <v/>
      </c>
      <c r="DC272" s="769">
        <f>IF(DA272="","",10^(DA272/10))</f>
        <v/>
      </c>
      <c r="DD272" s="1369">
        <f>IF(ISNUMBER(DB272)=FALSE,"",10^(DB272/10))</f>
        <v/>
      </c>
      <c r="DE272" s="1543">
        <f>IF(AND(ISNUMBER(DC272),ISNUMBER(DD272)),IF(DC272/DD272&gt;1,ROUND((DC272)/DD272,3),1),1)</f>
        <v/>
      </c>
      <c r="DF272" s="1541"/>
      <c r="DG272" s="1541"/>
      <c r="DH272" s="1541"/>
      <c r="DI272" s="1541"/>
      <c r="DJ272" s="1541"/>
      <c r="DK272" s="1541"/>
      <c r="DL272" s="1541"/>
      <c r="DM272" s="1541"/>
      <c r="DN272" s="1541"/>
      <c r="DO272" s="1541"/>
      <c r="DP272" s="1541"/>
      <c r="DQ272" s="1541"/>
      <c r="DR272" s="1541"/>
    </row>
    <row r="273" ht="12.75" x14ac:dyDescent="0.2">
      <c r="A273" s="1541"/>
      <c r="B273" s="1541"/>
      <c r="C273"/>
      <c r="D273" s="130">
        <f>IF(BX$267="Close to Ear","EN 62209-1","EN 62209-2")</f>
        <v/>
      </c>
      <c r="E273" s="130">
        <f>IF(CG273="Close to Ear","2016","2010/A1:2019")</f>
        <v/>
      </c>
      <c r="F273" s="1488" t="inlineStr">
        <is>
          <t>5.1</t>
        </is>
      </c>
      <c r="G273" s="1497"/>
      <c r="H273" s="120">
        <f>BV273</f>
        <v/>
      </c>
      <c r="I273" s="120">
        <f>BW273</f>
        <v/>
      </c>
      <c r="J273" s="687" t="str">
        <f>BT273</f>
        <v>GSM</v>
      </c>
      <c r="K273" s="194">
        <f>BU273</f>
        <v>1800</v>
      </c>
      <c r="L273" s="115"/>
      <c r="M273" s="120">
        <f>BZ273</f>
        <v>0</v>
      </c>
      <c r="N273" s="119"/>
      <c r="O273" s="131"/>
      <c r="P273" s="6597"/>
      <c r="Q273" s="131"/>
      <c r="R273" s="131"/>
      <c r="S273" s="120">
        <f>CG273</f>
        <v>0</v>
      </c>
      <c r="T273" s="120">
        <f>CC273</f>
        <v>512</v>
      </c>
      <c r="U273" s="120">
        <f>CD273</f>
        <v>1710.2</v>
      </c>
      <c r="V273" s="119"/>
      <c r="W273" s="197">
        <f>CK273*100</f>
        <v/>
      </c>
      <c r="X273" s="119"/>
      <c r="Y273" s="119"/>
      <c r="Z273" s="119"/>
      <c r="AA273" s="115"/>
      <c r="AB273" s="115"/>
      <c r="AC273" s="689">
        <f>IF(OR(BX$267="Close to Ear",BX$267="Close to Head"),"Head",IF(BX$267="Extremity","Extremity","Body"))</f>
        <v/>
      </c>
      <c r="AD273" s="690">
        <f>CA273</f>
        <v/>
      </c>
      <c r="AE273" s="688">
        <f>CB273</f>
        <v/>
      </c>
      <c r="AF273" s="115"/>
      <c r="AG273" s="808">
        <f>IF(AZ273="","N/A",IF(CQ273="Pass","P","F"))</f>
        <v/>
      </c>
      <c r="AH273" s="129"/>
      <c r="AI273" s="129"/>
      <c r="AJ273" s="129"/>
      <c r="AK273" s="119"/>
      <c r="AL273" s="115"/>
      <c r="AM273" s="119"/>
      <c r="AN273" s="119"/>
      <c r="AO273" s="692"/>
      <c r="AP273" s="692"/>
      <c r="AQ273" s="692"/>
      <c r="AR273" s="692"/>
      <c r="AS273" s="692"/>
      <c r="AT273" s="691">
        <f>CE273</f>
        <v/>
      </c>
      <c r="AU273" s="691">
        <f>CF273</f>
        <v/>
      </c>
      <c r="AV273" s="813"/>
      <c r="AW273" s="813"/>
      <c r="AX273" s="197">
        <f>CZ273</f>
        <v/>
      </c>
      <c r="AY273" s="197">
        <f>DE273</f>
        <v/>
      </c>
      <c r="AZ273" s="3379">
        <f>CO273</f>
        <v/>
      </c>
      <c r="BA273" s="3380"/>
      <c r="BB273" s="197">
        <f>CP273</f>
        <v/>
      </c>
      <c r="BC273" s="813"/>
      <c r="BD273" s="197">
        <f>CR273</f>
        <v/>
      </c>
      <c r="BE273" s="121">
        <f>CS273</f>
        <v/>
      </c>
      <c r="BF273" s="122">
        <f>CT273*60</f>
        <v/>
      </c>
      <c r="BG273" s="121">
        <f>BE273</f>
        <v/>
      </c>
      <c r="BH273" s="122">
        <f>CU273*60</f>
        <v/>
      </c>
      <c r="BI273" s="122">
        <f>CV273</f>
        <v/>
      </c>
      <c r="BJ273" s="117"/>
      <c r="BK273" s="812">
        <f>Overview!$E$7</f>
        <v/>
      </c>
      <c r="BL273" s="117"/>
      <c r="BM273" s="836">
        <f>CW273</f>
        <v/>
      </c>
      <c r="BN273" s="812">
        <f>Overview!$P$153</f>
        <v/>
      </c>
      <c r="BO273" s="117"/>
      <c r="BP273" s="117"/>
      <c r="BQ273" s="115"/>
      <c r="BR273" s="1478" t="inlineStr">
        <is>
          <t>N/A</t>
        </is>
      </c>
      <c r="BS273" s="1548"/>
      <c r="BT273" s="2071" t="inlineStr">
        <is>
          <t>GSM</t>
        </is>
      </c>
      <c r="BU273" s="2071">
        <v>1800</v>
      </c>
      <c r="BV273" s="415">
        <f>Overview!$H$30</f>
        <v/>
      </c>
      <c r="BW273" s="2010"/>
      <c r="BX273" s="2071"/>
      <c r="BY273" s="2072"/>
      <c r="BZ273" s="2072"/>
      <c r="CA273" s="416" t="str">
        <f>IF(COUNT(CF267:CF272)=0,IF(COUNT(CE267:CE272)=0,"TBD",VLOOKUP(MAX(CE267:CE272),CE267:CI272,5,FALSE)),VLOOKUP(MAX(CF267:CF272),CF267:CI272,4,FALSE))</f>
        <v>TBD</v>
      </c>
      <c r="CB273" s="200">
        <v>5</v>
      </c>
      <c r="CC273" s="902">
        <f>'2G-3G'!BX34</f>
        <v>512</v>
      </c>
      <c r="CD273" s="902">
        <f>'2G-3G'!BY34</f>
        <v>1710.2</v>
      </c>
      <c r="CE273" s="1523"/>
      <c r="CF273" s="1523"/>
      <c r="CG273" s="387" t="str">
        <f>IF(OR($BY$167="",$BY$167=""),"",$BY$167)</f>
        <v/>
      </c>
      <c r="CH273" s="387">
        <f>BZ273</f>
        <v/>
      </c>
      <c r="CI273" s="387">
        <f>CA273</f>
        <v/>
      </c>
      <c r="CJ273" s="1527"/>
      <c r="CK273" s="2042"/>
      <c r="CL273" s="206">
        <f>IF(CF273=""," ",IF(ABS(CE273-CF273)&lt;=0.125,"Valid","Not valid"))</f>
        <v/>
      </c>
      <c r="CM273" s="207">
        <f> IF(CE273="","",IF(AND(CE273&lt;&gt;"",CF273=""),IF(CE273&gt;=1,"Medir+Sig Max","No"),IF(CF273&lt;&gt;"",IF(CF273&gt;=1,"Medir+Sig Max","No"),"")))</f>
        <v/>
      </c>
      <c r="CN273" s="1787"/>
      <c r="CO273" s="220">
        <f>IF(CK273="",IF(AND(CE273="",CF273=""),"",IF(CF273="",IF(DE273&gt;1,ROUND(DE273*CE273,3),CE273),IF(DE273&gt;1,ROUND(DE273*CF273,3),CF273))),IF(AND(CE273="",CF273=""),"",IF(CF273="",IF(DE273&gt;1,ROUND(DE273*CE273*(1/(CK273)),3),CE273*(1/(CK273))),IF(DE273&gt;1,ROUND(DE273*CF273*(1/(CK273)),3),CF273*(1/(CK273))))))</f>
        <v/>
      </c>
      <c r="CP273" s="2043">
        <f>$CP$3</f>
        <v/>
      </c>
      <c r="CQ273" s="1472">
        <f>IF(CO273="","",IF(CO273&gt;CP273,"Fail","Pass"))</f>
        <v/>
      </c>
      <c r="CR273" s="1481">
        <f>IF(AND(MAX(CO267:CO274)=CO273,CO273&lt;&gt;0),COUNT($CR$3:CR272)+1,"")</f>
        <v/>
      </c>
      <c r="CS273" s="1565">
        <f>MyTimestamp(CO273)</f>
        <v/>
      </c>
      <c r="CT273" s="1531">
        <f>IF(CE273="",0,15)+IF(CF273="",0,15)</f>
        <v/>
      </c>
      <c r="CU273" s="1532">
        <f>IF(CT273=0,0,2)</f>
        <v/>
      </c>
      <c r="CV273" s="859" t="inlineStr">
        <is>
          <t>S/02</t>
        </is>
      </c>
      <c r="CW273" s="859" t="inlineStr">
        <is>
          <t>Dasy6</t>
        </is>
      </c>
      <c r="CX273" s="2038"/>
      <c r="CY273" s="2044"/>
      <c r="CZ273" s="1543">
        <f>10^(CJ273/20)*100-100</f>
        <v/>
      </c>
      <c r="DA273" s="1325">
        <f>IF('Tune-Up'!$H$21="","",'Tune-Up'!$H$21)</f>
        <v/>
      </c>
      <c r="DB273" s="701">
        <f>'2G-3G'!BZ34</f>
        <v/>
      </c>
      <c r="DC273" s="769">
        <f>IF(DA273="","",10^(DA273/10))</f>
        <v/>
      </c>
      <c r="DD273" s="1369">
        <f>IF(ISNUMBER(DB273)=FALSE,"",10^(DB273/10))</f>
        <v/>
      </c>
      <c r="DE273" s="1543">
        <f>IF(AND(ISNUMBER(DC273),ISNUMBER(DD273)),IF(DC273/DD273&gt;1,ROUND((DC273)/DD273,3),1),1)</f>
        <v/>
      </c>
      <c r="DF273" s="1541"/>
      <c r="DG273" s="1541"/>
      <c r="DH273" s="1541"/>
      <c r="DI273" s="1541"/>
      <c r="DJ273" s="1541"/>
      <c r="DK273" s="1541"/>
      <c r="DL273" s="1541"/>
      <c r="DM273" s="1541"/>
      <c r="DN273" s="1541"/>
      <c r="DO273" s="1541"/>
      <c r="DP273" s="1541"/>
      <c r="DQ273" s="1541"/>
      <c r="DR273" s="1541"/>
    </row>
    <row r="274" ht="12.75" x14ac:dyDescent="0.2">
      <c r="A274" s="1541"/>
      <c r="B274" s="1541"/>
      <c r="C274"/>
      <c r="D274" s="130">
        <f>IF(BX$267="Close to Ear","EN 62209-1","EN 62209-2")</f>
        <v/>
      </c>
      <c r="E274" s="130">
        <f>IF(CG274="Close to Ear","2016","2010/A1:2019")</f>
        <v/>
      </c>
      <c r="F274" s="1488" t="inlineStr">
        <is>
          <t>5.1</t>
        </is>
      </c>
      <c r="G274" s="1497"/>
      <c r="H274" s="120">
        <f>BV274</f>
        <v/>
      </c>
      <c r="I274" s="120">
        <f>BW274</f>
        <v/>
      </c>
      <c r="J274" s="687" t="str">
        <f>BT274</f>
        <v>GSM</v>
      </c>
      <c r="K274" s="194">
        <f>BU274</f>
        <v>1800</v>
      </c>
      <c r="L274" s="115"/>
      <c r="M274" s="120">
        <f>BZ274</f>
        <v>0</v>
      </c>
      <c r="N274" s="119"/>
      <c r="O274" s="131"/>
      <c r="P274" s="6597"/>
      <c r="Q274" s="131"/>
      <c r="R274" s="131"/>
      <c r="S274" s="120">
        <f>CG274</f>
        <v>0</v>
      </c>
      <c r="T274" s="120">
        <f>CC274</f>
        <v>885</v>
      </c>
      <c r="U274" s="120">
        <f>CD274</f>
        <v>1784.8</v>
      </c>
      <c r="V274" s="119"/>
      <c r="W274" s="197">
        <f>CK274*100</f>
        <v/>
      </c>
      <c r="X274" s="119"/>
      <c r="Y274" s="119"/>
      <c r="Z274" s="119"/>
      <c r="AA274" s="115"/>
      <c r="AB274" s="115"/>
      <c r="AC274" s="689">
        <f>IF(OR(BX$267="Close to Ear",BX$267="Close to Head"),"Head",IF(BX$267="Extremity","Extremity","Body"))</f>
        <v/>
      </c>
      <c r="AD274" s="690">
        <f>CA274</f>
        <v/>
      </c>
      <c r="AE274" s="688">
        <f>CB274</f>
        <v/>
      </c>
      <c r="AF274" s="115"/>
      <c r="AG274" s="808">
        <f>IF(AZ274="","N/A",IF(CQ274="Pass","P","F"))</f>
        <v/>
      </c>
      <c r="AH274" s="129"/>
      <c r="AI274" s="129"/>
      <c r="AJ274" s="129"/>
      <c r="AK274" s="119"/>
      <c r="AL274" s="115"/>
      <c r="AM274" s="119"/>
      <c r="AN274" s="119"/>
      <c r="AO274" s="692"/>
      <c r="AP274" s="692"/>
      <c r="AQ274" s="692"/>
      <c r="AR274" s="692"/>
      <c r="AS274" s="692"/>
      <c r="AT274" s="691">
        <f>CE274</f>
        <v/>
      </c>
      <c r="AU274" s="691">
        <f>CF274</f>
        <v/>
      </c>
      <c r="AV274" s="813"/>
      <c r="AW274" s="813"/>
      <c r="AX274" s="197">
        <f>CZ274</f>
        <v/>
      </c>
      <c r="AY274" s="197">
        <f>DE274</f>
        <v/>
      </c>
      <c r="AZ274" s="3379">
        <f>CO274</f>
        <v/>
      </c>
      <c r="BA274" s="3380"/>
      <c r="BB274" s="197">
        <f>CP274</f>
        <v/>
      </c>
      <c r="BC274" s="813"/>
      <c r="BD274" s="197">
        <f>CR274</f>
        <v/>
      </c>
      <c r="BE274" s="121">
        <f>CS274</f>
        <v/>
      </c>
      <c r="BF274" s="122">
        <f>CT274*60</f>
        <v/>
      </c>
      <c r="BG274" s="121">
        <f>BE274</f>
        <v/>
      </c>
      <c r="BH274" s="122">
        <f>CU274*60</f>
        <v/>
      </c>
      <c r="BI274" s="122">
        <f>CV274</f>
        <v/>
      </c>
      <c r="BJ274" s="117"/>
      <c r="BK274" s="812">
        <f>Overview!$E$7</f>
        <v/>
      </c>
      <c r="BL274" s="117"/>
      <c r="BM274" s="836">
        <f>CW274</f>
        <v/>
      </c>
      <c r="BN274" s="812">
        <f>Overview!$P$153</f>
        <v/>
      </c>
      <c r="BO274" s="117"/>
      <c r="BP274" s="117"/>
      <c r="BQ274" s="115"/>
      <c r="BR274" s="1478" t="inlineStr">
        <is>
          <t>N/A</t>
        </is>
      </c>
      <c r="BS274" s="1548"/>
      <c r="BT274" s="2071" t="inlineStr">
        <is>
          <t>GSM</t>
        </is>
      </c>
      <c r="BU274" s="2071">
        <v>1800</v>
      </c>
      <c r="BV274" s="415">
        <f>Overview!$H$30</f>
        <v/>
      </c>
      <c r="BW274" s="2010"/>
      <c r="BX274" s="2075"/>
      <c r="BY274" s="2072"/>
      <c r="BZ274" s="2072"/>
      <c r="CA274" s="418" t="str">
        <f>IF(COUNT(CF267:CF272)=0,IF(COUNT(CE267:CE272)=0,"TBD",VLOOKUP(MAX(CE267:CE272),CE267:CI272,5,FALSE)),VLOOKUP(MAX(CF267:CF272),CF267:CI272,4,FALSE))</f>
        <v>TBD</v>
      </c>
      <c r="CB274" s="201">
        <v>5</v>
      </c>
      <c r="CC274" s="857">
        <f>'2G-3G'!BX35</f>
        <v>885</v>
      </c>
      <c r="CD274" s="857">
        <f>'2G-3G'!BY35</f>
        <v>1784.8</v>
      </c>
      <c r="CE274" s="1874"/>
      <c r="CF274" s="1874"/>
      <c r="CG274" s="388" t="str">
        <f>IF(OR($BY$167="",$BY$167=""),"",$BY$167)</f>
        <v/>
      </c>
      <c r="CH274" s="388">
        <f>BZ274</f>
        <v/>
      </c>
      <c r="CI274" s="388">
        <f>CA274</f>
        <v/>
      </c>
      <c r="CJ274" s="2046"/>
      <c r="CK274" s="2047"/>
      <c r="CL274" s="212">
        <f>IF(CF274=""," ",IF(ABS(CE274-CF274)&lt;=0.125,"Valid","Not valid"))</f>
        <v/>
      </c>
      <c r="CM274" s="213">
        <f> IF(CE274="","",IF(AND(CE274&lt;&gt;"",CF274=""),IF(CE274&gt;=1,"Medir+Sig Max","No"),IF(CF274&lt;&gt;"",IF(CF274&gt;=1,"Medir+Sig Max","No"),"")))</f>
        <v/>
      </c>
      <c r="CN274" s="1794"/>
      <c r="CO274" s="221">
        <f>IF(CK274="",IF(AND(CE274="",CF274=""),"",IF(CF274="",IF(DE274&gt;1,ROUND(DE274*CE274,3),CE274),IF(DE274&gt;1,ROUND(DE274*CF274,3),CF274))),IF(AND(CE274="",CF274=""),"",IF(CF274="",IF(DE274&gt;1,ROUND(DE274*CE274*(1/(CK274)),3),CE274*(1/(CK274))),IF(DE274&gt;1,ROUND(DE274*CF274*(1/(CK274)),3),CF274*(1/(CK274))))))</f>
        <v/>
      </c>
      <c r="CP274" s="2048">
        <f>$CP$3</f>
        <v/>
      </c>
      <c r="CQ274" s="1473">
        <f>IF(CO274="","",IF(CO274&gt;CP274,"Fail","Pass"))</f>
        <v/>
      </c>
      <c r="CR274" s="1482">
        <f>IF(AND(MAX(CO267:CO274)=CO274,CO274&lt;&gt;0),COUNT($CR$3:CR273)+1,"")</f>
        <v/>
      </c>
      <c r="CS274" s="1566">
        <f>MyTimestamp(CO274)</f>
        <v/>
      </c>
      <c r="CT274" s="1535">
        <f>IF(CE274="",0,15)+IF(CF274="",0,15)</f>
        <v/>
      </c>
      <c r="CU274" s="1536">
        <f>IF(CT274=0,0,2)</f>
        <v/>
      </c>
      <c r="CV274" s="861" t="inlineStr">
        <is>
          <t>S/02</t>
        </is>
      </c>
      <c r="CW274" s="861" t="inlineStr">
        <is>
          <t>Dasy6</t>
        </is>
      </c>
      <c r="CX274" s="2038"/>
      <c r="CY274" s="2050"/>
      <c r="CZ274" s="1545">
        <f>10^(CJ274/20)*100-100</f>
        <v/>
      </c>
      <c r="DA274" s="1327">
        <f>IF('Tune-Up'!$H$21="","",'Tune-Up'!$H$21)</f>
        <v/>
      </c>
      <c r="DB274" s="703">
        <f>'2G-3G'!BZ35</f>
        <v/>
      </c>
      <c r="DC274" s="771">
        <f>IF(DA274="","",10^(DA274/10))</f>
        <v/>
      </c>
      <c r="DD274" s="1371">
        <f>IF(ISNUMBER(DB274)=FALSE,"",10^(DB274/10))</f>
        <v/>
      </c>
      <c r="DE274" s="1545">
        <f>IF(AND(ISNUMBER(DC274),ISNUMBER(DD274)),IF(DC274/DD274&gt;1,ROUND((DC274)/DD274,3),1),1)</f>
        <v/>
      </c>
      <c r="DF274" s="1541"/>
      <c r="DG274" s="1541"/>
      <c r="DH274" s="1541"/>
      <c r="DI274" s="1541"/>
      <c r="DJ274" s="1541"/>
      <c r="DK274" s="1541"/>
      <c r="DL274" s="1541"/>
      <c r="DM274" s="1541"/>
      <c r="DN274" s="1541"/>
      <c r="DO274" s="1541"/>
      <c r="DP274" s="1541"/>
      <c r="DQ274" s="1541"/>
      <c r="DR274" s="1541"/>
    </row>
    <row r="275" ht="12.75" x14ac:dyDescent="0.2">
      <c r="A275" s="1541"/>
      <c r="B275" s="1541"/>
      <c r="C275"/>
      <c r="D275" s="130">
        <f>IF(BX$267="Close to Ear","EN 62209-1","EN 62209-2")</f>
        <v/>
      </c>
      <c r="E275" s="130">
        <f>IF(CG275="Close to Ear","2016","2010/A1:2019")</f>
        <v/>
      </c>
      <c r="F275" s="1488" t="inlineStr">
        <is>
          <t>5.1</t>
        </is>
      </c>
      <c r="G275" s="1497"/>
      <c r="H275" s="120">
        <f>BV275</f>
        <v/>
      </c>
      <c r="I275" s="120">
        <f>BW275</f>
        <v/>
      </c>
      <c r="J275" s="687">
        <f>BT275</f>
        <v/>
      </c>
      <c r="K275" s="194">
        <f>BU275</f>
        <v/>
      </c>
      <c r="L275" s="115"/>
      <c r="M275" s="120">
        <f>BZ275</f>
        <v/>
      </c>
      <c r="N275" s="119"/>
      <c r="O275" s="131"/>
      <c r="P275" s="6597"/>
      <c r="Q275" s="131"/>
      <c r="R275" s="131"/>
      <c r="S275" s="120">
        <f>CG275</f>
        <v/>
      </c>
      <c r="T275" s="120">
        <f>CC275</f>
        <v/>
      </c>
      <c r="U275" s="120">
        <f>CD275</f>
        <v/>
      </c>
      <c r="V275" s="119"/>
      <c r="W275" s="197">
        <f>CK275*100</f>
        <v/>
      </c>
      <c r="X275" s="119"/>
      <c r="Y275" s="119"/>
      <c r="Z275" s="119"/>
      <c r="AA275" s="115"/>
      <c r="AB275" s="115"/>
      <c r="AC275" s="689">
        <f>IF(OR(BX$267="Close to Ear",BX$267="Close to Head"),"Head",IF(BX$267="Extremity","Extremity","Body"))</f>
        <v/>
      </c>
      <c r="AD275" s="690">
        <f>CA275</f>
        <v/>
      </c>
      <c r="AE275" s="688">
        <f>CB275</f>
        <v/>
      </c>
      <c r="AF275" s="115"/>
      <c r="AG275" s="808">
        <f>IF(AZ275="","N/A",IF(CQ275="Pass","P","F"))</f>
        <v/>
      </c>
      <c r="AH275" s="129"/>
      <c r="AI275" s="129"/>
      <c r="AJ275" s="129"/>
      <c r="AK275" s="119"/>
      <c r="AL275" s="115"/>
      <c r="AM275" s="119"/>
      <c r="AN275" s="119"/>
      <c r="AO275" s="692"/>
      <c r="AP275" s="692"/>
      <c r="AQ275" s="692"/>
      <c r="AR275" s="692"/>
      <c r="AS275" s="692"/>
      <c r="AT275" s="691">
        <f>CE275</f>
        <v/>
      </c>
      <c r="AU275" s="691">
        <f>CF275</f>
        <v/>
      </c>
      <c r="AV275" s="813"/>
      <c r="AW275" s="813"/>
      <c r="AX275" s="197">
        <f>CZ275</f>
        <v/>
      </c>
      <c r="AY275" s="197">
        <f>DE275</f>
        <v/>
      </c>
      <c r="AZ275" s="3379">
        <f>CO275</f>
        <v/>
      </c>
      <c r="BA275" s="3380"/>
      <c r="BB275" s="197">
        <f>CP275</f>
        <v/>
      </c>
      <c r="BC275" s="813"/>
      <c r="BD275" s="197">
        <f>CR275</f>
        <v/>
      </c>
      <c r="BE275" s="121">
        <f>CS275</f>
        <v/>
      </c>
      <c r="BF275" s="122">
        <f>CT275*60</f>
        <v/>
      </c>
      <c r="BG275" s="121">
        <f>BE275</f>
        <v/>
      </c>
      <c r="BH275" s="122">
        <f>CU275*60</f>
        <v/>
      </c>
      <c r="BI275" s="122">
        <f>CV275</f>
        <v/>
      </c>
      <c r="BJ275" s="117"/>
      <c r="BK275" s="812">
        <f>Overview!$E$7</f>
        <v/>
      </c>
      <c r="BL275" s="117"/>
      <c r="BM275" s="836">
        <f>CW275</f>
        <v/>
      </c>
      <c r="BN275" s="812">
        <f>Overview!$P$153</f>
        <v/>
      </c>
      <c r="BO275" s="117"/>
      <c r="BP275" s="117"/>
      <c r="BQ275" s="115"/>
      <c r="BR275" s="1478" t="inlineStr">
        <is>
          <t>N/A</t>
        </is>
      </c>
      <c r="BS275" s="1548"/>
      <c r="BT275" s="2071" t="inlineStr">
        <is>
          <t>GSM</t>
        </is>
      </c>
      <c r="BU275" s="2071">
        <v>1800</v>
      </c>
      <c r="BV275" s="415">
        <f>Overview!$H$30</f>
        <v/>
      </c>
      <c r="BW275" s="2010"/>
      <c r="BX275" s="2075"/>
      <c r="BY275" s="2072"/>
      <c r="BZ275" s="2072"/>
      <c r="CA275" s="418" t="str">
        <f>CONCATENATE(CA273," - Battery check 1")</f>
        <v>TBD - Battery check 1</v>
      </c>
      <c r="CB275" s="201">
        <v>5</v>
      </c>
      <c r="CC275" s="857">
        <f>IF(COUNT($CO$267:$CO$274)=0,"N/A",INDEX($CC$267:$CC$274,MATCH(MAX($CO$267:$CO$274),$CO$267:$CO$274,0)))</f>
        <v/>
      </c>
      <c r="CD275" s="857">
        <f>IF(COUNT($CO$267:$CO$274)=0,"N/A",INDEX($CD$267:$CD$274,MATCH(MAX($CO$267:$CO$274),$CO$267:$CO$274,0)))</f>
        <v/>
      </c>
      <c r="CE275" s="1874"/>
      <c r="CF275" s="1874"/>
      <c r="CG275" s="388" t="inlineStr">
        <is>
          <t>N/A</t>
        </is>
      </c>
      <c r="CH275" s="388">
        <f>BZ275</f>
        <v/>
      </c>
      <c r="CI275" s="388">
        <f>CA275</f>
        <v/>
      </c>
      <c r="CJ275" s="2046"/>
      <c r="CK275" s="2047"/>
      <c r="CL275" s="212">
        <f>IF(CF275=""," ",IF(ABS(CE275-CF275)&lt;=0.125,"Valid","Not valid"))</f>
        <v/>
      </c>
      <c r="CM275" s="213">
        <f> IF(CE275="","",IF(AND(CE275&lt;&gt;"",CF275=""),IF(CE275&gt;=1,"Medir+Sig Max","No"),IF(CF275&lt;&gt;"",IF(CF275&gt;=1,"Medir+Sig Max","No"),"")))</f>
        <v/>
      </c>
      <c r="CN275" s="1794"/>
      <c r="CO275" s="221">
        <f>IF(CK275="",IF(AND(CE275="",CF275=""),"",IF(CF275="",IF(DE275&gt;1,ROUND(DE275*CE275,3),CE275),IF(DE275&gt;1,ROUND(DE275*CF275,3),CF275))),IF(AND(CE275="",CF275=""),"",IF(CF275="",IF(DE275&gt;1,ROUND(DE275*CE275*(1/(CK275)),3),CE275*(1/(CK275))),IF(DE275&gt;1,ROUND(DE275*CF275*(1/(CK275)),3),CF275*(1/(CK275))))))</f>
        <v/>
      </c>
      <c r="CP275" s="2048">
        <f>$CP$3</f>
        <v/>
      </c>
      <c r="CQ275" s="1473">
        <f>IF(CO275="","",IF(CO275&gt;CP275,"Fail","Pass"))</f>
        <v/>
      </c>
      <c r="CR275" s="1482">
        <f>IF(CO275&lt;&gt;"",MAX($CR$3:CR274)+1,"")</f>
        <v/>
      </c>
      <c r="CS275" s="1566">
        <f>MyTimestamp(CQ275)</f>
        <v/>
      </c>
      <c r="CT275" s="1535">
        <f>IF(COUNT(CE275:CF275)=1,15,IF(COUNT(CE275:CF275)=0,0,30))</f>
        <v/>
      </c>
      <c r="CU275" s="1536">
        <f>IF(CT275=0,0,2)</f>
        <v/>
      </c>
      <c r="CV275" s="861" t="inlineStr">
        <is>
          <t>S/02</t>
        </is>
      </c>
      <c r="CW275" s="861" t="inlineStr">
        <is>
          <t>Dasy6</t>
        </is>
      </c>
      <c r="CX275" s="2038"/>
      <c r="CY275" s="2050"/>
      <c r="CZ275" s="1545">
        <f>10^(CJ275/20)*100-100</f>
        <v/>
      </c>
      <c r="DA275" s="1327">
        <f>IF('Tune-Up'!$H$21="","",'Tune-Up'!$H$21)</f>
        <v/>
      </c>
      <c r="DB275" s="703">
        <f>IF(COUNT($CO$267:$CO$274)=0,"N/A",IFERROR(INDEX($DB$267:$DB$274,MATCH(MAX($CO$267:$CO$274),$CO$267:$CO$274,0)),"N/A"))</f>
        <v/>
      </c>
      <c r="DC275" s="771">
        <f>IF(DA275="","",10^(DA275/10))</f>
        <v/>
      </c>
      <c r="DD275" s="1371">
        <f>IF(ISNUMBER(DB275)=FALSE,"N/A",10^(DB275/10))</f>
        <v/>
      </c>
      <c r="DE275" s="1545">
        <f>IF(AND(ISNUMBER(DC275),ISNUMBER(DD275)),IF(DC275/DD275&gt;1,ROUND((DC275)/DD275,3),1),1)</f>
        <v/>
      </c>
      <c r="DF275" s="1541"/>
      <c r="DG275" s="1541"/>
      <c r="DH275" s="1541"/>
      <c r="DI275" s="1541"/>
      <c r="DJ275" s="1541"/>
      <c r="DK275" s="1541"/>
      <c r="DL275" s="1541"/>
      <c r="DM275" s="1541"/>
      <c r="DN275" s="1541"/>
      <c r="DO275" s="1541"/>
      <c r="DP275" s="1541"/>
      <c r="DQ275" s="1541"/>
      <c r="DR275" s="1541"/>
    </row>
    <row r="276" ht="12.75" x14ac:dyDescent="0.2">
      <c r="A276" s="1541"/>
      <c r="B276" s="1541"/>
      <c r="C276"/>
      <c r="D276" s="130">
        <f>IF(BX$267="Close to Ear","EN 62209-1","EN 62209-2")</f>
        <v/>
      </c>
      <c r="E276" s="130">
        <f>IF(CG276="Close to Ear","2016","2010/A1:2019")</f>
        <v/>
      </c>
      <c r="F276" s="1488" t="inlineStr">
        <is>
          <t>5.1</t>
        </is>
      </c>
      <c r="G276" s="1497"/>
      <c r="H276" s="120">
        <f>BV276</f>
        <v/>
      </c>
      <c r="I276" s="120">
        <f>BW276</f>
        <v/>
      </c>
      <c r="J276" s="687">
        <f>BT276</f>
        <v/>
      </c>
      <c r="K276" s="194">
        <f>BU276</f>
        <v/>
      </c>
      <c r="L276" s="115"/>
      <c r="M276" s="120">
        <f>BZ276</f>
        <v/>
      </c>
      <c r="N276" s="119"/>
      <c r="O276" s="131"/>
      <c r="P276" s="6597"/>
      <c r="Q276" s="131"/>
      <c r="R276" s="131"/>
      <c r="S276" s="120">
        <f>CG276</f>
        <v/>
      </c>
      <c r="T276" s="120">
        <f>CC276</f>
        <v/>
      </c>
      <c r="U276" s="120">
        <f>CD276</f>
        <v/>
      </c>
      <c r="V276" s="119"/>
      <c r="W276" s="197">
        <f>CK276*100</f>
        <v/>
      </c>
      <c r="X276" s="119"/>
      <c r="Y276" s="119"/>
      <c r="Z276" s="119"/>
      <c r="AA276" s="115"/>
      <c r="AB276" s="115"/>
      <c r="AC276" s="689">
        <f>IF(OR(BX$267="Close to Ear",BX$267="Close to Head"),"Head",IF(BX$267="Extremity","Extremity","Body"))</f>
        <v/>
      </c>
      <c r="AD276" s="690">
        <f>CA276</f>
        <v/>
      </c>
      <c r="AE276" s="688">
        <f>CB276</f>
        <v/>
      </c>
      <c r="AF276" s="115"/>
      <c r="AG276" s="808">
        <f>IF(AZ276="","N/A",IF(CQ276="Pass","P","F"))</f>
        <v/>
      </c>
      <c r="AH276" s="129"/>
      <c r="AI276" s="129"/>
      <c r="AJ276" s="129"/>
      <c r="AK276" s="119"/>
      <c r="AL276" s="115"/>
      <c r="AM276" s="119"/>
      <c r="AN276" s="119"/>
      <c r="AO276" s="692"/>
      <c r="AP276" s="692"/>
      <c r="AQ276" s="692"/>
      <c r="AR276" s="692"/>
      <c r="AS276" s="692"/>
      <c r="AT276" s="691">
        <f>CE276</f>
        <v/>
      </c>
      <c r="AU276" s="691">
        <f>CF276</f>
        <v/>
      </c>
      <c r="AV276" s="813"/>
      <c r="AW276" s="813"/>
      <c r="AX276" s="197">
        <f>CZ276</f>
        <v/>
      </c>
      <c r="AY276" s="197">
        <f>DE276</f>
        <v/>
      </c>
      <c r="AZ276" s="3379">
        <f>CO276</f>
        <v/>
      </c>
      <c r="BA276" s="3380"/>
      <c r="BB276" s="197">
        <f>CP276</f>
        <v/>
      </c>
      <c r="BC276" s="813"/>
      <c r="BD276" s="197">
        <f>CR276</f>
        <v/>
      </c>
      <c r="BE276" s="121">
        <f>CS276</f>
        <v/>
      </c>
      <c r="BF276" s="122">
        <f>CT276*60</f>
        <v/>
      </c>
      <c r="BG276" s="121">
        <f>BE276</f>
        <v/>
      </c>
      <c r="BH276" s="122">
        <f>CU276*60</f>
        <v/>
      </c>
      <c r="BI276" s="122">
        <f>CV276</f>
        <v/>
      </c>
      <c r="BJ276" s="117"/>
      <c r="BK276" s="812">
        <f>Overview!$E$7</f>
        <v/>
      </c>
      <c r="BL276" s="117"/>
      <c r="BM276" s="836">
        <f>CW276</f>
        <v/>
      </c>
      <c r="BN276" s="812">
        <f>Overview!$P$153</f>
        <v/>
      </c>
      <c r="BO276" s="117"/>
      <c r="BP276" s="117"/>
      <c r="BQ276" s="115"/>
      <c r="BR276" s="1478" t="inlineStr">
        <is>
          <t>N/A</t>
        </is>
      </c>
      <c r="BS276" s="1548"/>
      <c r="BT276" s="2071" t="inlineStr">
        <is>
          <t>GSM</t>
        </is>
      </c>
      <c r="BU276" s="2071">
        <v>1800</v>
      </c>
      <c r="BV276" s="415">
        <f>Overview!$H$30</f>
        <v/>
      </c>
      <c r="BW276" s="2010"/>
      <c r="BX276" s="2075"/>
      <c r="BY276" s="2072"/>
      <c r="BZ276" s="2072"/>
      <c r="CA276" s="418" t="str">
        <f>CONCATENATE(CA274," - Battery check 2")</f>
        <v>TBD - Battery check 2</v>
      </c>
      <c r="CB276" s="201">
        <v>5</v>
      </c>
      <c r="CC276" s="857">
        <f>IF(COUNT($CO$267:$CO$274)=0,"N/A",INDEX($CC$267:$CC$274,MATCH(MAX($CO$267:$CO$274),$CO$267:$CO$274,0)))</f>
        <v/>
      </c>
      <c r="CD276" s="857">
        <f>IF(COUNT($CO$267:$CO$274)=0,"N/A",INDEX($CD$267:$CD$274,MATCH(MAX($CO$267:$CO$274),$CO$267:$CO$274,0)))</f>
        <v/>
      </c>
      <c r="CE276" s="1874"/>
      <c r="CF276" s="1874"/>
      <c r="CG276" s="388" t="inlineStr">
        <is>
          <t>N/A</t>
        </is>
      </c>
      <c r="CH276" s="388">
        <f>BZ276</f>
        <v/>
      </c>
      <c r="CI276" s="388">
        <f>CA276</f>
        <v/>
      </c>
      <c r="CJ276" s="2046"/>
      <c r="CK276" s="2047"/>
      <c r="CL276" s="212">
        <f>IF(CF276=""," ",IF(ABS(CE276-CF276)&lt;=0.125,"Valid","Not valid"))</f>
        <v/>
      </c>
      <c r="CM276" s="213">
        <f> IF(CE276="","",IF(AND(CE276&lt;&gt;"",CF276=""),IF(CE276&gt;=1,"Medir+Sig Max","No"),IF(CF276&lt;&gt;"",IF(CF276&gt;=1,"Medir+Sig Max","No"),"")))</f>
        <v/>
      </c>
      <c r="CN276" s="1794"/>
      <c r="CO276" s="221">
        <f>IF(CK276="",IF(AND(CE276="",CF276=""),"",IF(CF276="",IF(DE276&gt;1,ROUND(DE276*CE276,3),CE276),IF(DE276&gt;1,ROUND(DE276*CF276,3),CF276))),IF(AND(CE276="",CF276=""),"",IF(CF276="",IF(DE276&gt;1,ROUND(DE276*CE276*(1/(CK276)),3),CE276*(1/(CK276))),IF(DE276&gt;1,ROUND(DE276*CF276*(1/(CK276)),3),CF276*(1/(CK276))))))</f>
        <v/>
      </c>
      <c r="CP276" s="2048">
        <f>$CP$3</f>
        <v/>
      </c>
      <c r="CQ276" s="1473">
        <f>IF(CO276="","",IF(CO276&gt;CP276,"Fail","Pass"))</f>
        <v/>
      </c>
      <c r="CR276" s="1482">
        <f>IF(CO276&lt;&gt;"",MAX($CR$3:CR275)+1,"")</f>
        <v/>
      </c>
      <c r="CS276" s="1566">
        <f>MyTimestamp(CQ276)</f>
        <v/>
      </c>
      <c r="CT276" s="1535">
        <f>IF(COUNT(CE276:CF276)=1,15,IF(COUNT(CE276:CF276)=0,0,30))</f>
        <v/>
      </c>
      <c r="CU276" s="1536">
        <f>IF(CT276=0,0,2)</f>
        <v/>
      </c>
      <c r="CV276" s="861" t="inlineStr">
        <is>
          <t>S/02</t>
        </is>
      </c>
      <c r="CW276" s="861" t="inlineStr">
        <is>
          <t>Dasy6</t>
        </is>
      </c>
      <c r="CX276" s="2038"/>
      <c r="CY276" s="2050"/>
      <c r="CZ276" s="1545">
        <f>10^(CJ276/20)*100-100</f>
        <v/>
      </c>
      <c r="DA276" s="1327">
        <f>IF('Tune-Up'!$H$21="","",'Tune-Up'!$H$21)</f>
        <v/>
      </c>
      <c r="DB276" s="703">
        <f>IF(COUNT($CO$267:$CO$274)=0,"N/A",IFERROR(INDEX($DB$267:$DB$274,MATCH(MAX($CO$267:$CO$274),$CO$267:$CO$274,0)),"N/A"))</f>
        <v/>
      </c>
      <c r="DC276" s="771">
        <f>IF(DA276="","",10^(DA276/10))</f>
        <v/>
      </c>
      <c r="DD276" s="1371">
        <f>IF(ISNUMBER(DB276)=FALSE,"N/A",10^(DB276/10))</f>
        <v/>
      </c>
      <c r="DE276" s="1545">
        <f>IF(AND(ISNUMBER(DC276),ISNUMBER(DD276)),IF(DC276/DD276&gt;1,ROUND((DC276)/DD276,3),1),1)</f>
        <v/>
      </c>
      <c r="DF276" s="1541"/>
      <c r="DG276" s="1541"/>
      <c r="DH276" s="1541"/>
      <c r="DI276" s="1541"/>
      <c r="DJ276" s="1541"/>
      <c r="DK276" s="1541"/>
      <c r="DL276" s="1541"/>
      <c r="DM276" s="1541"/>
      <c r="DN276" s="1541"/>
      <c r="DO276" s="1541"/>
      <c r="DP276" s="1541"/>
      <c r="DQ276" s="1541"/>
      <c r="DR276" s="1541"/>
    </row>
    <row r="277" ht="12.75" x14ac:dyDescent="0.2">
      <c r="A277" s="1541"/>
      <c r="B277" s="1541"/>
      <c r="C277"/>
      <c r="D277" s="130">
        <f>IF(BX$267="Close to Ear","EN 62209-1","EN 62209-2")</f>
        <v/>
      </c>
      <c r="E277" s="130">
        <f>IF(CG277="Close to Ear","2016","2010/A1:2019")</f>
        <v/>
      </c>
      <c r="F277" s="1488" t="inlineStr">
        <is>
          <t>5.1</t>
        </is>
      </c>
      <c r="G277" s="1497"/>
      <c r="H277" s="120">
        <f>BV277</f>
        <v/>
      </c>
      <c r="I277" s="120">
        <f>BW277</f>
        <v/>
      </c>
      <c r="J277" s="687">
        <f>BT277</f>
        <v/>
      </c>
      <c r="K277" s="194">
        <f>BU277</f>
        <v/>
      </c>
      <c r="L277" s="115"/>
      <c r="M277" s="120">
        <f>BZ277</f>
        <v/>
      </c>
      <c r="N277" s="119"/>
      <c r="O277" s="131"/>
      <c r="P277" s="6597"/>
      <c r="Q277" s="131"/>
      <c r="R277" s="131"/>
      <c r="S277" s="120">
        <f>CG277</f>
        <v/>
      </c>
      <c r="T277" s="120">
        <f>CC277</f>
        <v/>
      </c>
      <c r="U277" s="120">
        <f>CD277</f>
        <v/>
      </c>
      <c r="V277" s="119"/>
      <c r="W277" s="197">
        <f>CK277*100</f>
        <v/>
      </c>
      <c r="X277" s="119"/>
      <c r="Y277" s="119"/>
      <c r="Z277" s="119"/>
      <c r="AA277" s="115"/>
      <c r="AB277" s="115"/>
      <c r="AC277" s="689">
        <f>IF(OR(BX$267="Close to Ear",BX$267="Close to Head"),"Head",IF(BX$267="Extremity","Extremity","Body"))</f>
        <v/>
      </c>
      <c r="AD277" s="690">
        <f>CA277</f>
        <v/>
      </c>
      <c r="AE277" s="688">
        <f>CB277</f>
        <v/>
      </c>
      <c r="AF277" s="115"/>
      <c r="AG277" s="808">
        <f>IF(AZ277="","N/A",IF(CQ277="Pass","P","F"))</f>
        <v/>
      </c>
      <c r="AH277" s="129"/>
      <c r="AI277" s="129"/>
      <c r="AJ277" s="129"/>
      <c r="AK277" s="119"/>
      <c r="AL277" s="115"/>
      <c r="AM277" s="119"/>
      <c r="AN277" s="119"/>
      <c r="AO277" s="692"/>
      <c r="AP277" s="692"/>
      <c r="AQ277" s="692"/>
      <c r="AR277" s="692"/>
      <c r="AS277" s="692"/>
      <c r="AT277" s="691">
        <f>CE277</f>
        <v/>
      </c>
      <c r="AU277" s="691">
        <f>CF277</f>
        <v/>
      </c>
      <c r="AV277" s="813"/>
      <c r="AW277" s="813"/>
      <c r="AX277" s="197">
        <f>CZ277</f>
        <v/>
      </c>
      <c r="AY277" s="197">
        <f>DE277</f>
        <v/>
      </c>
      <c r="AZ277" s="3379">
        <f>CO277</f>
        <v/>
      </c>
      <c r="BA277" s="3380"/>
      <c r="BB277" s="197">
        <f>CP277</f>
        <v/>
      </c>
      <c r="BC277" s="813"/>
      <c r="BD277" s="197">
        <f>CR277</f>
        <v/>
      </c>
      <c r="BE277" s="121">
        <f>CS277</f>
        <v/>
      </c>
      <c r="BF277" s="122">
        <f>CT277*60</f>
        <v/>
      </c>
      <c r="BG277" s="121">
        <f>BE277</f>
        <v/>
      </c>
      <c r="BH277" s="122">
        <f>CU277*60</f>
        <v/>
      </c>
      <c r="BI277" s="122">
        <f>CV277</f>
        <v/>
      </c>
      <c r="BJ277" s="117"/>
      <c r="BK277" s="812">
        <f>Overview!$E$7</f>
        <v/>
      </c>
      <c r="BL277" s="117"/>
      <c r="BM277" s="836">
        <f>CW277</f>
        <v/>
      </c>
      <c r="BN277" s="812">
        <f>Overview!$P$153</f>
        <v/>
      </c>
      <c r="BO277" s="117"/>
      <c r="BP277" s="117"/>
      <c r="BQ277" s="115"/>
      <c r="BR277" s="1478" t="inlineStr">
        <is>
          <t>N/A</t>
        </is>
      </c>
      <c r="BS277" s="1548"/>
      <c r="BT277" s="2071" t="inlineStr">
        <is>
          <t>GSM</t>
        </is>
      </c>
      <c r="BU277" s="2071">
        <v>1800</v>
      </c>
      <c r="BV277" s="415">
        <f>Overview!$H$30</f>
        <v/>
      </c>
      <c r="BW277" s="2010"/>
      <c r="BX277" s="2075"/>
      <c r="BY277" s="2072"/>
      <c r="BZ277" s="2072"/>
      <c r="CA277" s="418" t="inlineStr">
        <is>
          <t>Front Face</t>
        </is>
      </c>
      <c r="CB277" s="201">
        <v>25</v>
      </c>
      <c r="CC277" s="857">
        <f>IF(COUNT($CO$267:$CO$274)=0,"N/A",INDEX($CC$267:$CC$274,MATCH(MAX($CO$267:$CO$274),$CO$267:$CO$274,0)))</f>
        <v/>
      </c>
      <c r="CD277" s="857">
        <f>IF(COUNT($CO$267:$CO$274)=0,"N/A",INDEX($CD$267:$CD$274,MATCH(MAX($CO$267:$CO$274),$CO$267:$CO$274,0)))</f>
        <v/>
      </c>
      <c r="CE277" s="1874"/>
      <c r="CF277" s="1874"/>
      <c r="CG277" s="388" t="inlineStr">
        <is>
          <t>N/A</t>
        </is>
      </c>
      <c r="CH277" s="388">
        <f>BZ277</f>
        <v/>
      </c>
      <c r="CI277" s="388">
        <f>CA277</f>
        <v/>
      </c>
      <c r="CJ277" s="2046"/>
      <c r="CK277" s="2047"/>
      <c r="CL277" s="212">
        <f>IF(CF277=""," ",IF(ABS(CE277-CF277)&lt;=0.125,"Valid","Not valid"))</f>
        <v/>
      </c>
      <c r="CM277" s="213">
        <f> IF(CE277="","",IF(AND(CE277&lt;&gt;"",CF277=""),IF(CE277&gt;=1,"Medir+Sig Max","No"),IF(CF277&lt;&gt;"",IF(CF277&gt;=1,"Medir+Sig Max","No"),"")))</f>
        <v/>
      </c>
      <c r="CN277" s="1794"/>
      <c r="CO277" s="221">
        <f>IF(CK277="",IF(AND(CE277="",CF277=""),"",IF(CF277="",IF(DE277&gt;1,ROUND(DE277*CE277,3),CE277),IF(DE277&gt;1,ROUND(DE277*CF277,3),CF277))),IF(AND(CE277="",CF277=""),"",IF(CF277="",IF(DE277&gt;1,ROUND(DE277*CE277*(1/(CK277)),3),CE277*(1/(CK277))),IF(DE277&gt;1,ROUND(DE277*CF277*(1/(CK277)),3),CF277*(1/(CK277))))))</f>
        <v/>
      </c>
      <c r="CP277" s="2048">
        <f>$CP$3</f>
        <v/>
      </c>
      <c r="CQ277" s="1473">
        <f>IF(CO277="","",IF(CO277&gt;CP277,"Fail","Pass"))</f>
        <v/>
      </c>
      <c r="CR277" s="1482">
        <f>IF(CO277&lt;&gt;"",MAX($CR$3:CR276)+1,"")</f>
        <v/>
      </c>
      <c r="CS277" s="1566">
        <f>MyTimestamp(CQ277)</f>
        <v/>
      </c>
      <c r="CT277" s="1535">
        <f>IF(COUNT(CE277:CF277)=1,15,IF(COUNT(CE277:CF277)=0,0,30))</f>
        <v/>
      </c>
      <c r="CU277" s="1536">
        <f>IF(CT277=0,0,2)</f>
        <v/>
      </c>
      <c r="CV277" s="861" t="inlineStr">
        <is>
          <t>S/02</t>
        </is>
      </c>
      <c r="CW277" s="861" t="inlineStr">
        <is>
          <t>Dasy6</t>
        </is>
      </c>
      <c r="CX277" s="2038"/>
      <c r="CY277" s="2050"/>
      <c r="CZ277" s="1545">
        <f>10^(CJ277/20)*100-100</f>
        <v/>
      </c>
      <c r="DA277" s="1327">
        <f>IF('Tune-Up'!$H$21="","",'Tune-Up'!$H$21)</f>
        <v/>
      </c>
      <c r="DB277" s="703">
        <f>IF(COUNT($CO$267:$CO$274)=0,"N/A",IFERROR(INDEX($DB$267:$DB$274,MATCH(MAX($CO$267:$CO$274),$CO$267:$CO$274,0)),"N/A"))</f>
        <v/>
      </c>
      <c r="DC277" s="771">
        <f>IF(DA277="","",10^(DA277/10))</f>
        <v/>
      </c>
      <c r="DD277" s="1371">
        <f>IF(ISNUMBER(DB277)=FALSE,"N/A",10^(DB277/10))</f>
        <v/>
      </c>
      <c r="DE277" s="1545">
        <f>IF(AND(ISNUMBER(DC277),ISNUMBER(DD277)),IF(DC277/DD277&gt;1,ROUND((DC277)/DD277,3),1),1)</f>
        <v/>
      </c>
      <c r="DF277" s="1541"/>
      <c r="DG277" s="1541"/>
      <c r="DH277" s="1541"/>
      <c r="DI277" s="1541"/>
      <c r="DJ277" s="1541"/>
      <c r="DK277" s="1541"/>
      <c r="DL277" s="1541"/>
      <c r="DM277" s="1541"/>
      <c r="DN277" s="1541"/>
      <c r="DO277" s="1541"/>
      <c r="DP277" s="1541"/>
      <c r="DQ277" s="1541"/>
      <c r="DR277" s="1541"/>
    </row>
    <row r="278" ht="12.75" x14ac:dyDescent="0.2">
      <c r="A278" s="1541"/>
      <c r="B278" s="1541"/>
      <c r="C278"/>
      <c r="D278" s="130">
        <f>IF(BX$267="Close to Ear","EN 62209-1","EN 62209-2")</f>
        <v/>
      </c>
      <c r="E278" s="130">
        <f>IF(CG278="Close to Ear","2016","2010/A1:2019")</f>
        <v/>
      </c>
      <c r="F278" s="1488" t="inlineStr">
        <is>
          <t>5.1</t>
        </is>
      </c>
      <c r="G278" s="1497"/>
      <c r="H278" s="120">
        <f>BV278</f>
        <v/>
      </c>
      <c r="I278" s="120">
        <f>BW278</f>
        <v/>
      </c>
      <c r="J278" s="687">
        <f>BT278</f>
        <v/>
      </c>
      <c r="K278" s="194">
        <f>BU278</f>
        <v/>
      </c>
      <c r="L278" s="115"/>
      <c r="M278" s="120">
        <f>BZ278</f>
        <v/>
      </c>
      <c r="N278" s="119"/>
      <c r="O278" s="131"/>
      <c r="P278" s="6597"/>
      <c r="Q278" s="131"/>
      <c r="R278" s="131"/>
      <c r="S278" s="120">
        <f>CG278</f>
        <v/>
      </c>
      <c r="T278" s="120">
        <f>CC278</f>
        <v/>
      </c>
      <c r="U278" s="120">
        <f>CD278</f>
        <v/>
      </c>
      <c r="V278" s="119"/>
      <c r="W278" s="197">
        <f>CK278*100</f>
        <v/>
      </c>
      <c r="X278" s="119"/>
      <c r="Y278" s="119"/>
      <c r="Z278" s="119"/>
      <c r="AA278" s="115"/>
      <c r="AB278" s="115"/>
      <c r="AC278" s="689">
        <f>IF(OR(BX$267="Close to Ear",BX$267="Close to Head"),"Head",IF(BX$267="Extremity","Extremity","Body"))</f>
        <v/>
      </c>
      <c r="AD278" s="690">
        <f>CA278</f>
        <v/>
      </c>
      <c r="AE278" s="688">
        <f>CB278</f>
        <v/>
      </c>
      <c r="AF278" s="115"/>
      <c r="AG278" s="808">
        <f>IF(AZ278="","N/A",IF(CQ278="Pass","P","F"))</f>
        <v/>
      </c>
      <c r="AH278" s="129"/>
      <c r="AI278" s="129"/>
      <c r="AJ278" s="129"/>
      <c r="AK278" s="119"/>
      <c r="AL278" s="115"/>
      <c r="AM278" s="119"/>
      <c r="AN278" s="119"/>
      <c r="AO278" s="692"/>
      <c r="AP278" s="692"/>
      <c r="AQ278" s="692"/>
      <c r="AR278" s="692"/>
      <c r="AS278" s="692"/>
      <c r="AT278" s="691">
        <f>CE278</f>
        <v/>
      </c>
      <c r="AU278" s="691">
        <f>CF278</f>
        <v/>
      </c>
      <c r="AV278" s="813"/>
      <c r="AW278" s="813"/>
      <c r="AX278" s="197">
        <f>CZ278</f>
        <v/>
      </c>
      <c r="AY278" s="197">
        <f>DE278</f>
        <v/>
      </c>
      <c r="AZ278" s="3379">
        <f>CO278</f>
        <v/>
      </c>
      <c r="BA278" s="3380"/>
      <c r="BB278" s="197">
        <f>CP278</f>
        <v/>
      </c>
      <c r="BC278" s="813"/>
      <c r="BD278" s="197">
        <f>CR278</f>
        <v/>
      </c>
      <c r="BE278" s="121">
        <f>CS278</f>
        <v/>
      </c>
      <c r="BF278" s="122">
        <f>CT278*60</f>
        <v/>
      </c>
      <c r="BG278" s="121">
        <f>BE278</f>
        <v/>
      </c>
      <c r="BH278" s="122">
        <f>CU278*60</f>
        <v/>
      </c>
      <c r="BI278" s="122">
        <f>CV278</f>
        <v/>
      </c>
      <c r="BJ278" s="117"/>
      <c r="BK278" s="812">
        <f>Overview!$E$7</f>
        <v/>
      </c>
      <c r="BL278" s="117"/>
      <c r="BM278" s="836">
        <f>CW278</f>
        <v/>
      </c>
      <c r="BN278" s="812">
        <f>Overview!$P$153</f>
        <v/>
      </c>
      <c r="BO278" s="117"/>
      <c r="BP278" s="117"/>
      <c r="BQ278" s="115"/>
      <c r="BR278" s="1478" t="inlineStr">
        <is>
          <t>N/A</t>
        </is>
      </c>
      <c r="BS278" s="1548"/>
      <c r="BT278" s="2071" t="inlineStr">
        <is>
          <t>GSM</t>
        </is>
      </c>
      <c r="BU278" s="2071">
        <v>1800</v>
      </c>
      <c r="BV278" s="415">
        <f>Overview!$H$30</f>
        <v/>
      </c>
      <c r="BW278" s="2010"/>
      <c r="BX278" s="2075"/>
      <c r="BY278" s="2072"/>
      <c r="BZ278" s="2072"/>
      <c r="CA278" s="418" t="inlineStr">
        <is>
          <t>Accesorio 1: Funda</t>
        </is>
      </c>
      <c r="CB278" s="201">
        <v>0</v>
      </c>
      <c r="CC278" s="857">
        <f>IF(COUNT($CO$267:$CO$274)=0,"N/A",INDEX($CC$267:$CC$274,MATCH(MAX($CO$267:$CO$274),$CO$267:$CO$274,0)))</f>
        <v/>
      </c>
      <c r="CD278" s="857">
        <f>IF(COUNT($CO$267:$CO$274)=0,"N/A",INDEX($CD$267:$CD$274,MATCH(MAX($CO$267:$CO$274),$CO$267:$CO$274,0)))</f>
        <v/>
      </c>
      <c r="CE278" s="1874"/>
      <c r="CF278" s="1874"/>
      <c r="CG278" s="388" t="inlineStr">
        <is>
          <t>N/A</t>
        </is>
      </c>
      <c r="CH278" s="388">
        <f>BZ278</f>
        <v/>
      </c>
      <c r="CI278" s="388">
        <f>CA278</f>
        <v/>
      </c>
      <c r="CJ278" s="2046"/>
      <c r="CK278" s="2047"/>
      <c r="CL278" s="212">
        <f>IF(CF278=""," ",IF(ABS(CE278-CF278)&lt;=0.125,"Valid","Not valid"))</f>
        <v/>
      </c>
      <c r="CM278" s="213">
        <f> IF(CE278="","",IF(AND(CE278&lt;&gt;"",CF278=""),IF(CE278&gt;=1,"Medir+Sig Max","No"),IF(CF278&lt;&gt;"",IF(CF278&gt;=1,"Medir+Sig Max","No"),"")))</f>
        <v/>
      </c>
      <c r="CN278" s="1794"/>
      <c r="CO278" s="221">
        <f>IF(CK278="",IF(AND(CE278="",CF278=""),"",IF(CF278="",IF(DE278&gt;1,ROUND(DE278*CE278,3),CE278),IF(DE278&gt;1,ROUND(DE278*CF278,3),CF278))),IF(AND(CE278="",CF278=""),"",IF(CF278="",IF(DE278&gt;1,ROUND(DE278*CE278*(1/(CK278)),3),CE278*(1/(CK278))),IF(DE278&gt;1,ROUND(DE278*CF278*(1/(CK278)),3),CF278*(1/(CK278))))))</f>
        <v/>
      </c>
      <c r="CP278" s="2048">
        <f>$CP$3</f>
        <v/>
      </c>
      <c r="CQ278" s="1473">
        <f>IF(CO278="","",IF(CO278&gt;CP278,"Fail","Pass"))</f>
        <v/>
      </c>
      <c r="CR278" s="1482">
        <f>IF(CO278&lt;&gt;"",MAX($CR$3:CR277)+1,"")</f>
        <v/>
      </c>
      <c r="CS278" s="1566">
        <f>MyTimestamp(CQ278)</f>
        <v/>
      </c>
      <c r="CT278" s="1535">
        <f>IF(COUNT(CE278:CF278)=1,15,IF(COUNT(CE278:CF278)=0,0,30))</f>
        <v/>
      </c>
      <c r="CU278" s="1536">
        <f>IF(CT278=0,0,2)</f>
        <v/>
      </c>
      <c r="CV278" s="861" t="inlineStr">
        <is>
          <t>S/02</t>
        </is>
      </c>
      <c r="CW278" s="861" t="inlineStr">
        <is>
          <t>Dasy6</t>
        </is>
      </c>
      <c r="CX278" s="2038"/>
      <c r="CY278" s="2050"/>
      <c r="CZ278" s="1545">
        <f>10^(CJ278/20)*100-100</f>
        <v/>
      </c>
      <c r="DA278" s="1327">
        <f>IF('Tune-Up'!$H$21="","",'Tune-Up'!$H$21)</f>
        <v/>
      </c>
      <c r="DB278" s="703">
        <f>IF(COUNT($CO$267:$CO$274)=0,"N/A",IFERROR(INDEX($DB$267:$DB$274,MATCH(MAX($CO$267:$CO$274),$CO$267:$CO$274,0)),"N/A"))</f>
        <v/>
      </c>
      <c r="DC278" s="771">
        <f>IF(DA278="","",10^(DA278/10))</f>
        <v/>
      </c>
      <c r="DD278" s="1371">
        <f>IF(ISNUMBER(DB278)=FALSE,"N/A",10^(DB278/10))</f>
        <v/>
      </c>
      <c r="DE278" s="1545">
        <f>IF(AND(ISNUMBER(DC278),ISNUMBER(DD278)),IF(DC278/DD278&gt;1,ROUND((DC278)/DD278,3),1),1)</f>
        <v/>
      </c>
      <c r="DF278" s="1541"/>
      <c r="DG278" s="1541"/>
      <c r="DH278" s="1541"/>
      <c r="DI278" s="1541"/>
      <c r="DJ278" s="1541"/>
      <c r="DK278" s="1541"/>
      <c r="DL278" s="1541"/>
      <c r="DM278" s="1541"/>
      <c r="DN278" s="1541"/>
      <c r="DO278" s="1541"/>
      <c r="DP278" s="1541"/>
      <c r="DQ278" s="1541"/>
      <c r="DR278" s="1541"/>
    </row>
    <row r="279" ht="12.75" x14ac:dyDescent="0.2">
      <c r="A279" s="1541"/>
      <c r="B279" s="1541"/>
      <c r="C279"/>
      <c r="D279" s="130">
        <f>IF(BX$267="Close to Ear","EN 62209-1","EN 62209-2")</f>
        <v/>
      </c>
      <c r="E279" s="130">
        <f>IF(CG279="Close to Ear","2016","2010/A1:2019")</f>
        <v/>
      </c>
      <c r="F279" s="1488" t="inlineStr">
        <is>
          <t>5.1</t>
        </is>
      </c>
      <c r="G279" s="1497"/>
      <c r="H279" s="120">
        <f>BV279</f>
        <v/>
      </c>
      <c r="I279" s="120">
        <f>BW279</f>
        <v/>
      </c>
      <c r="J279" s="687">
        <f>BT279</f>
        <v/>
      </c>
      <c r="K279" s="194">
        <f>BU279</f>
        <v/>
      </c>
      <c r="L279" s="115"/>
      <c r="M279" s="120">
        <f>BZ279</f>
        <v/>
      </c>
      <c r="N279" s="119"/>
      <c r="O279" s="131"/>
      <c r="P279" s="6597"/>
      <c r="Q279" s="131"/>
      <c r="R279" s="131"/>
      <c r="S279" s="120">
        <f>CG279</f>
        <v/>
      </c>
      <c r="T279" s="120">
        <f>CC279</f>
        <v/>
      </c>
      <c r="U279" s="120">
        <f>CD279</f>
        <v/>
      </c>
      <c r="V279" s="119"/>
      <c r="W279" s="197">
        <f>CK279*100</f>
        <v/>
      </c>
      <c r="X279" s="119"/>
      <c r="Y279" s="119"/>
      <c r="Z279" s="119"/>
      <c r="AA279" s="115"/>
      <c r="AB279" s="115"/>
      <c r="AC279" s="689">
        <f>IF(OR(BX$267="Close to Ear",BX$267="Close to Head"),"Head",IF(BX$267="Extremity","Extremity","Body"))</f>
        <v/>
      </c>
      <c r="AD279" s="690">
        <f>CA279</f>
        <v/>
      </c>
      <c r="AE279" s="688">
        <f>CB279</f>
        <v/>
      </c>
      <c r="AF279" s="115"/>
      <c r="AG279" s="808">
        <f>IF(AZ279="","N/A",IF(CQ279="Pass","P","F"))</f>
        <v/>
      </c>
      <c r="AH279" s="129"/>
      <c r="AI279" s="129"/>
      <c r="AJ279" s="129"/>
      <c r="AK279" s="119"/>
      <c r="AL279" s="115"/>
      <c r="AM279" s="119"/>
      <c r="AN279" s="119"/>
      <c r="AO279" s="692"/>
      <c r="AP279" s="692"/>
      <c r="AQ279" s="692"/>
      <c r="AR279" s="692"/>
      <c r="AS279" s="692"/>
      <c r="AT279" s="691">
        <f>CE279</f>
        <v/>
      </c>
      <c r="AU279" s="691">
        <f>CF279</f>
        <v/>
      </c>
      <c r="AV279" s="813"/>
      <c r="AW279" s="813"/>
      <c r="AX279" s="197">
        <f>CZ279</f>
        <v/>
      </c>
      <c r="AY279" s="197">
        <f>DE279</f>
        <v/>
      </c>
      <c r="AZ279" s="3379">
        <f>CO279</f>
        <v/>
      </c>
      <c r="BA279" s="3380"/>
      <c r="BB279" s="197">
        <f>CP279</f>
        <v/>
      </c>
      <c r="BC279" s="813"/>
      <c r="BD279" s="197">
        <f>CR279</f>
        <v/>
      </c>
      <c r="BE279" s="121">
        <f>CS279</f>
        <v/>
      </c>
      <c r="BF279" s="122">
        <f>CT279*60</f>
        <v/>
      </c>
      <c r="BG279" s="121">
        <f>BE279</f>
        <v/>
      </c>
      <c r="BH279" s="122">
        <f>CU279*60</f>
        <v/>
      </c>
      <c r="BI279" s="122">
        <f>CV279</f>
        <v/>
      </c>
      <c r="BJ279" s="117"/>
      <c r="BK279" s="812">
        <f>Overview!$E$7</f>
        <v/>
      </c>
      <c r="BL279" s="117"/>
      <c r="BM279" s="836">
        <f>CW279</f>
        <v/>
      </c>
      <c r="BN279" s="812">
        <f>Overview!$P$153</f>
        <v/>
      </c>
      <c r="BO279" s="117"/>
      <c r="BP279" s="117"/>
      <c r="BQ279" s="115"/>
      <c r="BR279" s="1478" t="inlineStr">
        <is>
          <t>N/A</t>
        </is>
      </c>
      <c r="BS279" s="1548"/>
      <c r="BT279" s="2071" t="inlineStr">
        <is>
          <t>GSM</t>
        </is>
      </c>
      <c r="BU279" s="2071">
        <v>1800</v>
      </c>
      <c r="BV279" s="415">
        <f>Overview!$H$30</f>
        <v/>
      </c>
      <c r="BW279" s="2010"/>
      <c r="BX279" s="2075"/>
      <c r="BY279" s="2072"/>
      <c r="BZ279" s="2072"/>
      <c r="CA279" s="418" t="inlineStr">
        <is>
          <t>Accesorio 2: Clip</t>
        </is>
      </c>
      <c r="CB279" s="201">
        <v>0</v>
      </c>
      <c r="CC279" s="857">
        <f>IF(COUNT($CO$267:$CO$274)=0,"N/A",INDEX($CC$267:$CC$274,MATCH(MAX($CO$267:$CO$274),$CO$267:$CO$274,0)))</f>
        <v/>
      </c>
      <c r="CD279" s="857">
        <f>IF(COUNT($CO$267:$CO$274)=0,"N/A",INDEX($CD$267:$CD$274,MATCH(MAX($CO$267:$CO$274),$CO$267:$CO$274,0)))</f>
        <v/>
      </c>
      <c r="CE279" s="1874"/>
      <c r="CF279" s="1874"/>
      <c r="CG279" s="388" t="inlineStr">
        <is>
          <t>N/A</t>
        </is>
      </c>
      <c r="CH279" s="388">
        <f>BZ279</f>
        <v/>
      </c>
      <c r="CI279" s="388">
        <f>CA279</f>
        <v/>
      </c>
      <c r="CJ279" s="2046"/>
      <c r="CK279" s="2047"/>
      <c r="CL279" s="212">
        <f>IF(CF279=""," ",IF(ABS(CE279-CF279)&lt;=0.125,"Valid","Not valid"))</f>
        <v/>
      </c>
      <c r="CM279" s="213">
        <f> IF(CE279="","",IF(AND(CE279&lt;&gt;"",CF279=""),IF(CE279&gt;=1,"Medir+Sig Max","No"),IF(CF279&lt;&gt;"",IF(CF279&gt;=1,"Medir+Sig Max","No"),"")))</f>
        <v/>
      </c>
      <c r="CN279" s="1794"/>
      <c r="CO279" s="221">
        <f>IF(CK279="",IF(AND(CE279="",CF279=""),"",IF(CF279="",IF(DE279&gt;1,ROUND(DE279*CE279,3),CE279),IF(DE279&gt;1,ROUND(DE279*CF279,3),CF279))),IF(AND(CE279="",CF279=""),"",IF(CF279="",IF(DE279&gt;1,ROUND(DE279*CE279*(1/(CK279)),3),CE279*(1/(CK279))),IF(DE279&gt;1,ROUND(DE279*CF279*(1/(CK279)),3),CF279*(1/(CK279))))))</f>
        <v/>
      </c>
      <c r="CP279" s="2048">
        <f>$CP$3</f>
        <v/>
      </c>
      <c r="CQ279" s="1473">
        <f>IF(CO279="","",IF(CO279&gt;CP279,"Fail","Pass"))</f>
        <v/>
      </c>
      <c r="CR279" s="1482">
        <f>IF(CO279&lt;&gt;"",MAX($CR$3:CR278)+1,"")</f>
        <v/>
      </c>
      <c r="CS279" s="1566">
        <f>MyTimestamp(CQ279)</f>
        <v/>
      </c>
      <c r="CT279" s="1535">
        <f>IF(COUNT(CE279:CF279)=1,15,IF(COUNT(CE279:CF279)=0,0,30))</f>
        <v/>
      </c>
      <c r="CU279" s="1536">
        <f>IF(CT279=0,0,2)</f>
        <v/>
      </c>
      <c r="CV279" s="861" t="inlineStr">
        <is>
          <t>S/02</t>
        </is>
      </c>
      <c r="CW279" s="861" t="inlineStr">
        <is>
          <t>Dasy6</t>
        </is>
      </c>
      <c r="CX279" s="2038"/>
      <c r="CY279" s="2050"/>
      <c r="CZ279" s="1545">
        <f>10^(CJ279/20)*100-100</f>
        <v/>
      </c>
      <c r="DA279" s="1327">
        <f>IF('Tune-Up'!$H$21="","",'Tune-Up'!$H$21)</f>
        <v/>
      </c>
      <c r="DB279" s="703">
        <f>IF(COUNT($CO$267:$CO$274)=0,"N/A",IFERROR(INDEX($DB$267:$DB$274,MATCH(MAX($CO$267:$CO$274),$CO$267:$CO$274,0)),"N/A"))</f>
        <v/>
      </c>
      <c r="DC279" s="771">
        <f>IF(DA279="","",10^(DA279/10))</f>
        <v/>
      </c>
      <c r="DD279" s="1371">
        <f>IF(ISNUMBER(DB279)=FALSE,"N/A",10^(DB279/10))</f>
        <v/>
      </c>
      <c r="DE279" s="1545">
        <f>IF(AND(ISNUMBER(DC279),ISNUMBER(DD279)),IF(DC279/DD279&gt;1,ROUND((DC279)/DD279,3),1),1)</f>
        <v/>
      </c>
      <c r="DF279" s="1541"/>
      <c r="DG279" s="1541"/>
      <c r="DH279" s="1541"/>
      <c r="DI279" s="1541"/>
      <c r="DJ279" s="1541"/>
      <c r="DK279" s="1541"/>
      <c r="DL279" s="1541"/>
      <c r="DM279" s="1541"/>
      <c r="DN279" s="1541"/>
      <c r="DO279" s="1541"/>
      <c r="DP279" s="1541"/>
      <c r="DQ279" s="1541"/>
      <c r="DR279" s="1541"/>
    </row>
    <row r="280" ht="12.75" x14ac:dyDescent="0.2">
      <c r="A280" s="1541"/>
      <c r="B280" s="1541"/>
      <c r="C280"/>
      <c r="D280" s="130">
        <f>IF(BX$280="Close to Ear","EN 62209-1","EN 62209-2")</f>
        <v/>
      </c>
      <c r="E280" s="130">
        <f>IF(CG280="Close to Ear","2016","2010/A1:2019")</f>
        <v/>
      </c>
      <c r="F280" s="1488" t="inlineStr">
        <is>
          <t>5.1</t>
        </is>
      </c>
      <c r="G280" s="1497"/>
      <c r="H280" s="120">
        <f>BV280</f>
        <v/>
      </c>
      <c r="I280" s="120">
        <f>BW280</f>
        <v/>
      </c>
      <c r="J280" s="687" t="str">
        <f>BT280</f>
        <v>GSM</v>
      </c>
      <c r="K280" s="194">
        <f>BU280</f>
        <v>1800</v>
      </c>
      <c r="L280" s="115"/>
      <c r="M280" s="120">
        <f>BZ280</f>
        <v>0</v>
      </c>
      <c r="N280" s="119"/>
      <c r="O280" s="131"/>
      <c r="P280" s="6597"/>
      <c r="Q280" s="131"/>
      <c r="R280" s="131"/>
      <c r="S280" s="120">
        <f>CG280</f>
        <v>0</v>
      </c>
      <c r="T280" s="120">
        <f>CC280</f>
        <v>698</v>
      </c>
      <c r="U280" s="120">
        <f>CD280</f>
        <v>1747.4</v>
      </c>
      <c r="V280" s="119"/>
      <c r="W280" s="197">
        <f>CK280*100</f>
        <v/>
      </c>
      <c r="X280" s="119"/>
      <c r="Y280" s="119"/>
      <c r="Z280" s="119"/>
      <c r="AA280" s="115"/>
      <c r="AB280" s="115"/>
      <c r="AC280" s="689">
        <f>IF(OR(BX$280="Close to Ear",BX$280="Close to Head"),"Head",IF(BX$280="Extremity","Extremity","Body"))</f>
        <v/>
      </c>
      <c r="AD280" s="690">
        <f>CA280</f>
        <v/>
      </c>
      <c r="AE280" s="688">
        <f>CB280</f>
        <v/>
      </c>
      <c r="AF280" s="115"/>
      <c r="AG280" s="808">
        <f>IF(AZ280="","N/A",IF(CQ280="Pass","P","F"))</f>
        <v/>
      </c>
      <c r="AH280" s="129"/>
      <c r="AI280" s="129"/>
      <c r="AJ280" s="129"/>
      <c r="AK280" s="119"/>
      <c r="AL280" s="115"/>
      <c r="AM280" s="119"/>
      <c r="AN280" s="119"/>
      <c r="AO280" s="692"/>
      <c r="AP280" s="692"/>
      <c r="AQ280" s="692"/>
      <c r="AR280" s="692"/>
      <c r="AS280" s="692"/>
      <c r="AT280" s="691">
        <f>CE280</f>
        <v/>
      </c>
      <c r="AU280" s="691">
        <f>CF280</f>
        <v/>
      </c>
      <c r="AV280" s="813"/>
      <c r="AW280" s="813"/>
      <c r="AX280" s="197">
        <f>CZ280</f>
        <v/>
      </c>
      <c r="AY280" s="197">
        <f>DE280</f>
        <v/>
      </c>
      <c r="AZ280" s="3379">
        <f>CO280</f>
        <v/>
      </c>
      <c r="BA280" s="3380"/>
      <c r="BB280" s="197">
        <f>CP280</f>
        <v/>
      </c>
      <c r="BC280" s="813"/>
      <c r="BD280" s="197">
        <f>CR280</f>
        <v/>
      </c>
      <c r="BE280" s="121">
        <f>CS280</f>
        <v/>
      </c>
      <c r="BF280" s="122">
        <f>CT280*60</f>
        <v/>
      </c>
      <c r="BG280" s="121">
        <f>BE280</f>
        <v/>
      </c>
      <c r="BH280" s="122">
        <f>CU280*60</f>
        <v/>
      </c>
      <c r="BI280" s="122">
        <f>CV280</f>
        <v/>
      </c>
      <c r="BJ280" s="117"/>
      <c r="BK280" s="812">
        <f>Overview!$E$7</f>
        <v/>
      </c>
      <c r="BL280" s="117"/>
      <c r="BM280" s="836">
        <f>CW280</f>
        <v/>
      </c>
      <c r="BN280" s="812">
        <f>Overview!$P$153</f>
        <v/>
      </c>
      <c r="BO280" s="117"/>
      <c r="BP280" s="117"/>
      <c r="BQ280" s="115"/>
      <c r="BR280" s="1478" t="inlineStr">
        <is>
          <t>N/A</t>
        </is>
      </c>
      <c r="BS280" s="1548"/>
      <c r="BT280" s="2071" t="inlineStr">
        <is>
          <t>GSM</t>
        </is>
      </c>
      <c r="BU280" s="2071">
        <v>1800</v>
      </c>
      <c r="BV280" s="415">
        <f>Overview!$H$30</f>
        <v/>
      </c>
      <c r="BW280" s="2010"/>
      <c r="BX280" s="7675" t="inlineStr">
        <is>
          <t>Extremity</t>
        </is>
      </c>
      <c r="BY280" s="2072"/>
      <c r="BZ280" s="2072"/>
      <c r="CA280" s="1996" t="inlineStr">
        <is>
          <t>Front Face</t>
        </is>
      </c>
      <c r="CB280" s="200">
        <v>5</v>
      </c>
      <c r="CC280" s="856">
        <f>'2G-3G'!BX33</f>
        <v>698</v>
      </c>
      <c r="CD280" s="856">
        <f>'2G-3G'!BY33</f>
        <v>1747.4</v>
      </c>
      <c r="CE280" s="2051"/>
      <c r="CF280" s="2051"/>
      <c r="CG280" s="389" t="str">
        <f>IF(OR($BY$167="",$BY$167=""),"",$BY$167)</f>
        <v/>
      </c>
      <c r="CH280" s="389">
        <f>BZ280</f>
        <v/>
      </c>
      <c r="CI280" s="389">
        <f>CA280</f>
        <v/>
      </c>
      <c r="CJ280" s="2052"/>
      <c r="CK280" s="2070"/>
      <c r="CL280" s="203">
        <f>IF(CF280=""," ",IF(ABS(CE280-CF280)&lt;=0.25,"Valid","Not valid"))</f>
        <v/>
      </c>
      <c r="CM280" s="204">
        <f> IF(CE280="","",IF(AND(CE280&lt;&gt;"",CF280=""),IF(CE280&gt;=2,"Medir+Sig Max","No"),IF(CF280&lt;&gt;"",IF(CF280&gt;=2,"Medir+Sig Max","No"),"")))</f>
        <v/>
      </c>
      <c r="CN280" s="1798"/>
      <c r="CO280" s="222">
        <f>IF(CK280="",IF(AND(CE280="",CF280=""),"",IF(CF280="",IF(DE280&gt;1,ROUND(DE280*CE280,3),CE280),IF(DE280&gt;1,ROUND(DE280*CF280,3),CF280))),IF(AND(CE280="",CF280=""),"",IF(CF280="",IF(DE280&gt;1,ROUND(DE280*CE280*(1/(CK280)),3),CE280*(1/(CK280))),IF(DE280&gt;1,ROUND(DE280*CF280*(1/(CK280)),3),CF280*(1/(CK280))))))</f>
        <v/>
      </c>
      <c r="CP280" s="2053">
        <f>$CP$34</f>
        <v/>
      </c>
      <c r="CQ280" s="1474">
        <f>IF(CO280="","",IF(CO280&gt;CP280,"Fail","Pass"))</f>
        <v/>
      </c>
      <c r="CR280" s="1480">
        <f>IF(AND(MAX(CO280:CO287)=CO280,CO280&lt;&gt;0),COUNT($CR$3:CR274)+1,"")</f>
        <v/>
      </c>
      <c r="CS280" s="2054">
        <f>MyTimestamp(CO280)</f>
        <v/>
      </c>
      <c r="CT280" s="1537">
        <f>IF(CE280="",0,15)+IF(CF280="",0,15)</f>
        <v/>
      </c>
      <c r="CU280" s="1538">
        <f>IF(CT280=0,0,2)</f>
        <v/>
      </c>
      <c r="CV280" s="2055" t="inlineStr">
        <is>
          <t>S/02</t>
        </is>
      </c>
      <c r="CW280" s="2055" t="inlineStr">
        <is>
          <t>Dasy6</t>
        </is>
      </c>
      <c r="CX280" s="2038"/>
      <c r="CY280" s="2056"/>
      <c r="CZ280" s="1546">
        <f>10^(CJ280/20)*100-100</f>
        <v/>
      </c>
      <c r="DA280" s="1324">
        <f>IF('Tune-Up'!$H$21="","",'Tune-Up'!$H$21)</f>
        <v/>
      </c>
      <c r="DB280" s="700">
        <f>'2G-3G'!BZ33</f>
        <v/>
      </c>
      <c r="DC280" s="768">
        <f>IF(DA280="","",10^(DA280/10))</f>
        <v/>
      </c>
      <c r="DD280" s="1368">
        <f>IF(ISNUMBER(DB280)=FALSE,"",10^(DB280/10))</f>
        <v/>
      </c>
      <c r="DE280" s="1546">
        <f>IF(AND(ISNUMBER(DC280),ISNUMBER(DD280)),IF(DC280/DD280&gt;1,ROUND((DC280)/DD280,3),1),1)</f>
        <v/>
      </c>
      <c r="DF280" s="1541"/>
      <c r="DG280" s="1541"/>
      <c r="DH280" s="1541"/>
      <c r="DI280" s="1541"/>
      <c r="DJ280" s="1541"/>
      <c r="DK280" s="1541"/>
      <c r="DL280" s="1541"/>
      <c r="DM280" s="1541"/>
      <c r="DN280" s="1541"/>
      <c r="DO280" s="1541"/>
      <c r="DP280" s="1541"/>
      <c r="DQ280" s="1541"/>
      <c r="DR280" s="1541"/>
    </row>
    <row r="281" ht="12.75" x14ac:dyDescent="0.2">
      <c r="A281" s="1541"/>
      <c r="B281" s="1541"/>
      <c r="C281"/>
      <c r="D281" s="130">
        <f>IF(BX$280="Close to Ear","EN 62209-1","EN 62209-2")</f>
        <v/>
      </c>
      <c r="E281" s="130">
        <f>IF(CG281="Close to Ear","2016","2010/A1:2019")</f>
        <v/>
      </c>
      <c r="F281" s="1488" t="inlineStr">
        <is>
          <t>5.1</t>
        </is>
      </c>
      <c r="G281" s="1497"/>
      <c r="H281" s="120">
        <f>BV281</f>
        <v/>
      </c>
      <c r="I281" s="120">
        <f>BW281</f>
        <v/>
      </c>
      <c r="J281" s="687" t="str">
        <f>BT281</f>
        <v>GSM</v>
      </c>
      <c r="K281" s="194">
        <f>BU281</f>
        <v>1800</v>
      </c>
      <c r="L281" s="115"/>
      <c r="M281" s="120">
        <f>BZ281</f>
        <v>0</v>
      </c>
      <c r="N281" s="119"/>
      <c r="O281" s="131"/>
      <c r="P281" s="6597"/>
      <c r="Q281" s="131"/>
      <c r="R281" s="131"/>
      <c r="S281" s="120">
        <f>CG281</f>
        <v>0</v>
      </c>
      <c r="T281" s="120">
        <f>CC281</f>
        <v>698</v>
      </c>
      <c r="U281" s="120">
        <f>CD281</f>
        <v>1747.4</v>
      </c>
      <c r="V281" s="119"/>
      <c r="W281" s="197">
        <f>CK281*100</f>
        <v/>
      </c>
      <c r="X281" s="119"/>
      <c r="Y281" s="119"/>
      <c r="Z281" s="119"/>
      <c r="AA281" s="115"/>
      <c r="AB281" s="115"/>
      <c r="AC281" s="689">
        <f>IF(OR(BX$280="Close to Ear",BX$280="Close to Head"),"Head",IF(BX$280="Extremity","Extremity","Body"))</f>
        <v/>
      </c>
      <c r="AD281" s="690">
        <f>CA281</f>
        <v/>
      </c>
      <c r="AE281" s="688">
        <f>CB281</f>
        <v/>
      </c>
      <c r="AF281" s="115"/>
      <c r="AG281" s="808">
        <f>IF(AZ281="","N/A",IF(CQ281="Pass","P","F"))</f>
        <v/>
      </c>
      <c r="AH281" s="129"/>
      <c r="AI281" s="129"/>
      <c r="AJ281" s="129"/>
      <c r="AK281" s="119"/>
      <c r="AL281" s="115"/>
      <c r="AM281" s="119"/>
      <c r="AN281" s="119"/>
      <c r="AO281" s="692"/>
      <c r="AP281" s="692"/>
      <c r="AQ281" s="692"/>
      <c r="AR281" s="692"/>
      <c r="AS281" s="692"/>
      <c r="AT281" s="691">
        <f>CE281</f>
        <v/>
      </c>
      <c r="AU281" s="691">
        <f>CF281</f>
        <v/>
      </c>
      <c r="AV281" s="813"/>
      <c r="AW281" s="813"/>
      <c r="AX281" s="197">
        <f>CZ281</f>
        <v/>
      </c>
      <c r="AY281" s="197">
        <f>DE281</f>
        <v/>
      </c>
      <c r="AZ281" s="3379">
        <f>CO281</f>
        <v/>
      </c>
      <c r="BA281" s="3380"/>
      <c r="BB281" s="197">
        <f>CP281</f>
        <v/>
      </c>
      <c r="BC281" s="813"/>
      <c r="BD281" s="197">
        <f>CR281</f>
        <v/>
      </c>
      <c r="BE281" s="121">
        <f>CS281</f>
        <v/>
      </c>
      <c r="BF281" s="122">
        <f>CT281*60</f>
        <v/>
      </c>
      <c r="BG281" s="121">
        <f>BE281</f>
        <v/>
      </c>
      <c r="BH281" s="122">
        <f>CU281*60</f>
        <v/>
      </c>
      <c r="BI281" s="122">
        <f>CV281</f>
        <v/>
      </c>
      <c r="BJ281" s="117"/>
      <c r="BK281" s="812">
        <f>Overview!$E$7</f>
        <v/>
      </c>
      <c r="BL281" s="117"/>
      <c r="BM281" s="836">
        <f>CW281</f>
        <v/>
      </c>
      <c r="BN281" s="812">
        <f>Overview!$P$153</f>
        <v/>
      </c>
      <c r="BO281" s="117"/>
      <c r="BP281" s="117"/>
      <c r="BQ281" s="115"/>
      <c r="BR281" s="1478" t="inlineStr">
        <is>
          <t>N/A</t>
        </is>
      </c>
      <c r="BS281" s="1548"/>
      <c r="BT281" s="2071" t="inlineStr">
        <is>
          <t>GSM</t>
        </is>
      </c>
      <c r="BU281" s="2071">
        <v>1800</v>
      </c>
      <c r="BV281" s="415">
        <f>Overview!$H$30</f>
        <v/>
      </c>
      <c r="BW281" s="2010"/>
      <c r="BX281" s="2071"/>
      <c r="BY281" s="2072"/>
      <c r="BZ281" s="2072"/>
      <c r="CA281" s="1997" t="inlineStr">
        <is>
          <t>Back Face</t>
        </is>
      </c>
      <c r="CB281" s="200">
        <v>5</v>
      </c>
      <c r="CC281" s="902">
        <f>'2G-3G'!BX33</f>
        <v>698</v>
      </c>
      <c r="CD281" s="902">
        <f>'2G-3G'!BY33</f>
        <v>1747.4</v>
      </c>
      <c r="CE281" s="1523"/>
      <c r="CF281" s="1523"/>
      <c r="CG281" s="387" t="str">
        <f>IF(OR($BY$167="",$BY$167=""),"",$BY$167)</f>
        <v/>
      </c>
      <c r="CH281" s="387">
        <f>BZ281</f>
        <v/>
      </c>
      <c r="CI281" s="387">
        <f>CA281</f>
        <v/>
      </c>
      <c r="CJ281" s="1527"/>
      <c r="CK281" s="2042"/>
      <c r="CL281" s="206">
        <f>IF(CF281=""," ",IF(ABS(CE281-CF281)&lt;=0.25,"Valid","Not valid"))</f>
        <v/>
      </c>
      <c r="CM281" s="207">
        <f> IF(CE281="","",IF(AND(CE281&lt;&gt;"",CF281=""),IF(CE281&gt;=2,"Medir+Sig Max","No"),IF(CF281&lt;&gt;"",IF(CF281&gt;=2,"Medir+Sig Max","No"),"")))</f>
        <v/>
      </c>
      <c r="CN281" s="1787"/>
      <c r="CO281" s="220">
        <f>IF(CK281="",IF(AND(CE281="",CF281=""),"",IF(CF281="",IF(DE281&gt;1,ROUND(DE281*CE281,3),CE281),IF(DE281&gt;1,ROUND(DE281*CF281,3),CF281))),IF(AND(CE281="",CF281=""),"",IF(CF281="",IF(DE281&gt;1,ROUND(DE281*CE281*(1/(CK281)),3),CE281*(1/(CK281))),IF(DE281&gt;1,ROUND(DE281*CF281*(1/(CK281)),3),CF281*(1/(CK281))))))</f>
        <v/>
      </c>
      <c r="CP281" s="2043">
        <f>$CP$34</f>
        <v/>
      </c>
      <c r="CQ281" s="1472">
        <f>IF(CO281="","",IF(CO281&gt;CP281,"Fail","Pass"))</f>
        <v/>
      </c>
      <c r="CR281" s="1481">
        <f>IF(AND(MAX(CO280:CO287)=CO281,CO281&lt;&gt;0),COUNT($CR$3:CR280)+1,"")</f>
        <v/>
      </c>
      <c r="CS281" s="1565">
        <f>MyTimestamp(CO281)</f>
        <v/>
      </c>
      <c r="CT281" s="1531">
        <f>IF(CE281="",0,15)+IF(CF281="",0,15)</f>
        <v/>
      </c>
      <c r="CU281" s="1532">
        <f>IF(CT281=0,0,2)</f>
        <v/>
      </c>
      <c r="CV281" s="859" t="inlineStr">
        <is>
          <t>S/02</t>
        </is>
      </c>
      <c r="CW281" s="859" t="inlineStr">
        <is>
          <t>Dasy6</t>
        </is>
      </c>
      <c r="CX281" s="2038"/>
      <c r="CY281" s="2044"/>
      <c r="CZ281" s="1543">
        <f>10^(CJ281/20)*100-100</f>
        <v/>
      </c>
      <c r="DA281" s="1325">
        <f>IF('Tune-Up'!$H$21="","",'Tune-Up'!$H$21)</f>
        <v/>
      </c>
      <c r="DB281" s="701">
        <f>'2G-3G'!BZ33</f>
        <v/>
      </c>
      <c r="DC281" s="769">
        <f>IF(DA281="","",10^(DA281/10))</f>
        <v/>
      </c>
      <c r="DD281" s="1369">
        <f>IF(ISNUMBER(DB281)=FALSE,"",10^(DB281/10))</f>
        <v/>
      </c>
      <c r="DE281" s="1543">
        <f>IF(AND(ISNUMBER(DC281),ISNUMBER(DD281)),IF(DC281/DD281&gt;1,ROUND((DC281)/DD281,3),1),1)</f>
        <v/>
      </c>
      <c r="DF281" s="1541"/>
      <c r="DG281" s="1541"/>
      <c r="DH281" s="1541"/>
      <c r="DI281" s="1541"/>
      <c r="DJ281" s="1541"/>
      <c r="DK281" s="1541"/>
      <c r="DL281" s="1541"/>
      <c r="DM281" s="1541"/>
      <c r="DN281" s="1541"/>
      <c r="DO281" s="1541"/>
      <c r="DP281" s="1541"/>
      <c r="DQ281" s="1541"/>
      <c r="DR281" s="1541"/>
    </row>
    <row r="282" ht="12.75" x14ac:dyDescent="0.2">
      <c r="A282" s="1541"/>
      <c r="B282" s="1541"/>
      <c r="C282"/>
      <c r="D282" s="130">
        <f>IF(BX$280="Close to Ear","EN 62209-1","EN 62209-2")</f>
        <v/>
      </c>
      <c r="E282" s="130">
        <f>IF(CG282="Close to Ear","2016","2010/A1:2019")</f>
        <v/>
      </c>
      <c r="F282" s="1488" t="inlineStr">
        <is>
          <t>5.1</t>
        </is>
      </c>
      <c r="G282" s="1497"/>
      <c r="H282" s="120">
        <f>BV282</f>
        <v/>
      </c>
      <c r="I282" s="120">
        <f>BW282</f>
        <v/>
      </c>
      <c r="J282" s="687" t="str">
        <f>BT282</f>
        <v>GSM</v>
      </c>
      <c r="K282" s="194">
        <f>BU282</f>
        <v>1800</v>
      </c>
      <c r="L282" s="115"/>
      <c r="M282" s="120">
        <f>BZ282</f>
        <v>0</v>
      </c>
      <c r="N282" s="119"/>
      <c r="O282" s="131"/>
      <c r="P282" s="6597"/>
      <c r="Q282" s="131"/>
      <c r="R282" s="131"/>
      <c r="S282" s="120">
        <f>CG282</f>
        <v>0</v>
      </c>
      <c r="T282" s="120">
        <f>CC282</f>
        <v>698</v>
      </c>
      <c r="U282" s="120">
        <f>CD282</f>
        <v>1747.4</v>
      </c>
      <c r="V282" s="119"/>
      <c r="W282" s="197">
        <f>CK282*100</f>
        <v/>
      </c>
      <c r="X282" s="119"/>
      <c r="Y282" s="119"/>
      <c r="Z282" s="119"/>
      <c r="AA282" s="115"/>
      <c r="AB282" s="115"/>
      <c r="AC282" s="689">
        <f>IF(OR(BX$280="Close to Ear",BX$280="Close to Head"),"Head",IF(BX$280="Extremity","Extremity","Body"))</f>
        <v/>
      </c>
      <c r="AD282" s="690">
        <f>CA282</f>
        <v/>
      </c>
      <c r="AE282" s="688">
        <f>CB282</f>
        <v/>
      </c>
      <c r="AF282" s="115"/>
      <c r="AG282" s="808">
        <f>IF(AZ282="","N/A",IF(CQ282="Pass","P","F"))</f>
        <v/>
      </c>
      <c r="AH282" s="129"/>
      <c r="AI282" s="129"/>
      <c r="AJ282" s="129"/>
      <c r="AK282" s="119"/>
      <c r="AL282" s="115"/>
      <c r="AM282" s="119"/>
      <c r="AN282" s="119"/>
      <c r="AO282" s="692"/>
      <c r="AP282" s="692"/>
      <c r="AQ282" s="692"/>
      <c r="AR282" s="692"/>
      <c r="AS282" s="692"/>
      <c r="AT282" s="691">
        <f>CE282</f>
        <v/>
      </c>
      <c r="AU282" s="691">
        <f>CF282</f>
        <v/>
      </c>
      <c r="AV282" s="813"/>
      <c r="AW282" s="813"/>
      <c r="AX282" s="197">
        <f>CZ282</f>
        <v/>
      </c>
      <c r="AY282" s="197">
        <f>DE282</f>
        <v/>
      </c>
      <c r="AZ282" s="3379">
        <f>CO282</f>
        <v/>
      </c>
      <c r="BA282" s="3380"/>
      <c r="BB282" s="197">
        <f>CP282</f>
        <v/>
      </c>
      <c r="BC282" s="813"/>
      <c r="BD282" s="197">
        <f>CR282</f>
        <v/>
      </c>
      <c r="BE282" s="121">
        <f>CS282</f>
        <v/>
      </c>
      <c r="BF282" s="122">
        <f>CT282*60</f>
        <v/>
      </c>
      <c r="BG282" s="121">
        <f>BE282</f>
        <v/>
      </c>
      <c r="BH282" s="122">
        <f>CU282*60</f>
        <v/>
      </c>
      <c r="BI282" s="122">
        <f>CV282</f>
        <v/>
      </c>
      <c r="BJ282" s="117"/>
      <c r="BK282" s="812">
        <f>Overview!$E$7</f>
        <v/>
      </c>
      <c r="BL282" s="117"/>
      <c r="BM282" s="836">
        <f>CW282</f>
        <v/>
      </c>
      <c r="BN282" s="812">
        <f>Overview!$P$153</f>
        <v/>
      </c>
      <c r="BO282" s="117"/>
      <c r="BP282" s="117"/>
      <c r="BQ282" s="115"/>
      <c r="BR282" s="1478" t="inlineStr">
        <is>
          <t>N/A</t>
        </is>
      </c>
      <c r="BS282" s="1548"/>
      <c r="BT282" s="2071" t="inlineStr">
        <is>
          <t>GSM</t>
        </is>
      </c>
      <c r="BU282" s="2071">
        <v>1800</v>
      </c>
      <c r="BV282" s="415">
        <f>Overview!$H$30</f>
        <v/>
      </c>
      <c r="BW282" s="2010"/>
      <c r="BX282" s="2071"/>
      <c r="BY282" s="2072"/>
      <c r="BZ282" s="2072"/>
      <c r="CA282" s="1997" t="inlineStr">
        <is>
          <t>Left Edge</t>
        </is>
      </c>
      <c r="CB282" s="200">
        <v>5</v>
      </c>
      <c r="CC282" s="902">
        <f>'2G-3G'!BX33</f>
        <v>698</v>
      </c>
      <c r="CD282" s="902">
        <f>'2G-3G'!BY33</f>
        <v>1747.4</v>
      </c>
      <c r="CE282" s="1523"/>
      <c r="CF282" s="1523"/>
      <c r="CG282" s="387" t="str">
        <f>IF(OR($BY$167="",$BY$167=""),"",$BY$167)</f>
        <v/>
      </c>
      <c r="CH282" s="387">
        <f>BZ282</f>
        <v/>
      </c>
      <c r="CI282" s="387">
        <f>CA282</f>
        <v/>
      </c>
      <c r="CJ282" s="1527"/>
      <c r="CK282" s="2042"/>
      <c r="CL282" s="206">
        <f>IF(CF282=""," ",IF(ABS(CE282-CF282)&lt;=0.25,"Valid","Not valid"))</f>
        <v/>
      </c>
      <c r="CM282" s="207">
        <f> IF(CE282="","",IF(AND(CE282&lt;&gt;"",CF282=""),IF(CE282&gt;=2,"Medir+Sig Max","No"),IF(CF282&lt;&gt;"",IF(CF282&gt;=2,"Medir+Sig Max","No"),"")))</f>
        <v/>
      </c>
      <c r="CN282" s="1787"/>
      <c r="CO282" s="220">
        <f>IF(CK282="",IF(AND(CE282="",CF282=""),"",IF(CF282="",IF(DE282&gt;1,ROUND(DE282*CE282,3),CE282),IF(DE282&gt;1,ROUND(DE282*CF282,3),CF282))),IF(AND(CE282="",CF282=""),"",IF(CF282="",IF(DE282&gt;1,ROUND(DE282*CE282*(1/(CK282)),3),CE282*(1/(CK282))),IF(DE282&gt;1,ROUND(DE282*CF282*(1/(CK282)),3),CF282*(1/(CK282))))))</f>
        <v/>
      </c>
      <c r="CP282" s="2043">
        <f>$CP$34</f>
        <v/>
      </c>
      <c r="CQ282" s="1472">
        <f>IF(CO282="","",IF(CO282&gt;CP282,"Fail","Pass"))</f>
        <v/>
      </c>
      <c r="CR282" s="1481">
        <f>IF(AND(MAX(CO280:CO287)=CO282,CO282&lt;&gt;0),COUNT($CR$3:CR281)+1,"")</f>
        <v/>
      </c>
      <c r="CS282" s="1565">
        <f>MyTimestamp(CO282)</f>
        <v/>
      </c>
      <c r="CT282" s="1531">
        <f>IF(CE282="",0,15)+IF(CF282="",0,15)</f>
        <v/>
      </c>
      <c r="CU282" s="1532">
        <f>IF(CT282=0,0,2)</f>
        <v/>
      </c>
      <c r="CV282" s="859" t="inlineStr">
        <is>
          <t>S/02</t>
        </is>
      </c>
      <c r="CW282" s="859" t="inlineStr">
        <is>
          <t>Dasy6</t>
        </is>
      </c>
      <c r="CX282" s="2038"/>
      <c r="CY282" s="2044"/>
      <c r="CZ282" s="1543">
        <f>10^(CJ282/20)*100-100</f>
        <v/>
      </c>
      <c r="DA282" s="1325">
        <f>IF('Tune-Up'!$H$21="","",'Tune-Up'!$H$21)</f>
        <v/>
      </c>
      <c r="DB282" s="701">
        <f>'2G-3G'!BZ33</f>
        <v/>
      </c>
      <c r="DC282" s="769">
        <f>IF(DA282="","",10^(DA282/10))</f>
        <v/>
      </c>
      <c r="DD282" s="1369">
        <f>IF(ISNUMBER(DB282)=FALSE,"",10^(DB282/10))</f>
        <v/>
      </c>
      <c r="DE282" s="1543">
        <f>IF(AND(ISNUMBER(DC282),ISNUMBER(DD282)),IF(DC282/DD282&gt;1,ROUND((DC282)/DD282,3),1),1)</f>
        <v/>
      </c>
      <c r="DF282" s="1541"/>
      <c r="DG282" s="1541"/>
      <c r="DH282" s="1541"/>
      <c r="DI282" s="1541"/>
      <c r="DJ282" s="1541"/>
      <c r="DK282" s="1541"/>
      <c r="DL282" s="1541"/>
      <c r="DM282" s="1541"/>
      <c r="DN282" s="1541"/>
      <c r="DO282" s="1541"/>
      <c r="DP282" s="1541"/>
      <c r="DQ282" s="1541"/>
      <c r="DR282" s="1541"/>
    </row>
    <row r="283" ht="12.75" x14ac:dyDescent="0.2">
      <c r="A283" s="1541"/>
      <c r="B283" s="1541"/>
      <c r="C283"/>
      <c r="D283" s="130">
        <f>IF(BX$280="Close to Ear","EN 62209-1","EN 62209-2")</f>
        <v/>
      </c>
      <c r="E283" s="130">
        <f>IF(CG283="Close to Ear","2016","2010/A1:2019")</f>
        <v/>
      </c>
      <c r="F283" s="1488" t="inlineStr">
        <is>
          <t>5.1</t>
        </is>
      </c>
      <c r="G283" s="1497"/>
      <c r="H283" s="120">
        <f>BV283</f>
        <v/>
      </c>
      <c r="I283" s="120">
        <f>BW283</f>
        <v/>
      </c>
      <c r="J283" s="687" t="str">
        <f>BT283</f>
        <v>GSM</v>
      </c>
      <c r="K283" s="194">
        <f>BU283</f>
        <v>1800</v>
      </c>
      <c r="L283" s="115"/>
      <c r="M283" s="120">
        <f>BZ283</f>
        <v>0</v>
      </c>
      <c r="N283" s="119"/>
      <c r="O283" s="131"/>
      <c r="P283" s="6597"/>
      <c r="Q283" s="131"/>
      <c r="R283" s="131"/>
      <c r="S283" s="120">
        <f>CG283</f>
        <v>0</v>
      </c>
      <c r="T283" s="120">
        <f>CC283</f>
        <v>698</v>
      </c>
      <c r="U283" s="120">
        <f>CD283</f>
        <v>1747.4</v>
      </c>
      <c r="V283" s="119"/>
      <c r="W283" s="197">
        <f>CK283*100</f>
        <v/>
      </c>
      <c r="X283" s="119"/>
      <c r="Y283" s="119"/>
      <c r="Z283" s="119"/>
      <c r="AA283" s="115"/>
      <c r="AB283" s="115"/>
      <c r="AC283" s="689">
        <f>IF(OR(BX$280="Close to Ear",BX$280="Close to Head"),"Head",IF(BX$280="Extremity","Extremity","Body"))</f>
        <v/>
      </c>
      <c r="AD283" s="690">
        <f>CA283</f>
        <v/>
      </c>
      <c r="AE283" s="688">
        <f>CB283</f>
        <v/>
      </c>
      <c r="AF283" s="115"/>
      <c r="AG283" s="808">
        <f>IF(AZ283="","N/A",IF(CQ283="Pass","P","F"))</f>
        <v/>
      </c>
      <c r="AH283" s="129"/>
      <c r="AI283" s="129"/>
      <c r="AJ283" s="129"/>
      <c r="AK283" s="119"/>
      <c r="AL283" s="115"/>
      <c r="AM283" s="119"/>
      <c r="AN283" s="119"/>
      <c r="AO283" s="692"/>
      <c r="AP283" s="692"/>
      <c r="AQ283" s="692"/>
      <c r="AR283" s="692"/>
      <c r="AS283" s="692"/>
      <c r="AT283" s="691">
        <f>CE283</f>
        <v/>
      </c>
      <c r="AU283" s="691">
        <f>CF283</f>
        <v/>
      </c>
      <c r="AV283" s="813"/>
      <c r="AW283" s="813"/>
      <c r="AX283" s="197">
        <f>CZ283</f>
        <v/>
      </c>
      <c r="AY283" s="197">
        <f>DE283</f>
        <v/>
      </c>
      <c r="AZ283" s="3379">
        <f>CO283</f>
        <v/>
      </c>
      <c r="BA283" s="3380"/>
      <c r="BB283" s="197">
        <f>CP283</f>
        <v/>
      </c>
      <c r="BC283" s="813"/>
      <c r="BD283" s="197">
        <f>CR283</f>
        <v/>
      </c>
      <c r="BE283" s="121">
        <f>CS283</f>
        <v/>
      </c>
      <c r="BF283" s="122">
        <f>CT283*60</f>
        <v/>
      </c>
      <c r="BG283" s="121">
        <f>BE283</f>
        <v/>
      </c>
      <c r="BH283" s="122">
        <f>CU283*60</f>
        <v/>
      </c>
      <c r="BI283" s="122">
        <f>CV283</f>
        <v/>
      </c>
      <c r="BJ283" s="117"/>
      <c r="BK283" s="812">
        <f>Overview!$E$7</f>
        <v/>
      </c>
      <c r="BL283" s="117"/>
      <c r="BM283" s="836">
        <f>CW283</f>
        <v/>
      </c>
      <c r="BN283" s="812">
        <f>Overview!$P$153</f>
        <v/>
      </c>
      <c r="BO283" s="117"/>
      <c r="BP283" s="117"/>
      <c r="BQ283" s="115"/>
      <c r="BR283" s="1478" t="inlineStr">
        <is>
          <t>N/A</t>
        </is>
      </c>
      <c r="BS283" s="1548"/>
      <c r="BT283" s="1891" t="inlineStr">
        <is>
          <t>GSM</t>
        </is>
      </c>
      <c r="BU283" s="1891">
        <v>1800</v>
      </c>
      <c r="BV283" s="417">
        <f>Overview!$H$30</f>
        <v/>
      </c>
      <c r="BW283" s="2010"/>
      <c r="BX283" s="1891"/>
      <c r="BY283" s="2072"/>
      <c r="BZ283" s="2072"/>
      <c r="CA283" s="1997" t="inlineStr">
        <is>
          <t>Right Edge</t>
        </is>
      </c>
      <c r="CB283" s="200">
        <v>5</v>
      </c>
      <c r="CC283" s="902">
        <f>'2G-3G'!BX33</f>
        <v>698</v>
      </c>
      <c r="CD283" s="902">
        <f>'2G-3G'!BY33</f>
        <v>1747.4</v>
      </c>
      <c r="CE283" s="1523"/>
      <c r="CF283" s="1523"/>
      <c r="CG283" s="387" t="str">
        <f>IF(OR($BY$167="",$BY$167=""),"",$BY$167)</f>
        <v/>
      </c>
      <c r="CH283" s="387">
        <f>BZ283</f>
        <v/>
      </c>
      <c r="CI283" s="387">
        <f>CA283</f>
        <v/>
      </c>
      <c r="CJ283" s="1527"/>
      <c r="CK283" s="2042"/>
      <c r="CL283" s="206">
        <f>IF(CF283=""," ",IF(ABS(CE283-CF283)&lt;=0.25,"Valid","Not valid"))</f>
        <v/>
      </c>
      <c r="CM283" s="207">
        <f> IF(CE283="","",IF(AND(CE283&lt;&gt;"",CF283=""),IF(CE283&gt;=2,"Medir+Sig Max","No"),IF(CF283&lt;&gt;"",IF(CF283&gt;=2,"Medir+Sig Max","No"),"")))</f>
        <v/>
      </c>
      <c r="CN283" s="1787"/>
      <c r="CO283" s="220">
        <f>IF(CK283="",IF(AND(CE283="",CF283=""),"",IF(CF283="",IF(DE283&gt;1,ROUND(DE283*CE283,3),CE283),IF(DE283&gt;1,ROUND(DE283*CF283,3),CF283))),IF(AND(CE283="",CF283=""),"",IF(CF283="",IF(DE283&gt;1,ROUND(DE283*CE283*(1/(CK283)),3),CE283*(1/(CK283))),IF(DE283&gt;1,ROUND(DE283*CF283*(1/(CK283)),3),CF283*(1/(CK283))))))</f>
        <v/>
      </c>
      <c r="CP283" s="2043">
        <f>$CP$34</f>
        <v/>
      </c>
      <c r="CQ283" s="1472">
        <f>IF(CO283="","",IF(CO283&gt;CP283,"Fail","Pass"))</f>
        <v/>
      </c>
      <c r="CR283" s="1481">
        <f>IF(AND(MAX(CO280:CO287)=CO283,CO283&lt;&gt;0),COUNT($CR$3:CR282)+1,"")</f>
        <v/>
      </c>
      <c r="CS283" s="1565">
        <f>MyTimestamp(CO283)</f>
        <v/>
      </c>
      <c r="CT283" s="1531">
        <f>IF(CE283="",0,15)+IF(CF283="",0,15)</f>
        <v/>
      </c>
      <c r="CU283" s="1532">
        <f>IF(CT283=0,0,2)</f>
        <v/>
      </c>
      <c r="CV283" s="859" t="inlineStr">
        <is>
          <t>S/02</t>
        </is>
      </c>
      <c r="CW283" s="859" t="inlineStr">
        <is>
          <t>Dasy6</t>
        </is>
      </c>
      <c r="CX283" s="2038"/>
      <c r="CY283" s="2044"/>
      <c r="CZ283" s="1543">
        <f>10^(CJ283/20)*100-100</f>
        <v/>
      </c>
      <c r="DA283" s="1325">
        <f>IF('Tune-Up'!$H$21="","",'Tune-Up'!$H$21)</f>
        <v/>
      </c>
      <c r="DB283" s="701">
        <f>'2G-3G'!BZ33</f>
        <v/>
      </c>
      <c r="DC283" s="769">
        <f>IF(DA283="","",10^(DA283/10))</f>
        <v/>
      </c>
      <c r="DD283" s="1369">
        <f>IF(ISNUMBER(DB283)=FALSE,"",10^(DB283/10))</f>
        <v/>
      </c>
      <c r="DE283" s="1543">
        <f>IF(AND(ISNUMBER(DC283),ISNUMBER(DD283)),IF(DC283/DD283&gt;1,ROUND((DC283)/DD283,3),1),1)</f>
        <v/>
      </c>
      <c r="DF283" s="1541"/>
      <c r="DG283" s="1541"/>
      <c r="DH283" s="1541"/>
      <c r="DI283" s="1541"/>
      <c r="DJ283" s="1541"/>
      <c r="DK283" s="1541"/>
      <c r="DL283" s="1541"/>
      <c r="DM283" s="1541"/>
      <c r="DN283" s="1541"/>
      <c r="DO283" s="1541"/>
      <c r="DP283" s="1541"/>
      <c r="DQ283" s="1541"/>
      <c r="DR283" s="1541"/>
    </row>
    <row r="284" ht="12.75" x14ac:dyDescent="0.2">
      <c r="A284" s="1541"/>
      <c r="B284" s="1541"/>
      <c r="C284"/>
      <c r="D284" s="130">
        <f>IF(BX$280="Close to Ear","EN 62209-1","EN 62209-2")</f>
        <v/>
      </c>
      <c r="E284" s="130">
        <f>IF(CG284="Close to Ear","2016","2010/A1:2019")</f>
        <v/>
      </c>
      <c r="F284" s="1488" t="inlineStr">
        <is>
          <t>5.1</t>
        </is>
      </c>
      <c r="G284" s="1497"/>
      <c r="H284" s="120">
        <f>BV284</f>
        <v/>
      </c>
      <c r="I284" s="120">
        <f>BW284</f>
        <v/>
      </c>
      <c r="J284" s="687" t="str">
        <f>BT284</f>
        <v>GSM</v>
      </c>
      <c r="K284" s="194">
        <f>BU284</f>
        <v>1800</v>
      </c>
      <c r="L284" s="115"/>
      <c r="M284" s="120">
        <f>BZ284</f>
        <v>0</v>
      </c>
      <c r="N284" s="119"/>
      <c r="O284" s="131"/>
      <c r="P284" s="6597"/>
      <c r="Q284" s="131"/>
      <c r="R284" s="131"/>
      <c r="S284" s="120">
        <f>CG284</f>
        <v>0</v>
      </c>
      <c r="T284" s="120">
        <f>CC284</f>
        <v>698</v>
      </c>
      <c r="U284" s="120">
        <f>CD284</f>
        <v>1747.4</v>
      </c>
      <c r="V284" s="119"/>
      <c r="W284" s="197">
        <f>CK284*100</f>
        <v/>
      </c>
      <c r="X284" s="119"/>
      <c r="Y284" s="119"/>
      <c r="Z284" s="119"/>
      <c r="AA284" s="115"/>
      <c r="AB284" s="115"/>
      <c r="AC284" s="689">
        <f>IF(OR(BX$280="Close to Ear",BX$280="Close to Head"),"Head",IF(BX$280="Extremity","Extremity","Body"))</f>
        <v/>
      </c>
      <c r="AD284" s="690">
        <f>CA284</f>
        <v/>
      </c>
      <c r="AE284" s="688">
        <f>CB284</f>
        <v/>
      </c>
      <c r="AF284" s="115"/>
      <c r="AG284" s="808">
        <f>IF(AZ284="","N/A",IF(CQ284="Pass","P","F"))</f>
        <v/>
      </c>
      <c r="AH284" s="129"/>
      <c r="AI284" s="129"/>
      <c r="AJ284" s="129"/>
      <c r="AK284" s="119"/>
      <c r="AL284" s="115"/>
      <c r="AM284" s="119"/>
      <c r="AN284" s="119"/>
      <c r="AO284" s="692"/>
      <c r="AP284" s="692"/>
      <c r="AQ284" s="692"/>
      <c r="AR284" s="692"/>
      <c r="AS284" s="692"/>
      <c r="AT284" s="691">
        <f>CE284</f>
        <v/>
      </c>
      <c r="AU284" s="691">
        <f>CF284</f>
        <v/>
      </c>
      <c r="AV284" s="813"/>
      <c r="AW284" s="813"/>
      <c r="AX284" s="197">
        <f>CZ284</f>
        <v/>
      </c>
      <c r="AY284" s="197">
        <f>DE284</f>
        <v/>
      </c>
      <c r="AZ284" s="3379">
        <f>CO284</f>
        <v/>
      </c>
      <c r="BA284" s="3380"/>
      <c r="BB284" s="197">
        <f>CP284</f>
        <v/>
      </c>
      <c r="BC284" s="813"/>
      <c r="BD284" s="197">
        <f>CR284</f>
        <v/>
      </c>
      <c r="BE284" s="121">
        <f>CS284</f>
        <v/>
      </c>
      <c r="BF284" s="122">
        <f>CT284*60</f>
        <v/>
      </c>
      <c r="BG284" s="121">
        <f>BE284</f>
        <v/>
      </c>
      <c r="BH284" s="122">
        <f>CU284*60</f>
        <v/>
      </c>
      <c r="BI284" s="122">
        <f>CV284</f>
        <v/>
      </c>
      <c r="BJ284" s="117"/>
      <c r="BK284" s="812">
        <f>Overview!$E$7</f>
        <v/>
      </c>
      <c r="BL284" s="117"/>
      <c r="BM284" s="836">
        <f>CW284</f>
        <v/>
      </c>
      <c r="BN284" s="812">
        <f>Overview!$P$153</f>
        <v/>
      </c>
      <c r="BO284" s="117"/>
      <c r="BP284" s="117"/>
      <c r="BQ284" s="115"/>
      <c r="BR284" s="1478" t="inlineStr">
        <is>
          <t>N/A</t>
        </is>
      </c>
      <c r="BS284" s="1548"/>
      <c r="BT284" s="2071" t="inlineStr">
        <is>
          <t>GSM</t>
        </is>
      </c>
      <c r="BU284" s="2071">
        <v>1800</v>
      </c>
      <c r="BV284" s="415">
        <f>Overview!$H$30</f>
        <v/>
      </c>
      <c r="BW284" s="2010"/>
      <c r="BX284" s="2071"/>
      <c r="BY284" s="2072"/>
      <c r="BZ284" s="2072"/>
      <c r="CA284" s="1997" t="inlineStr">
        <is>
          <t>Top Edge</t>
        </is>
      </c>
      <c r="CB284" s="200">
        <v>5</v>
      </c>
      <c r="CC284" s="902">
        <f>'2G-3G'!BX33</f>
        <v>698</v>
      </c>
      <c r="CD284" s="902">
        <f>'2G-3G'!BY33</f>
        <v>1747.4</v>
      </c>
      <c r="CE284" s="1523"/>
      <c r="CF284" s="1523"/>
      <c r="CG284" s="387" t="str">
        <f>IF(OR($BY$167="",$BY$167=""),"",$BY$167)</f>
        <v/>
      </c>
      <c r="CH284" s="387">
        <f>BZ284</f>
        <v/>
      </c>
      <c r="CI284" s="387">
        <f>CA284</f>
        <v/>
      </c>
      <c r="CJ284" s="1527"/>
      <c r="CK284" s="2042"/>
      <c r="CL284" s="206">
        <f>IF(CF284=""," ",IF(ABS(CE284-CF284)&lt;=0.25,"Valid","Not valid"))</f>
        <v/>
      </c>
      <c r="CM284" s="207">
        <f> IF(CE284="","",IF(AND(CE284&lt;&gt;"",CF284=""),IF(CE284&gt;=2,"Medir+Sig Max","No"),IF(CF284&lt;&gt;"",IF(CF284&gt;=2,"Medir+Sig Max","No"),"")))</f>
        <v/>
      </c>
      <c r="CN284" s="1787"/>
      <c r="CO284" s="220">
        <f>IF(CK284="",IF(AND(CE284="",CF284=""),"",IF(CF284="",IF(DE284&gt;1,ROUND(DE284*CE284,3),CE284),IF(DE284&gt;1,ROUND(DE284*CF284,3),CF284))),IF(AND(CE284="",CF284=""),"",IF(CF284="",IF(DE284&gt;1,ROUND(DE284*CE284*(1/(CK284)),3),CE284*(1/(CK284))),IF(DE284&gt;1,ROUND(DE284*CF284*(1/(CK284)),3),CF284*(1/(CK284))))))</f>
        <v/>
      </c>
      <c r="CP284" s="2043">
        <f>$CP$34</f>
        <v/>
      </c>
      <c r="CQ284" s="1472">
        <f>IF(CO284="","",IF(CO284&gt;CP284,"Fail","Pass"))</f>
        <v/>
      </c>
      <c r="CR284" s="1481">
        <f>IF(AND(MAX(CO280:CO287)=CO284,CO284&lt;&gt;0),COUNT($CR$3:CR283)+1,"")</f>
        <v/>
      </c>
      <c r="CS284" s="1565">
        <f>MyTimestamp(CO284)</f>
        <v/>
      </c>
      <c r="CT284" s="1531">
        <f>IF(CE284="",0,15)+IF(CF284="",0,15)</f>
        <v/>
      </c>
      <c r="CU284" s="1532">
        <f>IF(CT284=0,0,2)</f>
        <v/>
      </c>
      <c r="CV284" s="859" t="inlineStr">
        <is>
          <t>S/02</t>
        </is>
      </c>
      <c r="CW284" s="859" t="inlineStr">
        <is>
          <t>Dasy6</t>
        </is>
      </c>
      <c r="CX284" s="2038"/>
      <c r="CY284" s="2044"/>
      <c r="CZ284" s="1543">
        <f>10^(CJ284/20)*100-100</f>
        <v/>
      </c>
      <c r="DA284" s="1325">
        <f>IF('Tune-Up'!$H$21="","",'Tune-Up'!$H$21)</f>
        <v/>
      </c>
      <c r="DB284" s="701">
        <f>'2G-3G'!BZ33</f>
        <v/>
      </c>
      <c r="DC284" s="769">
        <f>IF(DA284="","",10^(DA284/10))</f>
        <v/>
      </c>
      <c r="DD284" s="1369">
        <f>IF(ISNUMBER(DB284)=FALSE,"",10^(DB284/10))</f>
        <v/>
      </c>
      <c r="DE284" s="1543">
        <f>IF(AND(ISNUMBER(DC284),ISNUMBER(DD284)),IF(DC284/DD284&gt;1,ROUND((DC284)/DD284,3),1),1)</f>
        <v/>
      </c>
      <c r="DF284" s="1541"/>
      <c r="DG284" s="1541"/>
      <c r="DH284" s="1541"/>
      <c r="DI284" s="1541"/>
      <c r="DJ284" s="1541"/>
      <c r="DK284" s="1541"/>
      <c r="DL284" s="1541"/>
      <c r="DM284" s="1541"/>
      <c r="DN284" s="1541"/>
      <c r="DO284" s="1541"/>
      <c r="DP284" s="1541"/>
      <c r="DQ284" s="1541"/>
      <c r="DR284" s="1541"/>
    </row>
    <row r="285" ht="12.75" x14ac:dyDescent="0.2">
      <c r="A285" s="1541"/>
      <c r="B285" s="1541"/>
      <c r="C285"/>
      <c r="D285" s="130">
        <f>IF(BX$280="Close to Ear","EN 62209-1","EN 62209-2")</f>
        <v/>
      </c>
      <c r="E285" s="130">
        <f>IF(CG285="Close to Ear","2016","2010/A1:2019")</f>
        <v/>
      </c>
      <c r="F285" s="1488" t="inlineStr">
        <is>
          <t>5.1</t>
        </is>
      </c>
      <c r="G285" s="1497"/>
      <c r="H285" s="120">
        <f>BV285</f>
        <v/>
      </c>
      <c r="I285" s="120">
        <f>BW285</f>
        <v/>
      </c>
      <c r="J285" s="687" t="str">
        <f>BT285</f>
        <v>GSM</v>
      </c>
      <c r="K285" s="194">
        <f>BU285</f>
        <v>1800</v>
      </c>
      <c r="L285" s="115"/>
      <c r="M285" s="120">
        <f>BZ285</f>
        <v>0</v>
      </c>
      <c r="N285" s="119"/>
      <c r="O285" s="131"/>
      <c r="P285" s="6597"/>
      <c r="Q285" s="131"/>
      <c r="R285" s="131"/>
      <c r="S285" s="120">
        <f>CG285</f>
        <v>0</v>
      </c>
      <c r="T285" s="120">
        <f>CC285</f>
        <v>698</v>
      </c>
      <c r="U285" s="120">
        <f>CD285</f>
        <v>1747.4</v>
      </c>
      <c r="V285" s="119"/>
      <c r="W285" s="197">
        <f>CK285*100</f>
        <v/>
      </c>
      <c r="X285" s="119"/>
      <c r="Y285" s="119"/>
      <c r="Z285" s="119"/>
      <c r="AA285" s="115"/>
      <c r="AB285" s="115"/>
      <c r="AC285" s="689">
        <f>IF(OR(BX$280="Close to Ear",BX$280="Close to Head"),"Head",IF(BX$280="Extremity","Extremity","Body"))</f>
        <v/>
      </c>
      <c r="AD285" s="690">
        <f>CA285</f>
        <v/>
      </c>
      <c r="AE285" s="688">
        <f>CB285</f>
        <v/>
      </c>
      <c r="AF285" s="115"/>
      <c r="AG285" s="808">
        <f>IF(AZ285="","N/A",IF(CQ285="Pass","P","F"))</f>
        <v/>
      </c>
      <c r="AH285" s="129"/>
      <c r="AI285" s="129"/>
      <c r="AJ285" s="129"/>
      <c r="AK285" s="119"/>
      <c r="AL285" s="115"/>
      <c r="AM285" s="119"/>
      <c r="AN285" s="119"/>
      <c r="AO285" s="692"/>
      <c r="AP285" s="692"/>
      <c r="AQ285" s="692"/>
      <c r="AR285" s="692"/>
      <c r="AS285" s="692"/>
      <c r="AT285" s="691">
        <f>CE285</f>
        <v/>
      </c>
      <c r="AU285" s="691">
        <f>CF285</f>
        <v/>
      </c>
      <c r="AV285" s="813"/>
      <c r="AW285" s="813"/>
      <c r="AX285" s="197">
        <f>CZ285</f>
        <v/>
      </c>
      <c r="AY285" s="197">
        <f>DE285</f>
        <v/>
      </c>
      <c r="AZ285" s="3379">
        <f>CO285</f>
        <v/>
      </c>
      <c r="BA285" s="3380"/>
      <c r="BB285" s="197">
        <f>CP285</f>
        <v/>
      </c>
      <c r="BC285" s="813"/>
      <c r="BD285" s="197">
        <f>CR285</f>
        <v/>
      </c>
      <c r="BE285" s="121">
        <f>CS285</f>
        <v/>
      </c>
      <c r="BF285" s="122">
        <f>CT285*60</f>
        <v/>
      </c>
      <c r="BG285" s="121">
        <f>BE285</f>
        <v/>
      </c>
      <c r="BH285" s="122">
        <f>CU285*60</f>
        <v/>
      </c>
      <c r="BI285" s="122">
        <f>CV285</f>
        <v/>
      </c>
      <c r="BJ285" s="117"/>
      <c r="BK285" s="812">
        <f>Overview!$E$7</f>
        <v/>
      </c>
      <c r="BL285" s="117"/>
      <c r="BM285" s="836">
        <f>CW285</f>
        <v/>
      </c>
      <c r="BN285" s="812">
        <f>Overview!$P$153</f>
        <v/>
      </c>
      <c r="BO285" s="117"/>
      <c r="BP285" s="117"/>
      <c r="BQ285" s="115"/>
      <c r="BR285" s="1478" t="inlineStr">
        <is>
          <t>N/A</t>
        </is>
      </c>
      <c r="BS285" s="1548"/>
      <c r="BT285" s="2071" t="inlineStr">
        <is>
          <t>GSM</t>
        </is>
      </c>
      <c r="BU285" s="2071">
        <v>1800</v>
      </c>
      <c r="BV285" s="415">
        <f>Overview!$H$30</f>
        <v/>
      </c>
      <c r="BW285" s="2010"/>
      <c r="BX285" s="2071"/>
      <c r="BY285" s="2072"/>
      <c r="BZ285" s="2072"/>
      <c r="CA285" s="1997" t="inlineStr">
        <is>
          <t>Bottom Edge</t>
        </is>
      </c>
      <c r="CB285" s="200">
        <v>5</v>
      </c>
      <c r="CC285" s="902">
        <f>'2G-3G'!BX33</f>
        <v>698</v>
      </c>
      <c r="CD285" s="902">
        <f>'2G-3G'!BY33</f>
        <v>1747.4</v>
      </c>
      <c r="CE285" s="1523"/>
      <c r="CF285" s="1523"/>
      <c r="CG285" s="387" t="str">
        <f>IF(OR($BY$167="",$BY$167=""),"",$BY$167)</f>
        <v/>
      </c>
      <c r="CH285" s="387">
        <f>BZ285</f>
        <v/>
      </c>
      <c r="CI285" s="387">
        <f>CA285</f>
        <v/>
      </c>
      <c r="CJ285" s="1527"/>
      <c r="CK285" s="2042"/>
      <c r="CL285" s="206">
        <f>IF(CF285=""," ",IF(ABS(CE285-CF285)&lt;=0.25,"Valid","Not valid"))</f>
        <v/>
      </c>
      <c r="CM285" s="207">
        <f> IF(CE285="","",IF(AND(CE285&lt;&gt;"",CF285=""),IF(CE285&gt;=2,"Medir+Sig Max","No"),IF(CF285&lt;&gt;"",IF(CF285&gt;=2,"Medir+Sig Max","No"),"")))</f>
        <v/>
      </c>
      <c r="CN285" s="1787"/>
      <c r="CO285" s="220">
        <f>IF(CK285="",IF(AND(CE285="",CF285=""),"",IF(CF285="",IF(DE285&gt;1,ROUND(DE285*CE285,3),CE285),IF(DE285&gt;1,ROUND(DE285*CF285,3),CF285))),IF(AND(CE285="",CF285=""),"",IF(CF285="",IF(DE285&gt;1,ROUND(DE285*CE285*(1/(CK285)),3),CE285*(1/(CK285))),IF(DE285&gt;1,ROUND(DE285*CF285*(1/(CK285)),3),CF285*(1/(CK285))))))</f>
        <v/>
      </c>
      <c r="CP285" s="2043">
        <f>$CP$34</f>
        <v/>
      </c>
      <c r="CQ285" s="1472">
        <f>IF(CO285="","",IF(CO285&gt;CP285,"Fail","Pass"))</f>
        <v/>
      </c>
      <c r="CR285" s="1481">
        <f>IF(AND(MAX(CO280:CO287)=CO285,CO285&lt;&gt;0),COUNT($CR$3:CR284)+1,"")</f>
        <v/>
      </c>
      <c r="CS285" s="1565">
        <f>MyTimestamp(CO285)</f>
        <v/>
      </c>
      <c r="CT285" s="1531">
        <f>IF(CE285="",0,15)+IF(CF285="",0,15)</f>
        <v/>
      </c>
      <c r="CU285" s="1532">
        <f>IF(CT285=0,0,2)</f>
        <v/>
      </c>
      <c r="CV285" s="859" t="inlineStr">
        <is>
          <t>S/02</t>
        </is>
      </c>
      <c r="CW285" s="859" t="inlineStr">
        <is>
          <t>Dasy6</t>
        </is>
      </c>
      <c r="CX285" s="2038"/>
      <c r="CY285" s="2044"/>
      <c r="CZ285" s="1543">
        <f>10^(CJ285/20)*100-100</f>
        <v/>
      </c>
      <c r="DA285" s="1325">
        <f>IF('Tune-Up'!$H$21="","",'Tune-Up'!$H$21)</f>
        <v/>
      </c>
      <c r="DB285" s="701">
        <f>'2G-3G'!BZ33</f>
        <v/>
      </c>
      <c r="DC285" s="769">
        <f>IF(DA285="","",10^(DA285/10))</f>
        <v/>
      </c>
      <c r="DD285" s="1369">
        <f>IF(ISNUMBER(DB285)=FALSE,"",10^(DB285/10))</f>
        <v/>
      </c>
      <c r="DE285" s="1543">
        <f>IF(AND(ISNUMBER(DC285),ISNUMBER(DD285)),IF(DC285/DD285&gt;1,ROUND((DC285)/DD285,3),1),1)</f>
        <v/>
      </c>
      <c r="DF285" s="1541"/>
      <c r="DG285" s="1541"/>
      <c r="DH285" s="1541"/>
      <c r="DI285" s="1541"/>
      <c r="DJ285" s="1541"/>
      <c r="DK285" s="1541"/>
      <c r="DL285" s="1541"/>
      <c r="DM285" s="1541"/>
      <c r="DN285" s="1541"/>
      <c r="DO285" s="1541"/>
      <c r="DP285" s="1541"/>
      <c r="DQ285" s="1541"/>
      <c r="DR285" s="1541"/>
    </row>
    <row r="286" ht="12.75" x14ac:dyDescent="0.2">
      <c r="A286" s="1541"/>
      <c r="B286" s="1541"/>
      <c r="C286"/>
      <c r="D286" s="130">
        <f>IF(BX$280="Close to Ear","EN 62209-1","EN 62209-2")</f>
        <v/>
      </c>
      <c r="E286" s="130">
        <f>IF(CG286="Close to Ear","2016","2010/A1:2019")</f>
        <v/>
      </c>
      <c r="F286" s="1488" t="inlineStr">
        <is>
          <t>5.1</t>
        </is>
      </c>
      <c r="G286" s="1497"/>
      <c r="H286" s="120">
        <f>BV286</f>
        <v/>
      </c>
      <c r="I286" s="120">
        <f>BW286</f>
        <v/>
      </c>
      <c r="J286" s="687" t="str">
        <f>BT286</f>
        <v>GSM</v>
      </c>
      <c r="K286" s="194">
        <f>BU286</f>
        <v>1800</v>
      </c>
      <c r="L286" s="115"/>
      <c r="M286" s="120">
        <f>BZ286</f>
        <v>0</v>
      </c>
      <c r="N286" s="119"/>
      <c r="O286" s="131"/>
      <c r="P286" s="6597"/>
      <c r="Q286" s="131"/>
      <c r="R286" s="131"/>
      <c r="S286" s="120">
        <f>CG286</f>
        <v>0</v>
      </c>
      <c r="T286" s="120">
        <f>CC286</f>
        <v>512</v>
      </c>
      <c r="U286" s="120">
        <f>CD286</f>
        <v>1710.2</v>
      </c>
      <c r="V286" s="119"/>
      <c r="W286" s="197">
        <f>CK286*100</f>
        <v/>
      </c>
      <c r="X286" s="119"/>
      <c r="Y286" s="119"/>
      <c r="Z286" s="119"/>
      <c r="AA286" s="115"/>
      <c r="AB286" s="115"/>
      <c r="AC286" s="689">
        <f>IF(OR(BX$280="Close to Ear",BX$280="Close to Head"),"Head",IF(BX$280="Extremity","Extremity","Body"))</f>
        <v/>
      </c>
      <c r="AD286" s="690">
        <f>CA286</f>
        <v/>
      </c>
      <c r="AE286" s="688">
        <f>CB286</f>
        <v/>
      </c>
      <c r="AF286" s="115"/>
      <c r="AG286" s="808">
        <f>IF(AZ286="","N/A",IF(CQ286="Pass","P","F"))</f>
        <v/>
      </c>
      <c r="AH286" s="129"/>
      <c r="AI286" s="129"/>
      <c r="AJ286" s="129"/>
      <c r="AK286" s="119"/>
      <c r="AL286" s="115"/>
      <c r="AM286" s="119"/>
      <c r="AN286" s="119"/>
      <c r="AO286" s="692"/>
      <c r="AP286" s="692"/>
      <c r="AQ286" s="692"/>
      <c r="AR286" s="692"/>
      <c r="AS286" s="692"/>
      <c r="AT286" s="691">
        <f>CE286</f>
        <v/>
      </c>
      <c r="AU286" s="691">
        <f>CF286</f>
        <v/>
      </c>
      <c r="AV286" s="813"/>
      <c r="AW286" s="813"/>
      <c r="AX286" s="197">
        <f>CZ286</f>
        <v/>
      </c>
      <c r="AY286" s="197">
        <f>DE286</f>
        <v/>
      </c>
      <c r="AZ286" s="3379">
        <f>CO286</f>
        <v/>
      </c>
      <c r="BA286" s="3380"/>
      <c r="BB286" s="197">
        <f>CP286</f>
        <v/>
      </c>
      <c r="BC286" s="813"/>
      <c r="BD286" s="197">
        <f>CR286</f>
        <v/>
      </c>
      <c r="BE286" s="121">
        <f>CS286</f>
        <v/>
      </c>
      <c r="BF286" s="122">
        <f>CT286*60</f>
        <v/>
      </c>
      <c r="BG286" s="121">
        <f>BE286</f>
        <v/>
      </c>
      <c r="BH286" s="122">
        <f>CU286*60</f>
        <v/>
      </c>
      <c r="BI286" s="122">
        <f>CV286</f>
        <v/>
      </c>
      <c r="BJ286" s="117"/>
      <c r="BK286" s="812">
        <f>Overview!$E$7</f>
        <v/>
      </c>
      <c r="BL286" s="117"/>
      <c r="BM286" s="836">
        <f>CW286</f>
        <v/>
      </c>
      <c r="BN286" s="812">
        <f>Overview!$P$153</f>
        <v/>
      </c>
      <c r="BO286" s="117"/>
      <c r="BP286" s="117"/>
      <c r="BQ286" s="115"/>
      <c r="BR286" s="1478" t="inlineStr">
        <is>
          <t>N/A</t>
        </is>
      </c>
      <c r="BS286" s="1548"/>
      <c r="BT286" s="2071" t="inlineStr">
        <is>
          <t>GSM</t>
        </is>
      </c>
      <c r="BU286" s="2071">
        <v>1800</v>
      </c>
      <c r="BV286" s="415">
        <f>Overview!$H$30</f>
        <v/>
      </c>
      <c r="BW286" s="2010"/>
      <c r="BX286" s="2071"/>
      <c r="BY286" s="2072"/>
      <c r="BZ286" s="2072"/>
      <c r="CA286" s="416" t="str">
        <f>IF(COUNT(CF280:CF285)=0,IF(COUNT(CE280:CE285)=0,"TBD",VLOOKUP(MAX(CE280:CE285),CE280:CI285,5,FALSE)),VLOOKUP(MAX(CF280:CF285),CF280:CI285,4,FALSE))</f>
        <v>TBD</v>
      </c>
      <c r="CB286" s="200">
        <v>5</v>
      </c>
      <c r="CC286" s="902">
        <f>'2G-3G'!BX34</f>
        <v>512</v>
      </c>
      <c r="CD286" s="902">
        <f>'2G-3G'!BY34</f>
        <v>1710.2</v>
      </c>
      <c r="CE286" s="1523"/>
      <c r="CF286" s="1523"/>
      <c r="CG286" s="387" t="str">
        <f>IF(OR($BY$167="",$BY$167=""),"",$BY$167)</f>
        <v/>
      </c>
      <c r="CH286" s="387">
        <f>BZ286</f>
        <v/>
      </c>
      <c r="CI286" s="387">
        <f>CA286</f>
        <v/>
      </c>
      <c r="CJ286" s="1527"/>
      <c r="CK286" s="2042"/>
      <c r="CL286" s="206">
        <f>IF(CF286=""," ",IF(ABS(CE286-CF286)&lt;=0.25,"Valid","Not valid"))</f>
        <v/>
      </c>
      <c r="CM286" s="207">
        <f> IF(CE286="","",IF(AND(CE286&lt;&gt;"",CF286=""),IF(CE286&gt;=2,"Medir+Sig Max","No"),IF(CF286&lt;&gt;"",IF(CF286&gt;=2,"Medir+Sig Max","No"),"")))</f>
        <v/>
      </c>
      <c r="CN286" s="1787"/>
      <c r="CO286" s="220">
        <f>IF(CK286="",IF(AND(CE286="",CF286=""),"",IF(CF286="",IF(DE286&gt;1,ROUND(DE286*CE286,3),CE286),IF(DE286&gt;1,ROUND(DE286*CF286,3),CF286))),IF(AND(CE286="",CF286=""),"",IF(CF286="",IF(DE286&gt;1,ROUND(DE286*CE286*(1/(CK286)),3),CE286*(1/(CK286))),IF(DE286&gt;1,ROUND(DE286*CF286*(1/(CK286)),3),CF286*(1/(CK286))))))</f>
        <v/>
      </c>
      <c r="CP286" s="2043">
        <f>$CP$34</f>
        <v/>
      </c>
      <c r="CQ286" s="1472">
        <f>IF(CO286="","",IF(CO286&gt;CP286,"Fail","Pass"))</f>
        <v/>
      </c>
      <c r="CR286" s="1481">
        <f>IF(AND(MAX(CO280:CO287)=CO286,CO286&lt;&gt;0),COUNT($CR$3:CR285)+1,"")</f>
        <v/>
      </c>
      <c r="CS286" s="1565">
        <f>MyTimestamp(CO286)</f>
        <v/>
      </c>
      <c r="CT286" s="1531">
        <f>IF(CE286="",0,15)+IF(CF286="",0,15)</f>
        <v/>
      </c>
      <c r="CU286" s="1532">
        <f>IF(CT286=0,0,2)</f>
        <v/>
      </c>
      <c r="CV286" s="859" t="inlineStr">
        <is>
          <t>S/02</t>
        </is>
      </c>
      <c r="CW286" s="859" t="inlineStr">
        <is>
          <t>Dasy6</t>
        </is>
      </c>
      <c r="CX286" s="2038"/>
      <c r="CY286" s="2044"/>
      <c r="CZ286" s="1543">
        <f>10^(CJ286/20)*100-100</f>
        <v/>
      </c>
      <c r="DA286" s="1325">
        <f>IF('Tune-Up'!$H$21="","",'Tune-Up'!$H$21)</f>
        <v/>
      </c>
      <c r="DB286" s="701">
        <f>'2G-3G'!BZ34</f>
        <v/>
      </c>
      <c r="DC286" s="769">
        <f>IF(DA286="","",10^(DA286/10))</f>
        <v/>
      </c>
      <c r="DD286" s="1369">
        <f>IF(ISNUMBER(DB286)=FALSE,"",10^(DB286/10))</f>
        <v/>
      </c>
      <c r="DE286" s="1543">
        <f>IF(AND(ISNUMBER(DC286),ISNUMBER(DD286)),IF(DC286/DD286&gt;1,ROUND((DC286)/DD286,3),1),1)</f>
        <v/>
      </c>
      <c r="DF286" s="1541"/>
      <c r="DG286" s="1541"/>
      <c r="DH286" s="1541"/>
      <c r="DI286" s="1541"/>
      <c r="DJ286" s="1541"/>
      <c r="DK286" s="1541"/>
      <c r="DL286" s="1541"/>
      <c r="DM286" s="1541"/>
      <c r="DN286" s="1541"/>
      <c r="DO286" s="1541"/>
      <c r="DP286" s="1541"/>
      <c r="DQ286" s="1541"/>
      <c r="DR286" s="1541"/>
    </row>
    <row r="287" ht="12.75" x14ac:dyDescent="0.2">
      <c r="A287" s="1541"/>
      <c r="B287" s="1541"/>
      <c r="C287"/>
      <c r="D287" s="130">
        <f>IF(BX$280="Close to Ear","EN 62209-1","EN 62209-2")</f>
        <v/>
      </c>
      <c r="E287" s="130">
        <f>IF(CG287="Close to Ear","2016","2010/A1:2019")</f>
        <v/>
      </c>
      <c r="F287" s="1488" t="inlineStr">
        <is>
          <t>5.1</t>
        </is>
      </c>
      <c r="G287" s="1497"/>
      <c r="H287" s="120">
        <f>BV287</f>
        <v/>
      </c>
      <c r="I287" s="120">
        <f>BW287</f>
        <v/>
      </c>
      <c r="J287" s="687" t="str">
        <f>BT287</f>
        <v>GSM</v>
      </c>
      <c r="K287" s="194">
        <f>BU287</f>
        <v>1800</v>
      </c>
      <c r="L287" s="115"/>
      <c r="M287" s="120">
        <f>BZ287</f>
        <v>0</v>
      </c>
      <c r="N287" s="119"/>
      <c r="O287" s="131"/>
      <c r="P287" s="6597"/>
      <c r="Q287" s="131"/>
      <c r="R287" s="131"/>
      <c r="S287" s="120">
        <f>CG287</f>
        <v>0</v>
      </c>
      <c r="T287" s="120">
        <f>CC287</f>
        <v>885</v>
      </c>
      <c r="U287" s="120">
        <f>CD287</f>
        <v>1784.8</v>
      </c>
      <c r="V287" s="119"/>
      <c r="W287" s="197">
        <f>CK287*100</f>
        <v/>
      </c>
      <c r="X287" s="119"/>
      <c r="Y287" s="119"/>
      <c r="Z287" s="119"/>
      <c r="AA287" s="115"/>
      <c r="AB287" s="115"/>
      <c r="AC287" s="689">
        <f>IF(OR(BX$280="Close to Ear",BX$280="Close to Head"),"Head",IF(BX$280="Extremity","Extremity","Body"))</f>
        <v/>
      </c>
      <c r="AD287" s="690">
        <f>CA287</f>
        <v/>
      </c>
      <c r="AE287" s="688">
        <f>CB287</f>
        <v/>
      </c>
      <c r="AF287" s="115"/>
      <c r="AG287" s="808">
        <f>IF(AZ287="","N/A",IF(CQ287="Pass","P","F"))</f>
        <v/>
      </c>
      <c r="AH287" s="129"/>
      <c r="AI287" s="129"/>
      <c r="AJ287" s="129"/>
      <c r="AK287" s="119"/>
      <c r="AL287" s="115"/>
      <c r="AM287" s="119"/>
      <c r="AN287" s="119"/>
      <c r="AO287" s="692"/>
      <c r="AP287" s="692"/>
      <c r="AQ287" s="692"/>
      <c r="AR287" s="692"/>
      <c r="AS287" s="692"/>
      <c r="AT287" s="691">
        <f>CE287</f>
        <v/>
      </c>
      <c r="AU287" s="691">
        <f>CF287</f>
        <v/>
      </c>
      <c r="AV287" s="813"/>
      <c r="AW287" s="813"/>
      <c r="AX287" s="197">
        <f>CZ287</f>
        <v/>
      </c>
      <c r="AY287" s="197">
        <f>DE287</f>
        <v/>
      </c>
      <c r="AZ287" s="3379">
        <f>CO287</f>
        <v/>
      </c>
      <c r="BA287" s="3380"/>
      <c r="BB287" s="197">
        <f>CP287</f>
        <v/>
      </c>
      <c r="BC287" s="813"/>
      <c r="BD287" s="197">
        <f>CR287</f>
        <v/>
      </c>
      <c r="BE287" s="121">
        <f>CS287</f>
        <v/>
      </c>
      <c r="BF287" s="122">
        <f>CT287*60</f>
        <v/>
      </c>
      <c r="BG287" s="121">
        <f>BE287</f>
        <v/>
      </c>
      <c r="BH287" s="122">
        <f>CU287*60</f>
        <v/>
      </c>
      <c r="BI287" s="122">
        <f>CV287</f>
        <v/>
      </c>
      <c r="BJ287" s="117"/>
      <c r="BK287" s="812">
        <f>Overview!$E$7</f>
        <v/>
      </c>
      <c r="BL287" s="117"/>
      <c r="BM287" s="836">
        <f>CW287</f>
        <v/>
      </c>
      <c r="BN287" s="812">
        <f>Overview!$P$153</f>
        <v/>
      </c>
      <c r="BO287" s="117"/>
      <c r="BP287" s="117"/>
      <c r="BQ287" s="115"/>
      <c r="BR287" s="1478" t="inlineStr">
        <is>
          <t>N/A</t>
        </is>
      </c>
      <c r="BS287" s="1548"/>
      <c r="BT287" s="2075" t="inlineStr">
        <is>
          <t>GSM</t>
        </is>
      </c>
      <c r="BU287" s="2075">
        <v>1800</v>
      </c>
      <c r="BV287" s="419">
        <f>Overview!$H$30</f>
        <v/>
      </c>
      <c r="BW287" s="2016"/>
      <c r="BX287" s="2075"/>
      <c r="BY287" s="2076"/>
      <c r="BZ287" s="2072"/>
      <c r="CA287" s="418" t="str">
        <f>IF(COUNT(CF280:CF285)=0,IF(COUNT(CE280:CE285)=0,"TBD",VLOOKUP(MAX(CE280:CE285),CE280:CI285,5,FALSE)),VLOOKUP(MAX(CF280:CF285),CF280:CI285,4,FALSE))</f>
        <v>TBD</v>
      </c>
      <c r="CB287" s="201">
        <v>5</v>
      </c>
      <c r="CC287" s="857">
        <f>'2G-3G'!BX35</f>
        <v>885</v>
      </c>
      <c r="CD287" s="857">
        <f>'2G-3G'!BY35</f>
        <v>1784.8</v>
      </c>
      <c r="CE287" s="1874"/>
      <c r="CF287" s="1874"/>
      <c r="CG287" s="388" t="str">
        <f>IF(OR($BY$167="",$BY$167=""),"",$BY$167)</f>
        <v/>
      </c>
      <c r="CH287" s="388">
        <f>BZ287</f>
        <v/>
      </c>
      <c r="CI287" s="388">
        <f>CA287</f>
        <v/>
      </c>
      <c r="CJ287" s="2046"/>
      <c r="CK287" s="2047"/>
      <c r="CL287" s="212">
        <f>IF(CF287=""," ",IF(ABS(CE287-CF287)&lt;=0.25,"Valid","Not valid"))</f>
        <v/>
      </c>
      <c r="CM287" s="213">
        <f> IF(CE287="","",IF(AND(CE287&lt;&gt;"",CF287=""),IF(CE287&gt;=2,"Medir+Sig Max","No"),IF(CF287&lt;&gt;"",IF(CF287&gt;=2,"Medir+Sig Max","No"),"")))</f>
        <v/>
      </c>
      <c r="CN287" s="1794"/>
      <c r="CO287" s="221">
        <f>IF(CK287="",IF(AND(CE287="",CF287=""),"",IF(CF287="",IF(DE287&gt;1,ROUND(DE287*CE287,3),CE287),IF(DE287&gt;1,ROUND(DE287*CF287,3),CF287))),IF(AND(CE287="",CF287=""),"",IF(CF287="",IF(DE287&gt;1,ROUND(DE287*CE287*(1/(CK287)),3),CE287*(1/(CK287))),IF(DE287&gt;1,ROUND(DE287*CF287*(1/(CK287)),3),CF287*(1/(CK287))))))</f>
        <v/>
      </c>
      <c r="CP287" s="2048">
        <f>$CP$34</f>
        <v/>
      </c>
      <c r="CQ287" s="1473">
        <f>IF(CO287="","",IF(CO287&gt;CP287,"Fail","Pass"))</f>
        <v/>
      </c>
      <c r="CR287" s="1482">
        <f>IF(AND(MAX(CO280:CO287)=CO287,CO287&lt;&gt;0),COUNT($CR$3:CR286)+1,"")</f>
        <v/>
      </c>
      <c r="CS287" s="1566">
        <f>MyTimestamp(CO287)</f>
        <v/>
      </c>
      <c r="CT287" s="1535">
        <f>IF(CE287="",0,15)+IF(CF287="",0,15)</f>
        <v/>
      </c>
      <c r="CU287" s="1536">
        <f>IF(CT287=0,0,2)</f>
        <v/>
      </c>
      <c r="CV287" s="861" t="inlineStr">
        <is>
          <t>S/02</t>
        </is>
      </c>
      <c r="CW287" s="861" t="inlineStr">
        <is>
          <t>Dasy6</t>
        </is>
      </c>
      <c r="CX287" s="2038"/>
      <c r="CY287" s="2050"/>
      <c r="CZ287" s="1545">
        <f>10^(CJ287/20)*100-100</f>
        <v/>
      </c>
      <c r="DA287" s="1327">
        <f>IF('Tune-Up'!$H$21="","",'Tune-Up'!$H$21)</f>
        <v/>
      </c>
      <c r="DB287" s="703">
        <f>'2G-3G'!BZ35</f>
        <v/>
      </c>
      <c r="DC287" s="771">
        <f>IF(DA287="","",10^(DA287/10))</f>
        <v/>
      </c>
      <c r="DD287" s="1371">
        <f>IF(ISNUMBER(DB287)=FALSE,"",10^(DB287/10))</f>
        <v/>
      </c>
      <c r="DE287" s="1545">
        <f>IF(AND(ISNUMBER(DC287),ISNUMBER(DD287)),IF(DC287/DD287&gt;1,ROUND((DC287)/DD287,3),1),1)</f>
        <v/>
      </c>
      <c r="DF287" s="1541"/>
      <c r="DG287" s="1541"/>
      <c r="DH287" s="1541"/>
      <c r="DI287" s="1541"/>
      <c r="DJ287" s="1541"/>
      <c r="DK287" s="1541"/>
      <c r="DL287" s="1541"/>
      <c r="DM287" s="1541"/>
      <c r="DN287" s="1541"/>
      <c r="DO287" s="1541"/>
      <c r="DP287" s="1541"/>
      <c r="DQ287" s="1541"/>
      <c r="DR287" s="1541"/>
    </row>
    <row r="288" ht="12.75" x14ac:dyDescent="0.2">
      <c r="A288" s="1541"/>
      <c r="B288" s="1541"/>
      <c r="C288"/>
      <c r="D288" s="130">
        <f>IF(BX$280="Close to Ear","EN 62209-1","EN 62209-2")</f>
        <v/>
      </c>
      <c r="E288" s="130">
        <f>IF(CG288="Close to Ear","2016","2010/A1:2019")</f>
        <v/>
      </c>
      <c r="F288" s="1488" t="inlineStr">
        <is>
          <t>5.1</t>
        </is>
      </c>
      <c r="G288" s="1497"/>
      <c r="H288" s="120">
        <f>BV288</f>
        <v/>
      </c>
      <c r="I288" s="120">
        <f>BW288</f>
        <v/>
      </c>
      <c r="J288" s="687">
        <f>BT288</f>
        <v/>
      </c>
      <c r="K288" s="194">
        <f>BU288</f>
        <v/>
      </c>
      <c r="L288" s="115"/>
      <c r="M288" s="120">
        <f>BZ288</f>
        <v/>
      </c>
      <c r="N288" s="119"/>
      <c r="O288" s="131"/>
      <c r="P288" s="6597"/>
      <c r="Q288" s="131"/>
      <c r="R288" s="131"/>
      <c r="S288" s="120">
        <f>CG288</f>
        <v/>
      </c>
      <c r="T288" s="120">
        <f>CC288</f>
        <v/>
      </c>
      <c r="U288" s="120">
        <f>CD288</f>
        <v/>
      </c>
      <c r="V288" s="119"/>
      <c r="W288" s="197">
        <f>CK288*100</f>
        <v/>
      </c>
      <c r="X288" s="119"/>
      <c r="Y288" s="119"/>
      <c r="Z288" s="119"/>
      <c r="AA288" s="115"/>
      <c r="AB288" s="115"/>
      <c r="AC288" s="689">
        <f>IF(OR(BX$280="Close to Ear",BX$280="Close to Head"),"Head",IF(BX$280="Extremity","Extremity","Body"))</f>
        <v/>
      </c>
      <c r="AD288" s="690">
        <f>CA288</f>
        <v/>
      </c>
      <c r="AE288" s="688">
        <f>CB288</f>
        <v/>
      </c>
      <c r="AF288" s="115"/>
      <c r="AG288" s="808">
        <f>IF(AZ288="","N/A",IF(CQ288="Pass","P","F"))</f>
        <v/>
      </c>
      <c r="AH288" s="129"/>
      <c r="AI288" s="129"/>
      <c r="AJ288" s="129"/>
      <c r="AK288" s="119"/>
      <c r="AL288" s="115"/>
      <c r="AM288" s="119"/>
      <c r="AN288" s="119"/>
      <c r="AO288" s="692"/>
      <c r="AP288" s="692"/>
      <c r="AQ288" s="692"/>
      <c r="AR288" s="692"/>
      <c r="AS288" s="692"/>
      <c r="AT288" s="691">
        <f>CE288</f>
        <v/>
      </c>
      <c r="AU288" s="691">
        <f>CF288</f>
        <v/>
      </c>
      <c r="AV288" s="813"/>
      <c r="AW288" s="813"/>
      <c r="AX288" s="197">
        <f>CZ288</f>
        <v/>
      </c>
      <c r="AY288" s="197">
        <f>DE288</f>
        <v/>
      </c>
      <c r="AZ288" s="3379">
        <f>CO288</f>
        <v/>
      </c>
      <c r="BA288" s="3380"/>
      <c r="BB288" s="197">
        <f>CP288</f>
        <v/>
      </c>
      <c r="BC288" s="813"/>
      <c r="BD288" s="197">
        <f>CR288</f>
        <v/>
      </c>
      <c r="BE288" s="121">
        <f>CS288</f>
        <v/>
      </c>
      <c r="BF288" s="122">
        <f>CT288*60</f>
        <v/>
      </c>
      <c r="BG288" s="121">
        <f>BE288</f>
        <v/>
      </c>
      <c r="BH288" s="122">
        <f>CU288*60</f>
        <v/>
      </c>
      <c r="BI288" s="122">
        <f>CV288</f>
        <v/>
      </c>
      <c r="BJ288" s="117"/>
      <c r="BK288" s="812">
        <f>Overview!$E$7</f>
        <v/>
      </c>
      <c r="BL288" s="117"/>
      <c r="BM288" s="836">
        <f>CW288</f>
        <v/>
      </c>
      <c r="BN288" s="812">
        <f>Overview!$P$153</f>
        <v/>
      </c>
      <c r="BO288" s="117"/>
      <c r="BP288" s="117"/>
      <c r="BQ288" s="115"/>
      <c r="BR288" s="1478" t="inlineStr">
        <is>
          <t>N/A</t>
        </is>
      </c>
      <c r="BS288" s="1548"/>
      <c r="BT288" s="2075" t="inlineStr">
        <is>
          <t>GSM</t>
        </is>
      </c>
      <c r="BU288" s="2075">
        <v>1800</v>
      </c>
      <c r="BV288" s="419">
        <f>Overview!$H$30</f>
        <v/>
      </c>
      <c r="BW288" s="2016"/>
      <c r="BX288" s="2075"/>
      <c r="BY288" s="2076"/>
      <c r="BZ288" s="2072"/>
      <c r="CA288" s="418" t="str">
        <f>CONCATENATE(CA286," - Battery check 1")</f>
        <v>TBD - Battery check 1</v>
      </c>
      <c r="CB288" s="201">
        <v>5</v>
      </c>
      <c r="CC288" s="857">
        <f>IF(COUNT($CO$280:$CO$287)=0,"N/A",INDEX($CC$280:$CC$287,MATCH(MAX($CO$280:$CO$287),$CO$280:$CO$287,0)))</f>
        <v/>
      </c>
      <c r="CD288" s="857">
        <f>IF(COUNT($CO$280:$CO$287)=0,"N/A",INDEX($CD$280:$CD$287,MATCH(MAX($CO$280:$CO$287),$CO$280:$CO$287,0)))</f>
        <v/>
      </c>
      <c r="CE288" s="1874"/>
      <c r="CF288" s="1874"/>
      <c r="CG288" s="388" t="inlineStr">
        <is>
          <t>N/A</t>
        </is>
      </c>
      <c r="CH288" s="388">
        <f>BZ288</f>
        <v/>
      </c>
      <c r="CI288" s="388">
        <f>CA288</f>
        <v/>
      </c>
      <c r="CJ288" s="2046"/>
      <c r="CK288" s="2047"/>
      <c r="CL288" s="212">
        <f>IF(CF288=""," ",IF(ABS(CE288-CF288)&lt;=0.25,"Valid","Not valid"))</f>
        <v/>
      </c>
      <c r="CM288" s="213">
        <f> IF(CE288="","",IF(AND(CE288&lt;&gt;"",CF288=""),IF(CE288&gt;=2,"Medir+Sig Max","No"),IF(CF288&lt;&gt;"",IF(CF288&gt;=2,"Medir+Sig Max","No"),"")))</f>
        <v/>
      </c>
      <c r="CN288" s="1794"/>
      <c r="CO288" s="221">
        <f>IF(CK288="",IF(AND(CE288="",CF288=""),"",IF(CF288="",IF(DE288&gt;1,ROUND(DE288*CE288,3),CE288),IF(DE288&gt;1,ROUND(DE288*CF288,3),CF288))),IF(AND(CE288="",CF288=""),"",IF(CF288="",IF(DE288&gt;1,ROUND(DE288*CE288*(1/(CK288)),3),CE288*(1/(CK288))),IF(DE288&gt;1,ROUND(DE288*CF288*(1/(CK288)),3),CF288*(1/(CK288))))))</f>
        <v/>
      </c>
      <c r="CP288" s="2048">
        <f>$CP$34</f>
        <v/>
      </c>
      <c r="CQ288" s="1473">
        <f>IF(CO288="","",IF(CO288&gt;CP288,"Fail","Pass"))</f>
        <v/>
      </c>
      <c r="CR288" s="1482">
        <f>IF(CO288&lt;&gt;"",MAX($CR$3:CR287)+1,"")</f>
        <v/>
      </c>
      <c r="CS288" s="1566">
        <f>MyTimestamp(CQ288)</f>
        <v/>
      </c>
      <c r="CT288" s="1535">
        <f>IF(COUNT(CE288:CF288)=1,15,IF(COUNT(CE288:CF288)=0,0,30))</f>
        <v/>
      </c>
      <c r="CU288" s="1536">
        <f>IF(CT288=0,0,2)</f>
        <v/>
      </c>
      <c r="CV288" s="861" t="inlineStr">
        <is>
          <t>S/02</t>
        </is>
      </c>
      <c r="CW288" s="861" t="inlineStr">
        <is>
          <t>Dasy6</t>
        </is>
      </c>
      <c r="CX288" s="2038"/>
      <c r="CY288" s="2050"/>
      <c r="CZ288" s="1545">
        <f>10^(CJ288/20)*100-100</f>
        <v/>
      </c>
      <c r="DA288" s="1327">
        <f>IF('Tune-Up'!$H$21="","",'Tune-Up'!$H$21)</f>
        <v/>
      </c>
      <c r="DB288" s="703">
        <f>IF(COUNT($CO$280:$CO$287)=0,"N/A",IFERROR(INDEX($DB$280:$DB$287,MATCH(MAX($CO$280:$CO$287),$CO$280:$CO$287,0)),"N/A"))</f>
        <v/>
      </c>
      <c r="DC288" s="771">
        <f>IF(DA288="","",10^(DA288/10))</f>
        <v/>
      </c>
      <c r="DD288" s="1371">
        <f>IF(ISNUMBER(DB288)=FALSE,"N/A",10^(DB288/10))</f>
        <v/>
      </c>
      <c r="DE288" s="1545">
        <f>IF(AND(ISNUMBER(DC288),ISNUMBER(DD288)),IF(DC288/DD288&gt;1,ROUND((DC288)/DD288,3),1),1)</f>
        <v/>
      </c>
      <c r="DF288" s="1541"/>
      <c r="DG288" s="1541"/>
      <c r="DH288" s="1541"/>
      <c r="DI288" s="1541"/>
      <c r="DJ288" s="1541"/>
      <c r="DK288" s="1541"/>
      <c r="DL288" s="1541"/>
      <c r="DM288" s="1541"/>
      <c r="DN288" s="1541"/>
      <c r="DO288" s="1541"/>
      <c r="DP288" s="1541"/>
      <c r="DQ288" s="1541"/>
      <c r="DR288" s="1541"/>
    </row>
    <row r="289" ht="12.75" x14ac:dyDescent="0.2">
      <c r="A289" s="1541"/>
      <c r="B289" s="1541"/>
      <c r="C289"/>
      <c r="D289" s="130">
        <f>IF(BX$280="Close to Ear","EN 62209-1","EN 62209-2")</f>
        <v/>
      </c>
      <c r="E289" s="130">
        <f>IF(CG289="Close to Ear","2016","2010/A1:2019")</f>
        <v/>
      </c>
      <c r="F289" s="1488" t="inlineStr">
        <is>
          <t>5.1</t>
        </is>
      </c>
      <c r="G289" s="1497"/>
      <c r="H289" s="120">
        <f>BV289</f>
        <v/>
      </c>
      <c r="I289" s="120">
        <f>BW289</f>
        <v/>
      </c>
      <c r="J289" s="687">
        <f>BT289</f>
        <v/>
      </c>
      <c r="K289" s="194">
        <f>BU289</f>
        <v/>
      </c>
      <c r="L289" s="115"/>
      <c r="M289" s="120">
        <f>BZ289</f>
        <v/>
      </c>
      <c r="N289" s="119"/>
      <c r="O289" s="131"/>
      <c r="P289" s="6597"/>
      <c r="Q289" s="131"/>
      <c r="R289" s="131"/>
      <c r="S289" s="120">
        <f>CG289</f>
        <v/>
      </c>
      <c r="T289" s="120">
        <f>CC289</f>
        <v/>
      </c>
      <c r="U289" s="120">
        <f>CD289</f>
        <v/>
      </c>
      <c r="V289" s="119"/>
      <c r="W289" s="197">
        <f>CK289*100</f>
        <v/>
      </c>
      <c r="X289" s="119"/>
      <c r="Y289" s="119"/>
      <c r="Z289" s="119"/>
      <c r="AA289" s="115"/>
      <c r="AB289" s="115"/>
      <c r="AC289" s="689">
        <f>IF(OR(BX$280="Close to Ear",BX$280="Close to Head"),"Head",IF(BX$280="Extremity","Extremity","Body"))</f>
        <v/>
      </c>
      <c r="AD289" s="690">
        <f>CA289</f>
        <v/>
      </c>
      <c r="AE289" s="688">
        <f>CB289</f>
        <v/>
      </c>
      <c r="AF289" s="115"/>
      <c r="AG289" s="808">
        <f>IF(AZ289="","N/A",IF(CQ289="Pass","P","F"))</f>
        <v/>
      </c>
      <c r="AH289" s="129"/>
      <c r="AI289" s="129"/>
      <c r="AJ289" s="129"/>
      <c r="AK289" s="119"/>
      <c r="AL289" s="115"/>
      <c r="AM289" s="119"/>
      <c r="AN289" s="119"/>
      <c r="AO289" s="692"/>
      <c r="AP289" s="692"/>
      <c r="AQ289" s="692"/>
      <c r="AR289" s="692"/>
      <c r="AS289" s="692"/>
      <c r="AT289" s="691">
        <f>CE289</f>
        <v/>
      </c>
      <c r="AU289" s="691">
        <f>CF289</f>
        <v/>
      </c>
      <c r="AV289" s="813"/>
      <c r="AW289" s="813"/>
      <c r="AX289" s="197">
        <f>CZ289</f>
        <v/>
      </c>
      <c r="AY289" s="197">
        <f>DE289</f>
        <v/>
      </c>
      <c r="AZ289" s="3379">
        <f>CO289</f>
        <v/>
      </c>
      <c r="BA289" s="3380"/>
      <c r="BB289" s="197">
        <f>CP289</f>
        <v/>
      </c>
      <c r="BC289" s="813"/>
      <c r="BD289" s="197">
        <f>CR289</f>
        <v/>
      </c>
      <c r="BE289" s="121">
        <f>CS289</f>
        <v/>
      </c>
      <c r="BF289" s="122">
        <f>CT289*60</f>
        <v/>
      </c>
      <c r="BG289" s="121">
        <f>BE289</f>
        <v/>
      </c>
      <c r="BH289" s="122">
        <f>CU289*60</f>
        <v/>
      </c>
      <c r="BI289" s="122">
        <f>CV289</f>
        <v/>
      </c>
      <c r="BJ289" s="117"/>
      <c r="BK289" s="812">
        <f>Overview!$E$7</f>
        <v/>
      </c>
      <c r="BL289" s="117"/>
      <c r="BM289" s="836">
        <f>CW289</f>
        <v/>
      </c>
      <c r="BN289" s="812">
        <f>Overview!$P$153</f>
        <v/>
      </c>
      <c r="BO289" s="117"/>
      <c r="BP289" s="117"/>
      <c r="BQ289" s="115"/>
      <c r="BR289" s="1478" t="inlineStr">
        <is>
          <t>N/A</t>
        </is>
      </c>
      <c r="BS289" s="1548"/>
      <c r="BT289" s="2075" t="inlineStr">
        <is>
          <t>GSM</t>
        </is>
      </c>
      <c r="BU289" s="2075">
        <v>1800</v>
      </c>
      <c r="BV289" s="419">
        <f>Overview!$H$30</f>
        <v/>
      </c>
      <c r="BW289" s="2016"/>
      <c r="BX289" s="2075"/>
      <c r="BY289" s="2076"/>
      <c r="BZ289" s="2072"/>
      <c r="CA289" s="418" t="str">
        <f>CONCATENATE(CA287," - Battery check 2")</f>
        <v>TBD - Battery check 2</v>
      </c>
      <c r="CB289" s="201">
        <v>5</v>
      </c>
      <c r="CC289" s="857">
        <f>IF(COUNT($CO$280:$CO$287)=0,"N/A",INDEX($CC$280:$CC$287,MATCH(MAX($CO$280:$CO$287),$CO$280:$CO$287,0)))</f>
        <v/>
      </c>
      <c r="CD289" s="857">
        <f>IF(COUNT($CO$280:$CO$287)=0,"N/A",INDEX($CD$280:$CD$287,MATCH(MAX($CO$280:$CO$287),$CO$280:$CO$287,0)))</f>
        <v/>
      </c>
      <c r="CE289" s="1874"/>
      <c r="CF289" s="1874"/>
      <c r="CG289" s="388" t="inlineStr">
        <is>
          <t>N/A</t>
        </is>
      </c>
      <c r="CH289" s="388">
        <f>BZ289</f>
        <v/>
      </c>
      <c r="CI289" s="388">
        <f>CA289</f>
        <v/>
      </c>
      <c r="CJ289" s="2046"/>
      <c r="CK289" s="2047"/>
      <c r="CL289" s="212">
        <f>IF(CF289=""," ",IF(ABS(CE289-CF289)&lt;=0.25,"Valid","Not valid"))</f>
        <v/>
      </c>
      <c r="CM289" s="213">
        <f> IF(CE289="","",IF(AND(CE289&lt;&gt;"",CF289=""),IF(CE289&gt;=2,"Medir+Sig Max","No"),IF(CF289&lt;&gt;"",IF(CF289&gt;=2,"Medir+Sig Max","No"),"")))</f>
        <v/>
      </c>
      <c r="CN289" s="1794"/>
      <c r="CO289" s="221">
        <f>IF(CK289="",IF(AND(CE289="",CF289=""),"",IF(CF289="",IF(DE289&gt;1,ROUND(DE289*CE289,3),CE289),IF(DE289&gt;1,ROUND(DE289*CF289,3),CF289))),IF(AND(CE289="",CF289=""),"",IF(CF289="",IF(DE289&gt;1,ROUND(DE289*CE289*(1/(CK289)),3),CE289*(1/(CK289))),IF(DE289&gt;1,ROUND(DE289*CF289*(1/(CK289)),3),CF289*(1/(CK289))))))</f>
        <v/>
      </c>
      <c r="CP289" s="2048">
        <f>$CP$34</f>
        <v/>
      </c>
      <c r="CQ289" s="1473">
        <f>IF(CO289="","",IF(CO289&gt;CP289,"Fail","Pass"))</f>
        <v/>
      </c>
      <c r="CR289" s="1482">
        <f>IF(CO289&lt;&gt;"",MAX($CR$3:CR288)+1,"")</f>
        <v/>
      </c>
      <c r="CS289" s="1566">
        <f>MyTimestamp(CQ289)</f>
        <v/>
      </c>
      <c r="CT289" s="1535">
        <f>IF(COUNT(CE289:CF289)=1,15,IF(COUNT(CE289:CF289)=0,0,30))</f>
        <v/>
      </c>
      <c r="CU289" s="1536">
        <f>IF(CT289=0,0,2)</f>
        <v/>
      </c>
      <c r="CV289" s="861" t="inlineStr">
        <is>
          <t>S/02</t>
        </is>
      </c>
      <c r="CW289" s="861" t="inlineStr">
        <is>
          <t>Dasy6</t>
        </is>
      </c>
      <c r="CX289" s="2038"/>
      <c r="CY289" s="2050"/>
      <c r="CZ289" s="1545">
        <f>10^(CJ289/20)*100-100</f>
        <v/>
      </c>
      <c r="DA289" s="1327">
        <f>IF('Tune-Up'!$H$21="","",'Tune-Up'!$H$21)</f>
        <v/>
      </c>
      <c r="DB289" s="703">
        <f>IF(COUNT($CO$280:$CO$287)=0,"N/A",IFERROR(INDEX($DB$280:$DB$287,MATCH(MAX($CO$280:$CO$287),$CO$280:$CO$287,0)),"N/A"))</f>
        <v/>
      </c>
      <c r="DC289" s="771">
        <f>IF(DA289="","",10^(DA289/10))</f>
        <v/>
      </c>
      <c r="DD289" s="1371">
        <f>IF(ISNUMBER(DB289)=FALSE,"N/A",10^(DB289/10))</f>
        <v/>
      </c>
      <c r="DE289" s="1545">
        <f>IF(AND(ISNUMBER(DC289),ISNUMBER(DD289)),IF(DC289/DD289&gt;1,ROUND((DC289)/DD289,3),1),1)</f>
        <v/>
      </c>
      <c r="DF289" s="1541"/>
      <c r="DG289" s="1541"/>
      <c r="DH289" s="1541"/>
      <c r="DI289" s="1541"/>
      <c r="DJ289" s="1541"/>
      <c r="DK289" s="1541"/>
      <c r="DL289" s="1541"/>
      <c r="DM289" s="1541"/>
      <c r="DN289" s="1541"/>
      <c r="DO289" s="1541"/>
      <c r="DP289" s="1541"/>
      <c r="DQ289" s="1541"/>
      <c r="DR289" s="1541"/>
    </row>
    <row r="290" ht="12.75" x14ac:dyDescent="0.2">
      <c r="A290" s="1541"/>
      <c r="B290" s="1541"/>
      <c r="C290"/>
      <c r="D290" s="130">
        <f>IF(BX$290="Close to Ear","EN 62209-1","EN 62209-2")</f>
        <v/>
      </c>
      <c r="E290" s="130">
        <f>IF(CG290="Close to Ear","2016","2010/A1:2019")</f>
        <v/>
      </c>
      <c r="F290" s="1488" t="inlineStr">
        <is>
          <t>5.1</t>
        </is>
      </c>
      <c r="G290" s="1497"/>
      <c r="H290" s="120">
        <f>BV290</f>
        <v/>
      </c>
      <c r="I290" s="120">
        <f>BW290</f>
        <v/>
      </c>
      <c r="J290" s="687" t="str">
        <f>BT290</f>
        <v>GSM</v>
      </c>
      <c r="K290" s="194">
        <f>BU290</f>
        <v>1800</v>
      </c>
      <c r="L290" s="115"/>
      <c r="M290" s="120">
        <f>BZ290</f>
        <v>0</v>
      </c>
      <c r="N290" s="119"/>
      <c r="O290" s="131"/>
      <c r="P290" s="6597"/>
      <c r="Q290" s="131"/>
      <c r="R290" s="131"/>
      <c r="S290" s="120">
        <f>CG290</f>
        <v>0</v>
      </c>
      <c r="T290" s="120">
        <f>CC290</f>
        <v>698</v>
      </c>
      <c r="U290" s="120">
        <f>CD290</f>
        <v>1747.4</v>
      </c>
      <c r="V290" s="119"/>
      <c r="W290" s="197">
        <f>CK290*100</f>
        <v/>
      </c>
      <c r="X290" s="119"/>
      <c r="Y290" s="119"/>
      <c r="Z290" s="119"/>
      <c r="AA290" s="115"/>
      <c r="AB290" s="115"/>
      <c r="AC290" s="689">
        <f>IF(OR(BX$290="Close to Ear",BX$290="Close to Head"),"Head",IF(BX$290="Extremity","Extremity","Body"))</f>
        <v/>
      </c>
      <c r="AD290" s="690">
        <f>CA290</f>
        <v/>
      </c>
      <c r="AE290" s="688">
        <f>CB290</f>
        <v/>
      </c>
      <c r="AF290" s="115"/>
      <c r="AG290" s="808">
        <f>IF(AZ290="","N/A",IF(CQ290="Pass","P","F"))</f>
        <v/>
      </c>
      <c r="AH290" s="129"/>
      <c r="AI290" s="129"/>
      <c r="AJ290" s="129"/>
      <c r="AK290" s="119"/>
      <c r="AL290" s="115"/>
      <c r="AM290" s="119"/>
      <c r="AN290" s="119"/>
      <c r="AO290" s="692"/>
      <c r="AP290" s="692"/>
      <c r="AQ290" s="692"/>
      <c r="AR290" s="692"/>
      <c r="AS290" s="692"/>
      <c r="AT290" s="691">
        <f>CE290</f>
        <v/>
      </c>
      <c r="AU290" s="691">
        <f>CF290</f>
        <v/>
      </c>
      <c r="AV290" s="813"/>
      <c r="AW290" s="813"/>
      <c r="AX290" s="197">
        <f>CZ290</f>
        <v/>
      </c>
      <c r="AY290" s="197">
        <f>DE290</f>
        <v/>
      </c>
      <c r="AZ290" s="3379">
        <f>CO290</f>
        <v/>
      </c>
      <c r="BA290" s="3380"/>
      <c r="BB290" s="197">
        <f>CP290</f>
        <v/>
      </c>
      <c r="BC290" s="813"/>
      <c r="BD290" s="197">
        <f>CR290</f>
        <v/>
      </c>
      <c r="BE290" s="121">
        <f>CS290</f>
        <v/>
      </c>
      <c r="BF290" s="122">
        <f>CT290*60</f>
        <v/>
      </c>
      <c r="BG290" s="121">
        <f>BE290</f>
        <v/>
      </c>
      <c r="BH290" s="122">
        <f>CU290*60</f>
        <v/>
      </c>
      <c r="BI290" s="122">
        <f>CV290</f>
        <v/>
      </c>
      <c r="BJ290" s="117"/>
      <c r="BK290" s="812">
        <f>Overview!$E$7</f>
        <v/>
      </c>
      <c r="BL290" s="117"/>
      <c r="BM290" s="836">
        <f>CW290</f>
        <v/>
      </c>
      <c r="BN290" s="812">
        <f>Overview!$P$153</f>
        <v/>
      </c>
      <c r="BO290" s="117"/>
      <c r="BP290" s="117"/>
      <c r="BQ290" s="115"/>
      <c r="BR290" s="1478" t="inlineStr">
        <is>
          <t>N/A</t>
        </is>
      </c>
      <c r="BS290" s="1548"/>
      <c r="BT290" s="2067" t="inlineStr">
        <is>
          <t>GSM</t>
        </is>
      </c>
      <c r="BU290" s="2067">
        <v>1800</v>
      </c>
      <c r="BV290" s="1306">
        <f>Overview!$H$31</f>
        <v/>
      </c>
      <c r="BW290" s="2007"/>
      <c r="BX290" s="7674" t="inlineStr">
        <is>
          <t>Close to Ear</t>
        </is>
      </c>
      <c r="BY290" s="2068"/>
      <c r="BZ290" s="2068"/>
      <c r="CA290" s="2069" t="inlineStr">
        <is>
          <t>Left Cheek</t>
        </is>
      </c>
      <c r="CB290" s="2069">
        <v>0</v>
      </c>
      <c r="CC290" s="856">
        <f>'2G-3G'!BX36</f>
        <v>698</v>
      </c>
      <c r="CD290" s="856">
        <f>'2G-3G'!BY36</f>
        <v>1747.4</v>
      </c>
      <c r="CE290" s="1522"/>
      <c r="CF290" s="1522"/>
      <c r="CG290" s="386" t="str">
        <f>IF(OR($BY$167="",$BY$167=""),"",$BY$167)</f>
        <v/>
      </c>
      <c r="CH290" s="386">
        <f>BZ290</f>
        <v/>
      </c>
      <c r="CI290" s="386">
        <f>CA290</f>
        <v/>
      </c>
      <c r="CJ290" s="1526"/>
      <c r="CK290" s="2070"/>
      <c r="CL290" s="203">
        <f>IF(CF290=""," ",IF(ABS(CE290-CF290)&lt;=0.125,"Valid","Not valid"))</f>
        <v/>
      </c>
      <c r="CM290" s="204">
        <f> IF(CE290="","",IF(AND(CE290&lt;&gt;"",CF290=""),IF(CE290&gt;=1,"Medir+Sig Max","No"),IF(CF290&lt;&gt;"",IF(CF290&gt;=1,"Medir+Sig Max","No"),"")))</f>
        <v/>
      </c>
      <c r="CN290" s="1798"/>
      <c r="CO290" s="219">
        <f>IF(CK290="",IF(AND(CE290="",CF290=""),"",IF(CF290="",IF(DE290&gt;1,ROUND(DE290*CE290,3),CE290),IF(DE290&gt;1,ROUND(DE290*CF290,3),CF290))),IF(AND(CE290="",CF290=""),"",IF(CF290="",IF(DE290&gt;1,ROUND(DE290*CE290*(1/(CK290)),3),CE290*(1/(CK290))),IF(DE290&gt;1,ROUND(DE290*CF290*(1/(CK290)),3),CF290*(1/(CK290))))))</f>
        <v/>
      </c>
      <c r="CP290" s="2037">
        <f>$CP$3</f>
        <v/>
      </c>
      <c r="CQ290" s="1471">
        <f>IF(CO290="","",IF(CO290&gt;CP290,"Fail","Pass"))</f>
        <v/>
      </c>
      <c r="CR290" s="1480">
        <f>IF(AND(MAX(CO290:CO295)=CO290,CO290&lt;&gt;0),COUNT($CR$3:CR287)+1,"")</f>
        <v/>
      </c>
      <c r="CS290" s="1564">
        <f>MyTimestamp(CO290)</f>
        <v/>
      </c>
      <c r="CT290" s="1529">
        <f>IF(CE290="",0,15)+IF(CF290="",0,15)</f>
        <v/>
      </c>
      <c r="CU290" s="1530">
        <f>IF(CT290=0,0,2)</f>
        <v/>
      </c>
      <c r="CV290" s="862" t="inlineStr">
        <is>
          <t>S/02</t>
        </is>
      </c>
      <c r="CW290" s="862" t="inlineStr">
        <is>
          <t>Dasy6</t>
        </is>
      </c>
      <c r="CX290" s="2038"/>
      <c r="CY290" s="2039"/>
      <c r="CZ290" s="1542">
        <f>10^(CJ290/20)*100-100</f>
        <v/>
      </c>
      <c r="DA290" s="1324">
        <f>IF('Tune-Up'!$H$21="","",'Tune-Up'!$H$21)</f>
        <v/>
      </c>
      <c r="DB290" s="700">
        <f>'2G-3G'!BZ36</f>
        <v/>
      </c>
      <c r="DC290" s="768">
        <f>IF(DA290="","",10^(DA290/10))</f>
        <v/>
      </c>
      <c r="DD290" s="1368">
        <f>IF(ISNUMBER(DB290)=FALSE,"",10^(DB290/10))</f>
        <v/>
      </c>
      <c r="DE290" s="1542">
        <f>IF(AND(ISNUMBER(DC290),ISNUMBER(DD290)),IF(DC290/DD290&gt;1,ROUND((DC290)/DD290,3),1),1)</f>
        <v/>
      </c>
      <c r="DF290" s="1541"/>
      <c r="DG290" s="1541"/>
      <c r="DH290" s="1541"/>
      <c r="DI290" s="1541"/>
      <c r="DJ290" s="1541"/>
      <c r="DK290" s="1541"/>
      <c r="DL290" s="1541"/>
      <c r="DM290" s="1541"/>
      <c r="DN290" s="1541"/>
      <c r="DO290" s="1541"/>
      <c r="DP290" s="1541"/>
      <c r="DQ290" s="1541"/>
      <c r="DR290" s="1541"/>
    </row>
    <row r="291" ht="12.75" x14ac:dyDescent="0.2">
      <c r="A291" s="1541"/>
      <c r="B291" s="1541"/>
      <c r="C291"/>
      <c r="D291" s="130">
        <f>IF(BX$290="Close to Ear","EN 62209-1","EN 62209-2")</f>
        <v/>
      </c>
      <c r="E291" s="130">
        <f>IF(CG291="Close to Ear","2016","2010/A1:2019")</f>
        <v/>
      </c>
      <c r="F291" s="1488" t="inlineStr">
        <is>
          <t>5.1</t>
        </is>
      </c>
      <c r="G291" s="1497"/>
      <c r="H291" s="120">
        <f>BV291</f>
        <v/>
      </c>
      <c r="I291" s="120">
        <f>BW291</f>
        <v/>
      </c>
      <c r="J291" s="687" t="str">
        <f>BT291</f>
        <v>GSM</v>
      </c>
      <c r="K291" s="194">
        <f>BU291</f>
        <v>1800</v>
      </c>
      <c r="L291" s="115"/>
      <c r="M291" s="120">
        <f>BZ291</f>
        <v>0</v>
      </c>
      <c r="N291" s="119"/>
      <c r="O291" s="131"/>
      <c r="P291" s="6597"/>
      <c r="Q291" s="131"/>
      <c r="R291" s="131"/>
      <c r="S291" s="120">
        <f>CG291</f>
        <v>0</v>
      </c>
      <c r="T291" s="120">
        <f>CC291</f>
        <v>698</v>
      </c>
      <c r="U291" s="120">
        <f>CD291</f>
        <v>1747.4</v>
      </c>
      <c r="V291" s="119"/>
      <c r="W291" s="197">
        <f>CK291*100</f>
        <v/>
      </c>
      <c r="X291" s="119"/>
      <c r="Y291" s="119"/>
      <c r="Z291" s="119"/>
      <c r="AA291" s="115"/>
      <c r="AB291" s="115"/>
      <c r="AC291" s="689">
        <f>IF(OR(BX$290="Close to Ear",BX$290="Close to Head"),"Head",IF(BX$290="Extremity","Extremity","Body"))</f>
        <v/>
      </c>
      <c r="AD291" s="690">
        <f>CA291</f>
        <v/>
      </c>
      <c r="AE291" s="688">
        <f>CB291</f>
        <v/>
      </c>
      <c r="AF291" s="115"/>
      <c r="AG291" s="808">
        <f>IF(AZ291="","N/A",IF(CQ291="Pass","P","F"))</f>
        <v/>
      </c>
      <c r="AH291" s="129"/>
      <c r="AI291" s="129"/>
      <c r="AJ291" s="129"/>
      <c r="AK291" s="119"/>
      <c r="AL291" s="115"/>
      <c r="AM291" s="119"/>
      <c r="AN291" s="119"/>
      <c r="AO291" s="692"/>
      <c r="AP291" s="692"/>
      <c r="AQ291" s="692"/>
      <c r="AR291" s="692"/>
      <c r="AS291" s="692"/>
      <c r="AT291" s="691">
        <f>CE291</f>
        <v/>
      </c>
      <c r="AU291" s="691">
        <f>CF291</f>
        <v/>
      </c>
      <c r="AV291" s="813"/>
      <c r="AW291" s="813"/>
      <c r="AX291" s="197">
        <f>CZ291</f>
        <v/>
      </c>
      <c r="AY291" s="197">
        <f>DE291</f>
        <v/>
      </c>
      <c r="AZ291" s="3379">
        <f>CO291</f>
        <v/>
      </c>
      <c r="BA291" s="3380"/>
      <c r="BB291" s="197">
        <f>CP291</f>
        <v/>
      </c>
      <c r="BC291" s="813"/>
      <c r="BD291" s="197">
        <f>CR291</f>
        <v/>
      </c>
      <c r="BE291" s="121">
        <f>CS291</f>
        <v/>
      </c>
      <c r="BF291" s="122">
        <f>CT291*60</f>
        <v/>
      </c>
      <c r="BG291" s="121">
        <f>BE291</f>
        <v/>
      </c>
      <c r="BH291" s="122">
        <f>CU291*60</f>
        <v/>
      </c>
      <c r="BI291" s="122">
        <f>CV291</f>
        <v/>
      </c>
      <c r="BJ291" s="117"/>
      <c r="BK291" s="812">
        <f>Overview!$E$7</f>
        <v/>
      </c>
      <c r="BL291" s="117"/>
      <c r="BM291" s="836">
        <f>CW291</f>
        <v/>
      </c>
      <c r="BN291" s="812">
        <f>Overview!$P$153</f>
        <v/>
      </c>
      <c r="BO291" s="117"/>
      <c r="BP291" s="117"/>
      <c r="BQ291" s="115"/>
      <c r="BR291" s="1478" t="inlineStr">
        <is>
          <t>N/A</t>
        </is>
      </c>
      <c r="BS291" s="1548"/>
      <c r="BT291" s="2071" t="inlineStr">
        <is>
          <t>GSM</t>
        </is>
      </c>
      <c r="BU291" s="2071">
        <v>1800</v>
      </c>
      <c r="BV291" s="415">
        <f>Overview!$H$31</f>
        <v/>
      </c>
      <c r="BW291" s="2010"/>
      <c r="BX291" s="2071"/>
      <c r="BY291" s="2072"/>
      <c r="BZ291" s="2072"/>
      <c r="CA291" s="2073" t="inlineStr">
        <is>
          <t>Left Tilt</t>
        </is>
      </c>
      <c r="CB291" s="2073">
        <v>0</v>
      </c>
      <c r="CC291" s="902">
        <f>'2G-3G'!BX36</f>
        <v>698</v>
      </c>
      <c r="CD291" s="902">
        <f>'2G-3G'!BY36</f>
        <v>1747.4</v>
      </c>
      <c r="CE291" s="1523"/>
      <c r="CF291" s="1523"/>
      <c r="CG291" s="387" t="str">
        <f>IF(OR($BY$167="",$BY$167=""),"",$BY$167)</f>
        <v/>
      </c>
      <c r="CH291" s="387">
        <f>BZ291</f>
        <v/>
      </c>
      <c r="CI291" s="387">
        <f>CA291</f>
        <v/>
      </c>
      <c r="CJ291" s="1527"/>
      <c r="CK291" s="2042"/>
      <c r="CL291" s="206">
        <f>IF(CF291=""," ",IF(ABS(CE291-CF291)&lt;=0.125,"Valid","Not valid"))</f>
        <v/>
      </c>
      <c r="CM291" s="207">
        <f> IF(CE291="","",IF(AND(CE291&lt;&gt;"",CF291=""),IF(CE291&gt;=1,"Medir+Sig Max","No"),IF(CF291&lt;&gt;"",IF(CF291&gt;=1,"Medir+Sig Max","No"),"")))</f>
        <v/>
      </c>
      <c r="CN291" s="1787"/>
      <c r="CO291" s="220">
        <f>IF(CK291="",IF(AND(CE291="",CF291=""),"",IF(CF291="",IF(DE291&gt;1,ROUND(DE291*CE291,3),CE291),IF(DE291&gt;1,ROUND(DE291*CF291,3),CF291))),IF(AND(CE291="",CF291=""),"",IF(CF291="",IF(DE291&gt;1,ROUND(DE291*CE291*(1/(CK291)),3),CE291*(1/(CK291))),IF(DE291&gt;1,ROUND(DE291*CF291*(1/(CK291)),3),CF291*(1/(CK291))))))</f>
        <v/>
      </c>
      <c r="CP291" s="2043">
        <f>$CP$3</f>
        <v/>
      </c>
      <c r="CQ291" s="1472">
        <f>IF(CO291="","",IF(CO291&gt;CP291,"Fail","Pass"))</f>
        <v/>
      </c>
      <c r="CR291" s="1481">
        <f>IF(AND(MAX(CO290:CO295)=CO291,CO291&lt;&gt;0),COUNT($CR$3:CR290)+1,"")</f>
        <v/>
      </c>
      <c r="CS291" s="1565">
        <f>MyTimestamp(CO291)</f>
        <v/>
      </c>
      <c r="CT291" s="1531">
        <f>IF(CE291="",0,15)+IF(CF291="",0,15)</f>
        <v/>
      </c>
      <c r="CU291" s="1532">
        <f>IF(CT291=0,0,2)</f>
        <v/>
      </c>
      <c r="CV291" s="859" t="inlineStr">
        <is>
          <t>S/02</t>
        </is>
      </c>
      <c r="CW291" s="859" t="inlineStr">
        <is>
          <t>Dasy6</t>
        </is>
      </c>
      <c r="CX291" s="2038"/>
      <c r="CY291" s="2044"/>
      <c r="CZ291" s="1543">
        <f>10^(CJ291/20)*100-100</f>
        <v/>
      </c>
      <c r="DA291" s="1325">
        <f>IF('Tune-Up'!$H$21="","",'Tune-Up'!$H$21)</f>
        <v/>
      </c>
      <c r="DB291" s="701">
        <f>'2G-3G'!BZ36</f>
        <v/>
      </c>
      <c r="DC291" s="769">
        <f>IF(DA291="","",10^(DA291/10))</f>
        <v/>
      </c>
      <c r="DD291" s="1369">
        <f>IF(ISNUMBER(DB291)=FALSE,"",10^(DB291/10))</f>
        <v/>
      </c>
      <c r="DE291" s="1543">
        <f>IF(AND(ISNUMBER(DC291),ISNUMBER(DD291)),IF(DC291/DD291&gt;1,ROUND((DC291)/DD291,3),1),1)</f>
        <v/>
      </c>
      <c r="DF291" s="1541"/>
      <c r="DG291" s="1541"/>
      <c r="DH291" s="1541"/>
      <c r="DI291" s="1541"/>
      <c r="DJ291" s="1541"/>
      <c r="DK291" s="1541"/>
      <c r="DL291" s="1541"/>
      <c r="DM291" s="1541"/>
      <c r="DN291" s="1541"/>
      <c r="DO291" s="1541"/>
      <c r="DP291" s="1541"/>
      <c r="DQ291" s="1541"/>
      <c r="DR291" s="1541"/>
    </row>
    <row r="292" ht="12.75" x14ac:dyDescent="0.2">
      <c r="A292" s="1541"/>
      <c r="B292" s="1541"/>
      <c r="C292"/>
      <c r="D292" s="130">
        <f>IF(BX$290="Close to Ear","EN 62209-1","EN 62209-2")</f>
        <v/>
      </c>
      <c r="E292" s="130">
        <f>IF(CG292="Close to Ear","2016","2010/A1:2019")</f>
        <v/>
      </c>
      <c r="F292" s="1488" t="inlineStr">
        <is>
          <t>5.1</t>
        </is>
      </c>
      <c r="G292" s="1497"/>
      <c r="H292" s="120">
        <f>BV292</f>
        <v/>
      </c>
      <c r="I292" s="120">
        <f>BW292</f>
        <v/>
      </c>
      <c r="J292" s="687" t="str">
        <f>BT292</f>
        <v>GSM</v>
      </c>
      <c r="K292" s="194">
        <f>BU292</f>
        <v>1800</v>
      </c>
      <c r="L292" s="115"/>
      <c r="M292" s="120">
        <f>BZ292</f>
        <v>0</v>
      </c>
      <c r="N292" s="119"/>
      <c r="O292" s="131"/>
      <c r="P292" s="6597"/>
      <c r="Q292" s="131"/>
      <c r="R292" s="131"/>
      <c r="S292" s="120">
        <f>CG292</f>
        <v>0</v>
      </c>
      <c r="T292" s="120">
        <f>CC292</f>
        <v>698</v>
      </c>
      <c r="U292" s="120">
        <f>CD292</f>
        <v>1747.4</v>
      </c>
      <c r="V292" s="119"/>
      <c r="W292" s="197">
        <f>CK292*100</f>
        <v/>
      </c>
      <c r="X292" s="119"/>
      <c r="Y292" s="119"/>
      <c r="Z292" s="119"/>
      <c r="AA292" s="115"/>
      <c r="AB292" s="115"/>
      <c r="AC292" s="689">
        <f>IF(OR(BX$290="Close to Ear",BX$290="Close to Head"),"Head",IF(BX$290="Extremity","Extremity","Body"))</f>
        <v/>
      </c>
      <c r="AD292" s="690">
        <f>CA292</f>
        <v/>
      </c>
      <c r="AE292" s="688">
        <f>CB292</f>
        <v/>
      </c>
      <c r="AF292" s="115"/>
      <c r="AG292" s="808">
        <f>IF(AZ292="","N/A",IF(CQ292="Pass","P","F"))</f>
        <v/>
      </c>
      <c r="AH292" s="129"/>
      <c r="AI292" s="129"/>
      <c r="AJ292" s="129"/>
      <c r="AK292" s="119"/>
      <c r="AL292" s="115"/>
      <c r="AM292" s="119"/>
      <c r="AN292" s="119"/>
      <c r="AO292" s="692"/>
      <c r="AP292" s="692"/>
      <c r="AQ292" s="692"/>
      <c r="AR292" s="692"/>
      <c r="AS292" s="692"/>
      <c r="AT292" s="691">
        <f>CE292</f>
        <v/>
      </c>
      <c r="AU292" s="691">
        <f>CF292</f>
        <v/>
      </c>
      <c r="AV292" s="813"/>
      <c r="AW292" s="813"/>
      <c r="AX292" s="197">
        <f>CZ292</f>
        <v/>
      </c>
      <c r="AY292" s="197">
        <f>DE292</f>
        <v/>
      </c>
      <c r="AZ292" s="3379">
        <f>CO292</f>
        <v/>
      </c>
      <c r="BA292" s="3380"/>
      <c r="BB292" s="197">
        <f>CP292</f>
        <v/>
      </c>
      <c r="BC292" s="813"/>
      <c r="BD292" s="197">
        <f>CR292</f>
        <v/>
      </c>
      <c r="BE292" s="121">
        <f>CS292</f>
        <v/>
      </c>
      <c r="BF292" s="122">
        <f>CT292*60</f>
        <v/>
      </c>
      <c r="BG292" s="121">
        <f>BE292</f>
        <v/>
      </c>
      <c r="BH292" s="122">
        <f>CU292*60</f>
        <v/>
      </c>
      <c r="BI292" s="122">
        <f>CV292</f>
        <v/>
      </c>
      <c r="BJ292" s="117"/>
      <c r="BK292" s="812">
        <f>Overview!$E$7</f>
        <v/>
      </c>
      <c r="BL292" s="117"/>
      <c r="BM292" s="836">
        <f>CW292</f>
        <v/>
      </c>
      <c r="BN292" s="812">
        <f>Overview!$P$153</f>
        <v/>
      </c>
      <c r="BO292" s="117"/>
      <c r="BP292" s="117"/>
      <c r="BQ292" s="115"/>
      <c r="BR292" s="1478" t="inlineStr">
        <is>
          <t>N/A</t>
        </is>
      </c>
      <c r="BS292" s="1548"/>
      <c r="BT292" s="1891" t="inlineStr">
        <is>
          <t>GSM</t>
        </is>
      </c>
      <c r="BU292" s="1891">
        <v>1800</v>
      </c>
      <c r="BV292" s="417">
        <f>Overview!$H$31</f>
        <v/>
      </c>
      <c r="BW292" s="2010"/>
      <c r="BX292" s="1891"/>
      <c r="BY292" s="2072"/>
      <c r="BZ292" s="2072"/>
      <c r="CA292" s="2073" t="inlineStr">
        <is>
          <t>Right Cheek</t>
        </is>
      </c>
      <c r="CB292" s="2073">
        <v>0</v>
      </c>
      <c r="CC292" s="902">
        <f>'2G-3G'!BX36</f>
        <v>698</v>
      </c>
      <c r="CD292" s="902">
        <f>'2G-3G'!BY36</f>
        <v>1747.4</v>
      </c>
      <c r="CE292" s="1523"/>
      <c r="CF292" s="1523"/>
      <c r="CG292" s="387" t="str">
        <f>IF(OR($BY$167="",$BY$167=""),"",$BY$167)</f>
        <v/>
      </c>
      <c r="CH292" s="387">
        <f>BZ292</f>
        <v/>
      </c>
      <c r="CI292" s="387">
        <f>CA292</f>
        <v/>
      </c>
      <c r="CJ292" s="1527"/>
      <c r="CK292" s="2042"/>
      <c r="CL292" s="206">
        <f>IF(CF292=""," ",IF(ABS(CE292-CF292)&lt;=0.125,"Valid","Not valid"))</f>
        <v/>
      </c>
      <c r="CM292" s="207">
        <f> IF(CE292="","",IF(AND(CE292&lt;&gt;"",CF292=""),IF(CE292&gt;=1,"Medir+Sig Max","No"),IF(CF292&lt;&gt;"",IF(CF292&gt;=1,"Medir+Sig Max","No"),"")))</f>
        <v/>
      </c>
      <c r="CN292" s="1787"/>
      <c r="CO292" s="220">
        <f>IF(CK292="",IF(AND(CE292="",CF292=""),"",IF(CF292="",IF(DE292&gt;1,ROUND(DE292*CE292,3),CE292),IF(DE292&gt;1,ROUND(DE292*CF292,3),CF292))),IF(AND(CE292="",CF292=""),"",IF(CF292="",IF(DE292&gt;1,ROUND(DE292*CE292*(1/(CK292)),3),CE292*(1/(CK292))),IF(DE292&gt;1,ROUND(DE292*CF292*(1/(CK292)),3),CF292*(1/(CK292))))))</f>
        <v/>
      </c>
      <c r="CP292" s="2043">
        <f>$CP$3</f>
        <v/>
      </c>
      <c r="CQ292" s="1472">
        <f>IF(CO292="","",IF(CO292&gt;CP292,"Fail","Pass"))</f>
        <v/>
      </c>
      <c r="CR292" s="1481">
        <f>IF(AND(MAX(CO290:CO295)=CO292,CO292&lt;&gt;0),COUNT($CR$3:CR291)+1,"")</f>
        <v/>
      </c>
      <c r="CS292" s="1565">
        <f>MyTimestamp(CO292)</f>
        <v/>
      </c>
      <c r="CT292" s="1531">
        <f>IF(CE292="",0,15)+IF(CF292="",0,15)</f>
        <v/>
      </c>
      <c r="CU292" s="1532">
        <f>IF(CT292=0,0,2)</f>
        <v/>
      </c>
      <c r="CV292" s="859" t="inlineStr">
        <is>
          <t>S/02</t>
        </is>
      </c>
      <c r="CW292" s="859" t="inlineStr">
        <is>
          <t>Dasy6</t>
        </is>
      </c>
      <c r="CX292" s="2038"/>
      <c r="CY292" s="2044"/>
      <c r="CZ292" s="1543">
        <f>10^(CJ292/20)*100-100</f>
        <v/>
      </c>
      <c r="DA292" s="1325">
        <f>IF('Tune-Up'!$H$21="","",'Tune-Up'!$H$21)</f>
        <v/>
      </c>
      <c r="DB292" s="701">
        <f>'2G-3G'!BZ36</f>
        <v/>
      </c>
      <c r="DC292" s="769">
        <f>IF(DA292="","",10^(DA292/10))</f>
        <v/>
      </c>
      <c r="DD292" s="1369">
        <f>IF(ISNUMBER(DB292)=FALSE,"",10^(DB292/10))</f>
        <v/>
      </c>
      <c r="DE292" s="1543">
        <f>IF(AND(ISNUMBER(DC292),ISNUMBER(DD292)),IF(DC292/DD292&gt;1,ROUND((DC292)/DD292,3),1),1)</f>
        <v/>
      </c>
      <c r="DF292" s="1541"/>
      <c r="DG292" s="1541"/>
      <c r="DH292" s="1541"/>
      <c r="DI292" s="1541"/>
      <c r="DJ292" s="1541"/>
      <c r="DK292" s="1541"/>
      <c r="DL292" s="1541"/>
      <c r="DM292" s="1541"/>
      <c r="DN292" s="1541"/>
      <c r="DO292" s="1541"/>
      <c r="DP292" s="1541"/>
      <c r="DQ292" s="1541"/>
      <c r="DR292" s="1541"/>
    </row>
    <row r="293" ht="12.75" x14ac:dyDescent="0.2">
      <c r="A293" s="1541"/>
      <c r="B293" s="1541"/>
      <c r="C293"/>
      <c r="D293" s="130">
        <f>IF(BX$290="Close to Ear","EN 62209-1","EN 62209-2")</f>
        <v/>
      </c>
      <c r="E293" s="130">
        <f>IF(CG293="Close to Ear","2016","2010/A1:2019")</f>
        <v/>
      </c>
      <c r="F293" s="1488" t="inlineStr">
        <is>
          <t>5.1</t>
        </is>
      </c>
      <c r="G293" s="1497"/>
      <c r="H293" s="120">
        <f>BV293</f>
        <v/>
      </c>
      <c r="I293" s="120">
        <f>BW293</f>
        <v/>
      </c>
      <c r="J293" s="687" t="str">
        <f>BT293</f>
        <v>GSM</v>
      </c>
      <c r="K293" s="194">
        <f>BU293</f>
        <v>1800</v>
      </c>
      <c r="L293" s="115"/>
      <c r="M293" s="120">
        <f>BZ293</f>
        <v>0</v>
      </c>
      <c r="N293" s="119"/>
      <c r="O293" s="131"/>
      <c r="P293" s="6597"/>
      <c r="Q293" s="131"/>
      <c r="R293" s="131"/>
      <c r="S293" s="120">
        <f>CG293</f>
        <v>0</v>
      </c>
      <c r="T293" s="120">
        <f>CC293</f>
        <v>698</v>
      </c>
      <c r="U293" s="120">
        <f>CD293</f>
        <v>1747.4</v>
      </c>
      <c r="V293" s="119"/>
      <c r="W293" s="197">
        <f>CK293*100</f>
        <v/>
      </c>
      <c r="X293" s="119"/>
      <c r="Y293" s="119"/>
      <c r="Z293" s="119"/>
      <c r="AA293" s="115"/>
      <c r="AB293" s="115"/>
      <c r="AC293" s="689">
        <f>IF(OR(BX$290="Close to Ear",BX$290="Close to Head"),"Head",IF(BX$290="Extremity","Extremity","Body"))</f>
        <v/>
      </c>
      <c r="AD293" s="690">
        <f>CA293</f>
        <v/>
      </c>
      <c r="AE293" s="688">
        <f>CB293</f>
        <v/>
      </c>
      <c r="AF293" s="115"/>
      <c r="AG293" s="808">
        <f>IF(AZ293="","N/A",IF(CQ293="Pass","P","F"))</f>
        <v/>
      </c>
      <c r="AH293" s="129"/>
      <c r="AI293" s="129"/>
      <c r="AJ293" s="129"/>
      <c r="AK293" s="119"/>
      <c r="AL293" s="115"/>
      <c r="AM293" s="119"/>
      <c r="AN293" s="119"/>
      <c r="AO293" s="692"/>
      <c r="AP293" s="692"/>
      <c r="AQ293" s="692"/>
      <c r="AR293" s="692"/>
      <c r="AS293" s="692"/>
      <c r="AT293" s="691">
        <f>CE293</f>
        <v/>
      </c>
      <c r="AU293" s="691">
        <f>CF293</f>
        <v/>
      </c>
      <c r="AV293" s="813"/>
      <c r="AW293" s="813"/>
      <c r="AX293" s="197">
        <f>CZ293</f>
        <v/>
      </c>
      <c r="AY293" s="197">
        <f>DE293</f>
        <v/>
      </c>
      <c r="AZ293" s="3379">
        <f>CO293</f>
        <v/>
      </c>
      <c r="BA293" s="3380"/>
      <c r="BB293" s="197">
        <f>CP293</f>
        <v/>
      </c>
      <c r="BC293" s="813"/>
      <c r="BD293" s="197">
        <f>CR293</f>
        <v/>
      </c>
      <c r="BE293" s="121">
        <f>CS293</f>
        <v/>
      </c>
      <c r="BF293" s="122">
        <f>CT293*60</f>
        <v/>
      </c>
      <c r="BG293" s="121">
        <f>BE293</f>
        <v/>
      </c>
      <c r="BH293" s="122">
        <f>CU293*60</f>
        <v/>
      </c>
      <c r="BI293" s="122">
        <f>CV293</f>
        <v/>
      </c>
      <c r="BJ293" s="117"/>
      <c r="BK293" s="812">
        <f>Overview!$E$7</f>
        <v/>
      </c>
      <c r="BL293" s="117"/>
      <c r="BM293" s="836">
        <f>CW293</f>
        <v/>
      </c>
      <c r="BN293" s="812">
        <f>Overview!$P$153</f>
        <v/>
      </c>
      <c r="BO293" s="117"/>
      <c r="BP293" s="117"/>
      <c r="BQ293" s="115"/>
      <c r="BR293" s="1478" t="inlineStr">
        <is>
          <t>N/A</t>
        </is>
      </c>
      <c r="BS293" s="1548"/>
      <c r="BT293" s="2071" t="inlineStr">
        <is>
          <t>GSM</t>
        </is>
      </c>
      <c r="BU293" s="2071">
        <v>1800</v>
      </c>
      <c r="BV293" s="415">
        <f>Overview!$H$31</f>
        <v/>
      </c>
      <c r="BW293" s="2010"/>
      <c r="BX293" s="2071"/>
      <c r="BY293" s="2072"/>
      <c r="BZ293" s="2072"/>
      <c r="CA293" s="2073" t="inlineStr">
        <is>
          <t>Right Tilt</t>
        </is>
      </c>
      <c r="CB293" s="2073">
        <v>0</v>
      </c>
      <c r="CC293" s="902">
        <f>'2G-3G'!BX36</f>
        <v>698</v>
      </c>
      <c r="CD293" s="902">
        <f>'2G-3G'!BY36</f>
        <v>1747.4</v>
      </c>
      <c r="CE293" s="1523"/>
      <c r="CF293" s="1523"/>
      <c r="CG293" s="387" t="str">
        <f>IF(OR($BY$167="",$BY$167=""),"",$BY$167)</f>
        <v/>
      </c>
      <c r="CH293" s="387">
        <f>BZ293</f>
        <v/>
      </c>
      <c r="CI293" s="387">
        <f>CA293</f>
        <v/>
      </c>
      <c r="CJ293" s="1527"/>
      <c r="CK293" s="2042"/>
      <c r="CL293" s="206">
        <f>IF(CF293=""," ",IF(ABS(CE293-CF293)&lt;=0.125,"Valid","Not valid"))</f>
        <v/>
      </c>
      <c r="CM293" s="207">
        <f> IF(CE293="","",IF(AND(CE293&lt;&gt;"",CF293=""),IF(CE293&gt;=1,"Medir+Sig Max","No"),IF(CF293&lt;&gt;"",IF(CF293&gt;=1,"Medir+Sig Max","No"),"")))</f>
        <v/>
      </c>
      <c r="CN293" s="1787"/>
      <c r="CO293" s="220">
        <f>IF(CK293="",IF(AND(CE293="",CF293=""),"",IF(CF293="",IF(DE293&gt;1,ROUND(DE293*CE293,3),CE293),IF(DE293&gt;1,ROUND(DE293*CF293,3),CF293))),IF(AND(CE293="",CF293=""),"",IF(CF293="",IF(DE293&gt;1,ROUND(DE293*CE293*(1/(CK293)),3),CE293*(1/(CK293))),IF(DE293&gt;1,ROUND(DE293*CF293*(1/(CK293)),3),CF293*(1/(CK293))))))</f>
        <v/>
      </c>
      <c r="CP293" s="2043">
        <f>$CP$3</f>
        <v/>
      </c>
      <c r="CQ293" s="1472">
        <f>IF(CO293="","",IF(CO293&gt;CP293,"Fail","Pass"))</f>
        <v/>
      </c>
      <c r="CR293" s="1481">
        <f>IF(AND(MAX(CO290:CO295)=CO293,CO293&lt;&gt;0),COUNT($CR$3:CR292)+1,"")</f>
        <v/>
      </c>
      <c r="CS293" s="1565">
        <f>MyTimestamp(CO293)</f>
        <v/>
      </c>
      <c r="CT293" s="1531">
        <f>IF(CE293="",0,15)+IF(CF293="",0,15)</f>
        <v/>
      </c>
      <c r="CU293" s="1532">
        <f>IF(CT293=0,0,2)</f>
        <v/>
      </c>
      <c r="CV293" s="859" t="inlineStr">
        <is>
          <t>S/02</t>
        </is>
      </c>
      <c r="CW293" s="859" t="inlineStr">
        <is>
          <t>Dasy6</t>
        </is>
      </c>
      <c r="CX293" s="2038"/>
      <c r="CY293" s="2044"/>
      <c r="CZ293" s="1543">
        <f>10^(CJ293/20)*100-100</f>
        <v/>
      </c>
      <c r="DA293" s="1325">
        <f>IF('Tune-Up'!$H$21="","",'Tune-Up'!$H$21)</f>
        <v/>
      </c>
      <c r="DB293" s="701">
        <f>'2G-3G'!BZ36</f>
        <v/>
      </c>
      <c r="DC293" s="769">
        <f>IF(DA293="","",10^(DA293/10))</f>
        <v/>
      </c>
      <c r="DD293" s="1369">
        <f>IF(ISNUMBER(DB293)=FALSE,"",10^(DB293/10))</f>
        <v/>
      </c>
      <c r="DE293" s="1543">
        <f>IF(AND(ISNUMBER(DC293),ISNUMBER(DD293)),IF(DC293/DD293&gt;1,ROUND((DC293)/DD293,3),1),1)</f>
        <v/>
      </c>
      <c r="DF293" s="1541"/>
      <c r="DG293" s="1541"/>
      <c r="DH293" s="1541"/>
      <c r="DI293" s="1541"/>
      <c r="DJ293" s="1541"/>
      <c r="DK293" s="1541"/>
      <c r="DL293" s="1541"/>
      <c r="DM293" s="1541"/>
      <c r="DN293" s="1541"/>
      <c r="DO293" s="1541"/>
      <c r="DP293" s="1541"/>
      <c r="DQ293" s="1541"/>
      <c r="DR293" s="1541"/>
    </row>
    <row r="294" ht="12.75" x14ac:dyDescent="0.2">
      <c r="A294" s="1541"/>
      <c r="B294" s="1541"/>
      <c r="C294"/>
      <c r="D294" s="130">
        <f>IF(BX$290="Close to Ear","EN 62209-1","EN 62209-2")</f>
        <v/>
      </c>
      <c r="E294" s="130">
        <f>IF(CG294="Close to Ear","2016","2010/A1:2019")</f>
        <v/>
      </c>
      <c r="F294" s="1488" t="inlineStr">
        <is>
          <t>5.1</t>
        </is>
      </c>
      <c r="G294" s="1497"/>
      <c r="H294" s="120">
        <f>BV294</f>
        <v/>
      </c>
      <c r="I294" s="120">
        <f>BW294</f>
        <v/>
      </c>
      <c r="J294" s="687" t="str">
        <f>BT294</f>
        <v>GSM</v>
      </c>
      <c r="K294" s="194">
        <f>BU294</f>
        <v>1800</v>
      </c>
      <c r="L294" s="115"/>
      <c r="M294" s="120">
        <f>BZ294</f>
        <v>0</v>
      </c>
      <c r="N294" s="119"/>
      <c r="O294" s="131"/>
      <c r="P294" s="6597"/>
      <c r="Q294" s="131"/>
      <c r="R294" s="131"/>
      <c r="S294" s="120">
        <f>CG294</f>
        <v>0</v>
      </c>
      <c r="T294" s="120">
        <f>CC294</f>
        <v>512</v>
      </c>
      <c r="U294" s="120">
        <f>CD294</f>
        <v>1710.2</v>
      </c>
      <c r="V294" s="119"/>
      <c r="W294" s="197">
        <f>CK294*100</f>
        <v/>
      </c>
      <c r="X294" s="119"/>
      <c r="Y294" s="119"/>
      <c r="Z294" s="119"/>
      <c r="AA294" s="115"/>
      <c r="AB294" s="115"/>
      <c r="AC294" s="689">
        <f>IF(OR(BX$290="Close to Ear",BX$290="Close to Head"),"Head",IF(BX$290="Extremity","Extremity","Body"))</f>
        <v/>
      </c>
      <c r="AD294" s="690">
        <f>CA294</f>
        <v/>
      </c>
      <c r="AE294" s="688">
        <f>CB294</f>
        <v/>
      </c>
      <c r="AF294" s="115"/>
      <c r="AG294" s="808">
        <f>IF(AZ294="","N/A",IF(CQ294="Pass","P","F"))</f>
        <v/>
      </c>
      <c r="AH294" s="129"/>
      <c r="AI294" s="129"/>
      <c r="AJ294" s="129"/>
      <c r="AK294" s="119"/>
      <c r="AL294" s="115"/>
      <c r="AM294" s="119"/>
      <c r="AN294" s="119"/>
      <c r="AO294" s="692"/>
      <c r="AP294" s="692"/>
      <c r="AQ294" s="692"/>
      <c r="AR294" s="692"/>
      <c r="AS294" s="692"/>
      <c r="AT294" s="691">
        <f>CE294</f>
        <v/>
      </c>
      <c r="AU294" s="691">
        <f>CF294</f>
        <v/>
      </c>
      <c r="AV294" s="813"/>
      <c r="AW294" s="813"/>
      <c r="AX294" s="197">
        <f>CZ294</f>
        <v/>
      </c>
      <c r="AY294" s="197">
        <f>DE294</f>
        <v/>
      </c>
      <c r="AZ294" s="3379">
        <f>CO294</f>
        <v/>
      </c>
      <c r="BA294" s="3380"/>
      <c r="BB294" s="197">
        <f>CP294</f>
        <v/>
      </c>
      <c r="BC294" s="813"/>
      <c r="BD294" s="197">
        <f>CR294</f>
        <v/>
      </c>
      <c r="BE294" s="121">
        <f>CS294</f>
        <v/>
      </c>
      <c r="BF294" s="122">
        <f>CT294*60</f>
        <v/>
      </c>
      <c r="BG294" s="121">
        <f>BE294</f>
        <v/>
      </c>
      <c r="BH294" s="122">
        <f>CU294*60</f>
        <v/>
      </c>
      <c r="BI294" s="122">
        <f>CV294</f>
        <v/>
      </c>
      <c r="BJ294" s="117"/>
      <c r="BK294" s="812">
        <f>Overview!$E$7</f>
        <v/>
      </c>
      <c r="BL294" s="117"/>
      <c r="BM294" s="836">
        <f>CW294</f>
        <v/>
      </c>
      <c r="BN294" s="812">
        <f>Overview!$P$153</f>
        <v/>
      </c>
      <c r="BO294" s="117"/>
      <c r="BP294" s="117"/>
      <c r="BQ294" s="115"/>
      <c r="BR294" s="1478" t="inlineStr">
        <is>
          <t>N/A</t>
        </is>
      </c>
      <c r="BS294" s="1548"/>
      <c r="BT294" s="2071" t="inlineStr">
        <is>
          <t>GSM</t>
        </is>
      </c>
      <c r="BU294" s="2071">
        <v>1800</v>
      </c>
      <c r="BV294" s="415">
        <f>Overview!$H$31</f>
        <v/>
      </c>
      <c r="BW294" s="2010"/>
      <c r="BX294" s="2071"/>
      <c r="BY294" s="2072"/>
      <c r="BZ294" s="2072"/>
      <c r="CA294" s="416" t="str">
        <f>IF(COUNT(CF290:CF293)=0,IF(COUNT(CE290:CE293)=0,"TBD",VLOOKUP(MAX(CE290:CE293),CE290:CI293,5,FALSE)),VLOOKUP(MAX(CF290:CF293),CF290:CI293,4,FALSE))</f>
        <v>TBD</v>
      </c>
      <c r="CB294" s="2073">
        <v>0</v>
      </c>
      <c r="CC294" s="902">
        <f>'2G-3G'!BX37</f>
        <v>512</v>
      </c>
      <c r="CD294" s="902">
        <f>'2G-3G'!BY37</f>
        <v>1710.2</v>
      </c>
      <c r="CE294" s="1523"/>
      <c r="CF294" s="1523"/>
      <c r="CG294" s="387" t="str">
        <f>IF(OR($BY$167="",$BY$167=""),"",$BY$167)</f>
        <v/>
      </c>
      <c r="CH294" s="387">
        <f>BZ294</f>
        <v/>
      </c>
      <c r="CI294" s="387">
        <f>CA294</f>
        <v/>
      </c>
      <c r="CJ294" s="1527"/>
      <c r="CK294" s="2042"/>
      <c r="CL294" s="206">
        <f>IF(CF294=""," ",IF(ABS(CE294-CF294)&lt;=0.125,"Valid","Not valid"))</f>
        <v/>
      </c>
      <c r="CM294" s="207">
        <f> IF(CE294="","",IF(AND(CE294&lt;&gt;"",CF294=""),IF(CE294&gt;=1,"Medir+Sig Max","No"),IF(CF294&lt;&gt;"",IF(CF294&gt;=1,"Medir+Sig Max","No"),"")))</f>
        <v/>
      </c>
      <c r="CN294" s="1787"/>
      <c r="CO294" s="220">
        <f>IF(CK294="",IF(AND(CE294="",CF294=""),"",IF(CF294="",IF(DE294&gt;1,ROUND(DE294*CE294,3),CE294),IF(DE294&gt;1,ROUND(DE294*CF294,3),CF294))),IF(AND(CE294="",CF294=""),"",IF(CF294="",IF(DE294&gt;1,ROUND(DE294*CE294*(1/(CK294)),3),CE294*(1/(CK294))),IF(DE294&gt;1,ROUND(DE294*CF294*(1/(CK294)),3),CF294*(1/(CK294))))))</f>
        <v/>
      </c>
      <c r="CP294" s="2043">
        <f>$CP$3</f>
        <v/>
      </c>
      <c r="CQ294" s="1472">
        <f>IF(CO294="","",IF(CO294&gt;CP294,"Fail","Pass"))</f>
        <v/>
      </c>
      <c r="CR294" s="1481">
        <f>IF(AND(MAX(CO290:CO295)=CO294,CO294&lt;&gt;0),COUNT($CR$3:CR293)+1,"")</f>
        <v/>
      </c>
      <c r="CS294" s="1565">
        <f>MyTimestamp(CO294)</f>
        <v/>
      </c>
      <c r="CT294" s="1531">
        <f>IF(CE294="",0,15)+IF(CF294="",0,15)</f>
        <v/>
      </c>
      <c r="CU294" s="1532">
        <f>IF(CT294=0,0,2)</f>
        <v/>
      </c>
      <c r="CV294" s="859" t="inlineStr">
        <is>
          <t>S/02</t>
        </is>
      </c>
      <c r="CW294" s="859" t="inlineStr">
        <is>
          <t>Dasy6</t>
        </is>
      </c>
      <c r="CX294" s="2038"/>
      <c r="CY294" s="2044"/>
      <c r="CZ294" s="1543">
        <f>10^(CJ294/20)*100-100</f>
        <v/>
      </c>
      <c r="DA294" s="1325">
        <f>IF('Tune-Up'!$H$21="","",'Tune-Up'!$H$21)</f>
        <v/>
      </c>
      <c r="DB294" s="701">
        <f>'2G-3G'!BZ37</f>
        <v/>
      </c>
      <c r="DC294" s="769">
        <f>IF(DA294="","",10^(DA294/10))</f>
        <v/>
      </c>
      <c r="DD294" s="1369">
        <f>IF(ISNUMBER(DB294)=FALSE,"",10^(DB294/10))</f>
        <v/>
      </c>
      <c r="DE294" s="1543">
        <f>IF(AND(ISNUMBER(DC294),ISNUMBER(DD294)),IF(DC294/DD294&gt;1,ROUND((DC294)/DD294,3),1),1)</f>
        <v/>
      </c>
      <c r="DF294" s="1541"/>
      <c r="DG294" s="1541"/>
      <c r="DH294" s="1541"/>
      <c r="DI294" s="1541"/>
      <c r="DJ294" s="1541"/>
      <c r="DK294" s="1541"/>
      <c r="DL294" s="1541"/>
      <c r="DM294" s="1541"/>
      <c r="DN294" s="1541"/>
      <c r="DO294" s="1541"/>
      <c r="DP294" s="1541"/>
      <c r="DQ294" s="1541"/>
      <c r="DR294" s="1541"/>
    </row>
    <row r="295" ht="12.75" x14ac:dyDescent="0.2">
      <c r="A295" s="1541"/>
      <c r="B295" s="1541"/>
      <c r="C295"/>
      <c r="D295" s="130">
        <f>IF(BX$290="Close to Ear","EN 62209-1","EN 62209-2")</f>
        <v/>
      </c>
      <c r="E295" s="130">
        <f>IF(CG295="Close to Ear","2016","2010/A1:2019")</f>
        <v/>
      </c>
      <c r="F295" s="1488" t="inlineStr">
        <is>
          <t>5.1</t>
        </is>
      </c>
      <c r="G295" s="1497"/>
      <c r="H295" s="120">
        <f>BV295</f>
        <v/>
      </c>
      <c r="I295" s="120">
        <f>BW295</f>
        <v/>
      </c>
      <c r="J295" s="687" t="str">
        <f>BT295</f>
        <v>GSM</v>
      </c>
      <c r="K295" s="194">
        <f>BU295</f>
        <v>1800</v>
      </c>
      <c r="L295" s="115"/>
      <c r="M295" s="120">
        <f>BZ295</f>
        <v>0</v>
      </c>
      <c r="N295" s="119"/>
      <c r="O295" s="131"/>
      <c r="P295" s="6597"/>
      <c r="Q295" s="131"/>
      <c r="R295" s="131"/>
      <c r="S295" s="120">
        <f>CG295</f>
        <v>0</v>
      </c>
      <c r="T295" s="120">
        <f>CC295</f>
        <v>885</v>
      </c>
      <c r="U295" s="120">
        <f>CD295</f>
        <v>1784.8</v>
      </c>
      <c r="V295" s="119"/>
      <c r="W295" s="197">
        <f>CK295*100</f>
        <v/>
      </c>
      <c r="X295" s="119"/>
      <c r="Y295" s="119"/>
      <c r="Z295" s="119"/>
      <c r="AA295" s="115"/>
      <c r="AB295" s="115"/>
      <c r="AC295" s="689">
        <f>IF(OR(BX$290="Close to Ear",BX$290="Close to Head"),"Head",IF(BX$290="Extremity","Extremity","Body"))</f>
        <v/>
      </c>
      <c r="AD295" s="690">
        <f>CA295</f>
        <v/>
      </c>
      <c r="AE295" s="688">
        <f>CB295</f>
        <v/>
      </c>
      <c r="AF295" s="115"/>
      <c r="AG295" s="808">
        <f>IF(AZ295="","N/A",IF(CQ295="Pass","P","F"))</f>
        <v/>
      </c>
      <c r="AH295" s="129"/>
      <c r="AI295" s="129"/>
      <c r="AJ295" s="129"/>
      <c r="AK295" s="119"/>
      <c r="AL295" s="115"/>
      <c r="AM295" s="119"/>
      <c r="AN295" s="119"/>
      <c r="AO295" s="692"/>
      <c r="AP295" s="692"/>
      <c r="AQ295" s="692"/>
      <c r="AR295" s="692"/>
      <c r="AS295" s="692"/>
      <c r="AT295" s="691">
        <f>CE295</f>
        <v/>
      </c>
      <c r="AU295" s="691">
        <f>CF295</f>
        <v/>
      </c>
      <c r="AV295" s="813"/>
      <c r="AW295" s="813"/>
      <c r="AX295" s="197">
        <f>CZ295</f>
        <v/>
      </c>
      <c r="AY295" s="197">
        <f>DE295</f>
        <v/>
      </c>
      <c r="AZ295" s="3379">
        <f>CO295</f>
        <v/>
      </c>
      <c r="BA295" s="3380"/>
      <c r="BB295" s="197">
        <f>CP295</f>
        <v/>
      </c>
      <c r="BC295" s="813"/>
      <c r="BD295" s="197">
        <f>CR295</f>
        <v/>
      </c>
      <c r="BE295" s="121">
        <f>CS295</f>
        <v/>
      </c>
      <c r="BF295" s="122">
        <f>CT295*60</f>
        <v/>
      </c>
      <c r="BG295" s="121">
        <f>BE295</f>
        <v/>
      </c>
      <c r="BH295" s="122">
        <f>CU295*60</f>
        <v/>
      </c>
      <c r="BI295" s="122">
        <f>CV295</f>
        <v/>
      </c>
      <c r="BJ295" s="117"/>
      <c r="BK295" s="812">
        <f>Overview!$E$7</f>
        <v/>
      </c>
      <c r="BL295" s="117"/>
      <c r="BM295" s="836">
        <f>CW295</f>
        <v/>
      </c>
      <c r="BN295" s="812">
        <f>Overview!$P$153</f>
        <v/>
      </c>
      <c r="BO295" s="117"/>
      <c r="BP295" s="117"/>
      <c r="BQ295" s="115"/>
      <c r="BR295" s="1478" t="inlineStr">
        <is>
          <t>N/A</t>
        </is>
      </c>
      <c r="BS295" s="1548"/>
      <c r="BT295" s="2071" t="inlineStr">
        <is>
          <t>GSM</t>
        </is>
      </c>
      <c r="BU295" s="2071">
        <v>1800</v>
      </c>
      <c r="BV295" s="415">
        <f>Overview!$H$31</f>
        <v/>
      </c>
      <c r="BW295" s="2010"/>
      <c r="BX295" s="2071"/>
      <c r="BY295" s="2072"/>
      <c r="BZ295" s="2072"/>
      <c r="CA295" s="418" t="str">
        <f>IF(COUNT(CF290:CF293)=0,IF(COUNT(CE290:CE293)=0,"TBD",VLOOKUP(MAX(CE290:CE293),CE290:CI293,5,FALSE)),VLOOKUP(MAX(CF290:CF293),CF290:CI293,4,FALSE))</f>
        <v>TBD</v>
      </c>
      <c r="CB295" s="2074">
        <v>0</v>
      </c>
      <c r="CC295" s="1089">
        <f>'2G-3G'!BX38</f>
        <v>885</v>
      </c>
      <c r="CD295" s="1089">
        <f>'2G-3G'!BY38</f>
        <v>1784.8</v>
      </c>
      <c r="CE295" s="1874"/>
      <c r="CF295" s="1874"/>
      <c r="CG295" s="388" t="str">
        <f>IF(OR($BY$167="",$BY$167=""),"",$BY$167)</f>
        <v/>
      </c>
      <c r="CH295" s="388">
        <f>BZ295</f>
        <v/>
      </c>
      <c r="CI295" s="388">
        <f>CA295</f>
        <v/>
      </c>
      <c r="CJ295" s="2046"/>
      <c r="CK295" s="2047"/>
      <c r="CL295" s="209">
        <f>IF(CF295=""," ",IF(ABS(CE295-CF295)&lt;=0.125,"Valid","Not valid"))</f>
        <v/>
      </c>
      <c r="CM295" s="210">
        <f> IF(CE295="","",IF(AND(CE295&lt;&gt;"",CF295=""),IF(CE295&gt;=1,"Medir+Sig Max","No"),IF(CF295&lt;&gt;"",IF(CF295&gt;=1,"Medir+Sig Max","No"),"")))</f>
        <v/>
      </c>
      <c r="CN295" s="1792"/>
      <c r="CO295" s="221">
        <f>IF(CK295="",IF(AND(CE295="",CF295=""),"",IF(CF295="",IF(DE295&gt;1,ROUND(DE295*CE295,3),CE295),IF(DE295&gt;1,ROUND(DE295*CF295,3),CF295))),IF(AND(CE295="",CF295=""),"",IF(CF295="",IF(DE295&gt;1,ROUND(DE295*CE295*(1/(CK295)),3),CE295*(1/(CK295))),IF(DE295&gt;1,ROUND(DE295*CF295*(1/(CK295)),3),CF295*(1/(CK295))))))</f>
        <v/>
      </c>
      <c r="CP295" s="2048">
        <f>$CP$3</f>
        <v/>
      </c>
      <c r="CQ295" s="1473">
        <f>IF(CO295="","",IF(CO295&gt;CP295,"Fail","Pass"))</f>
        <v/>
      </c>
      <c r="CR295" s="1482">
        <f>IF(AND(MAX(CO290:CO295)=CO295,CO295&lt;&gt;0),COUNT($CR$3:CR294)+1,"")</f>
        <v/>
      </c>
      <c r="CS295" s="2002">
        <f>MyTimestamp(CO295)</f>
        <v/>
      </c>
      <c r="CT295" s="1533">
        <f>IF(CE295="",0,15)+IF(CF295="",0,15)</f>
        <v/>
      </c>
      <c r="CU295" s="1534">
        <f>IF(CT295=0,0,2)</f>
        <v/>
      </c>
      <c r="CV295" s="860" t="inlineStr">
        <is>
          <t>S/02</t>
        </is>
      </c>
      <c r="CW295" s="860" t="inlineStr">
        <is>
          <t>Dasy6</t>
        </is>
      </c>
      <c r="CX295" s="2038"/>
      <c r="CY295" s="2049"/>
      <c r="CZ295" s="1544">
        <f>10^(CJ295/20)*100-100</f>
        <v/>
      </c>
      <c r="DA295" s="1326">
        <f>IF('Tune-Up'!$H$21="","",'Tune-Up'!$H$21)</f>
        <v/>
      </c>
      <c r="DB295" s="702">
        <f>'2G-3G'!BZ38</f>
        <v/>
      </c>
      <c r="DC295" s="770">
        <f>IF(DA295="","",10^(DA295/10))</f>
        <v/>
      </c>
      <c r="DD295" s="1370">
        <f>IF(ISNUMBER(DB295)=FALSE,"",10^(DB295/10))</f>
        <v/>
      </c>
      <c r="DE295" s="1544">
        <f>IF(AND(ISNUMBER(DC295),ISNUMBER(DD295)),IF(DC295/DD295&gt;1,ROUND((DC295)/DD295,3),1),1)</f>
        <v/>
      </c>
      <c r="DF295" s="1541"/>
      <c r="DG295" s="1541"/>
      <c r="DH295" s="1541"/>
      <c r="DI295" s="1541"/>
      <c r="DJ295" s="1541"/>
      <c r="DK295" s="1541"/>
      <c r="DL295" s="1541"/>
      <c r="DM295" s="1541"/>
      <c r="DN295" s="1541"/>
      <c r="DO295" s="1541"/>
      <c r="DP295" s="1541"/>
      <c r="DQ295" s="1541"/>
      <c r="DR295" s="1541"/>
    </row>
    <row r="296" ht="12.75" x14ac:dyDescent="0.2">
      <c r="A296" s="1541"/>
      <c r="B296" s="1541"/>
      <c r="C296"/>
      <c r="D296" s="130">
        <f>IF(BX$290="Close to Ear","EN 62209-1","EN 62209-2")</f>
        <v/>
      </c>
      <c r="E296" s="130">
        <f>IF(CG296="Close to Ear","2016","2010/A1:2019")</f>
        <v/>
      </c>
      <c r="F296" s="1488" t="inlineStr">
        <is>
          <t>5.1</t>
        </is>
      </c>
      <c r="G296" s="1497"/>
      <c r="H296" s="120">
        <f>BV296</f>
        <v/>
      </c>
      <c r="I296" s="120">
        <f>BW296</f>
        <v/>
      </c>
      <c r="J296" s="687">
        <f>BT296</f>
        <v/>
      </c>
      <c r="K296" s="194">
        <f>BU296</f>
        <v/>
      </c>
      <c r="L296" s="115"/>
      <c r="M296" s="120">
        <f>BZ296</f>
        <v/>
      </c>
      <c r="N296" s="119"/>
      <c r="O296" s="131"/>
      <c r="P296" s="6597"/>
      <c r="Q296" s="131"/>
      <c r="R296" s="131"/>
      <c r="S296" s="120">
        <f>CG296</f>
        <v/>
      </c>
      <c r="T296" s="120">
        <f>CC296</f>
        <v/>
      </c>
      <c r="U296" s="120">
        <f>CD296</f>
        <v/>
      </c>
      <c r="V296" s="119"/>
      <c r="W296" s="197">
        <f>CK296*100</f>
        <v/>
      </c>
      <c r="X296" s="119"/>
      <c r="Y296" s="119"/>
      <c r="Z296" s="119"/>
      <c r="AA296" s="115"/>
      <c r="AB296" s="115"/>
      <c r="AC296" s="689">
        <f>IF(OR(BX$290="Close to Ear",BX$290="Close to Head"),"Head",IF(BX$290="Extremity","Extremity","Body"))</f>
        <v/>
      </c>
      <c r="AD296" s="690">
        <f>CA296</f>
        <v/>
      </c>
      <c r="AE296" s="688">
        <f>CB296</f>
        <v/>
      </c>
      <c r="AF296" s="115"/>
      <c r="AG296" s="808">
        <f>IF(AZ296="","N/A",IF(CQ296="Pass","P","F"))</f>
        <v/>
      </c>
      <c r="AH296" s="129"/>
      <c r="AI296" s="129"/>
      <c r="AJ296" s="129"/>
      <c r="AK296" s="119"/>
      <c r="AL296" s="115"/>
      <c r="AM296" s="119"/>
      <c r="AN296" s="119"/>
      <c r="AO296" s="692"/>
      <c r="AP296" s="692"/>
      <c r="AQ296" s="692"/>
      <c r="AR296" s="692"/>
      <c r="AS296" s="692"/>
      <c r="AT296" s="691">
        <f>CE296</f>
        <v/>
      </c>
      <c r="AU296" s="691">
        <f>CF296</f>
        <v/>
      </c>
      <c r="AV296" s="813"/>
      <c r="AW296" s="813"/>
      <c r="AX296" s="197">
        <f>CZ296</f>
        <v/>
      </c>
      <c r="AY296" s="197">
        <f>DE296</f>
        <v/>
      </c>
      <c r="AZ296" s="3379">
        <f>CO296</f>
        <v/>
      </c>
      <c r="BA296" s="3380"/>
      <c r="BB296" s="197">
        <f>CP296</f>
        <v/>
      </c>
      <c r="BC296" s="813"/>
      <c r="BD296" s="197">
        <f>CR296</f>
        <v/>
      </c>
      <c r="BE296" s="121">
        <f>CS296</f>
        <v/>
      </c>
      <c r="BF296" s="122">
        <f>CT296*60</f>
        <v/>
      </c>
      <c r="BG296" s="121">
        <f>BE296</f>
        <v/>
      </c>
      <c r="BH296" s="122">
        <f>CU296*60</f>
        <v/>
      </c>
      <c r="BI296" s="122">
        <f>CV296</f>
        <v/>
      </c>
      <c r="BJ296" s="117"/>
      <c r="BK296" s="812">
        <f>Overview!$E$7</f>
        <v/>
      </c>
      <c r="BL296" s="117"/>
      <c r="BM296" s="836">
        <f>CW296</f>
        <v/>
      </c>
      <c r="BN296" s="812">
        <f>Overview!$P$153</f>
        <v/>
      </c>
      <c r="BO296" s="117"/>
      <c r="BP296" s="117"/>
      <c r="BQ296" s="115"/>
      <c r="BR296" s="1478" t="inlineStr">
        <is>
          <t>N/A</t>
        </is>
      </c>
      <c r="BS296" s="1548"/>
      <c r="BT296" s="2071" t="inlineStr">
        <is>
          <t>GSM</t>
        </is>
      </c>
      <c r="BU296" s="2071">
        <v>1800</v>
      </c>
      <c r="BV296" s="415">
        <f>Overview!$H$31</f>
        <v/>
      </c>
      <c r="BW296" s="2010"/>
      <c r="BX296" s="2071"/>
      <c r="BY296" s="2072"/>
      <c r="BZ296" s="2072"/>
      <c r="CA296" s="418" t="str">
        <f>CONCATENATE(CA294," - Battery check 1")</f>
        <v>TBD - Battery check 1</v>
      </c>
      <c r="CB296" s="2074">
        <v>0</v>
      </c>
      <c r="CC296" s="1089">
        <f>IF(COUNT($CO$290:$CO$295)=0,"N/A",INDEX($CC$290:$CC$295,MATCH(MAX($CO$290:$CO$295),$CO$290:$CO$295,0)))</f>
        <v/>
      </c>
      <c r="CD296" s="1089">
        <f>IF(COUNT($CO$290:$CO$295)=0,"N/A",INDEX($CD$290:$CD$295,MATCH(MAX($CO$290:$CO$295),$CO$290:$CO$295,0)))</f>
        <v/>
      </c>
      <c r="CE296" s="1874"/>
      <c r="CF296" s="1874"/>
      <c r="CG296" s="388" t="inlineStr">
        <is>
          <t>N/A</t>
        </is>
      </c>
      <c r="CH296" s="388">
        <f>BZ296</f>
        <v/>
      </c>
      <c r="CI296" s="388">
        <f>CA296</f>
        <v/>
      </c>
      <c r="CJ296" s="2046"/>
      <c r="CK296" s="2047"/>
      <c r="CL296" s="209">
        <f>IF(CF296=""," ",IF(ABS(CE296-CF296)&lt;=0.125,"Valid","Not valid"))</f>
        <v/>
      </c>
      <c r="CM296" s="210">
        <f> IF(CE296="","",IF(AND(CE296&lt;&gt;"",CF296=""),IF(CE296&gt;=1,"Medir+Sig Max","No"),IF(CF296&lt;&gt;"",IF(CF296&gt;=1,"Medir+Sig Max","No"),"")))</f>
        <v/>
      </c>
      <c r="CN296" s="1792"/>
      <c r="CO296" s="221">
        <f>IF(CK296="",IF(AND(CE296="",CF296=""),"",IF(CF296="",IF(DE296&gt;1,ROUND(DE296*CE296,3),CE296),IF(DE296&gt;1,ROUND(DE296*CF296,3),CF296))),IF(AND(CE296="",CF296=""),"",IF(CF296="",IF(DE296&gt;1,ROUND(DE296*CE296*(1/(CK296)),3),CE296*(1/(CK296))),IF(DE296&gt;1,ROUND(DE296*CF296*(1/(CK296)),3),CF296*(1/(CK296))))))</f>
        <v/>
      </c>
      <c r="CP296" s="2048">
        <f>$CP$3</f>
        <v/>
      </c>
      <c r="CQ296" s="1473">
        <f>IF(CO296="","",IF(CO296&gt;CP296,"Fail","Pass"))</f>
        <v/>
      </c>
      <c r="CR296" s="1482">
        <f>IF(CO296&lt;&gt;"",MAX($CR$3:CR295)+1,"")</f>
        <v/>
      </c>
      <c r="CS296" s="2002">
        <f>MyTimestamp(CQ296)</f>
        <v/>
      </c>
      <c r="CT296" s="1533">
        <f>IF(COUNT(CE296:CF296)=1,15,IF(COUNT(CE296:CF296)=0,0,30))</f>
        <v/>
      </c>
      <c r="CU296" s="1534">
        <f>IF(CT296=0,0,2)</f>
        <v/>
      </c>
      <c r="CV296" s="860" t="inlineStr">
        <is>
          <t>S/02</t>
        </is>
      </c>
      <c r="CW296" s="860" t="inlineStr">
        <is>
          <t>Dasy6</t>
        </is>
      </c>
      <c r="CX296" s="2038"/>
      <c r="CY296" s="2049"/>
      <c r="CZ296" s="1544">
        <f>10^(CJ296/20)*100-100</f>
        <v/>
      </c>
      <c r="DA296" s="1326">
        <f>IF('Tune-Up'!$H$21="","",'Tune-Up'!$H$21)</f>
        <v/>
      </c>
      <c r="DB296" s="702">
        <f>IF(COUNT($CO$290:$CO$295)=0,"N/A",IFERROR(INDEX($DB$290:$DB$295,MATCH(MAX($CO$290:$CO$295),$CO$290:$CO$295,0)),"N/A"))</f>
        <v/>
      </c>
      <c r="DC296" s="770">
        <f>IF(DA296="","",10^(DA296/10))</f>
        <v/>
      </c>
      <c r="DD296" s="1370">
        <f>IF(ISNUMBER(DB296)=FALSE,"N/A",10^(DB296/10))</f>
        <v/>
      </c>
      <c r="DE296" s="1544">
        <f>IF(AND(ISNUMBER(DC296),ISNUMBER(DD296)),IF(DC296/DD296&gt;1,ROUND((DC296)/DD296,3),1),1)</f>
        <v/>
      </c>
      <c r="DF296" s="1541"/>
      <c r="DG296" s="1541"/>
      <c r="DH296" s="1541"/>
      <c r="DI296" s="1541"/>
      <c r="DJ296" s="1541"/>
      <c r="DK296" s="1541"/>
      <c r="DL296" s="1541"/>
      <c r="DM296" s="1541"/>
      <c r="DN296" s="1541"/>
      <c r="DO296" s="1541"/>
      <c r="DP296" s="1541"/>
      <c r="DQ296" s="1541"/>
      <c r="DR296" s="1541"/>
    </row>
    <row r="297" ht="12.75" x14ac:dyDescent="0.2">
      <c r="A297" s="1541"/>
      <c r="B297" s="1541"/>
      <c r="C297"/>
      <c r="D297" s="130">
        <f>IF(BX$290="Close to Ear","EN 62209-1","EN 62209-2")</f>
        <v/>
      </c>
      <c r="E297" s="130">
        <f>IF(CG297="Close to Ear","2016","2010/A1:2019")</f>
        <v/>
      </c>
      <c r="F297" s="1488" t="inlineStr">
        <is>
          <t>5.1</t>
        </is>
      </c>
      <c r="G297" s="1497"/>
      <c r="H297" s="120">
        <f>BV297</f>
        <v/>
      </c>
      <c r="I297" s="120">
        <f>BW297</f>
        <v/>
      </c>
      <c r="J297" s="687">
        <f>BT297</f>
        <v/>
      </c>
      <c r="K297" s="194">
        <f>BU297</f>
        <v/>
      </c>
      <c r="L297" s="115"/>
      <c r="M297" s="120">
        <f>BZ297</f>
        <v/>
      </c>
      <c r="N297" s="119"/>
      <c r="O297" s="131"/>
      <c r="P297" s="6597"/>
      <c r="Q297" s="131"/>
      <c r="R297" s="131"/>
      <c r="S297" s="120">
        <f>CG297</f>
        <v/>
      </c>
      <c r="T297" s="120">
        <f>CC297</f>
        <v/>
      </c>
      <c r="U297" s="120">
        <f>CD297</f>
        <v/>
      </c>
      <c r="V297" s="119"/>
      <c r="W297" s="197">
        <f>CK297*100</f>
        <v/>
      </c>
      <c r="X297" s="119"/>
      <c r="Y297" s="119"/>
      <c r="Z297" s="119"/>
      <c r="AA297" s="115"/>
      <c r="AB297" s="115"/>
      <c r="AC297" s="689">
        <f>IF(OR(BX$290="Close to Ear",BX$290="Close to Head"),"Head",IF(BX$290="Extremity","Extremity","Body"))</f>
        <v/>
      </c>
      <c r="AD297" s="690">
        <f>CA297</f>
        <v/>
      </c>
      <c r="AE297" s="688">
        <f>CB297</f>
        <v/>
      </c>
      <c r="AF297" s="115"/>
      <c r="AG297" s="808">
        <f>IF(AZ297="","N/A",IF(CQ297="Pass","P","F"))</f>
        <v/>
      </c>
      <c r="AH297" s="129"/>
      <c r="AI297" s="129"/>
      <c r="AJ297" s="129"/>
      <c r="AK297" s="119"/>
      <c r="AL297" s="115"/>
      <c r="AM297" s="119"/>
      <c r="AN297" s="119"/>
      <c r="AO297" s="692"/>
      <c r="AP297" s="692"/>
      <c r="AQ297" s="692"/>
      <c r="AR297" s="692"/>
      <c r="AS297" s="692"/>
      <c r="AT297" s="691">
        <f>CE297</f>
        <v/>
      </c>
      <c r="AU297" s="691">
        <f>CF297</f>
        <v/>
      </c>
      <c r="AV297" s="813"/>
      <c r="AW297" s="813"/>
      <c r="AX297" s="197">
        <f>CZ297</f>
        <v/>
      </c>
      <c r="AY297" s="197">
        <f>DE297</f>
        <v/>
      </c>
      <c r="AZ297" s="3379">
        <f>CO297</f>
        <v/>
      </c>
      <c r="BA297" s="3380"/>
      <c r="BB297" s="197">
        <f>CP297</f>
        <v/>
      </c>
      <c r="BC297" s="813"/>
      <c r="BD297" s="197">
        <f>CR297</f>
        <v/>
      </c>
      <c r="BE297" s="121">
        <f>CS297</f>
        <v/>
      </c>
      <c r="BF297" s="122">
        <f>CT297*60</f>
        <v/>
      </c>
      <c r="BG297" s="121">
        <f>BE297</f>
        <v/>
      </c>
      <c r="BH297" s="122">
        <f>CU297*60</f>
        <v/>
      </c>
      <c r="BI297" s="122">
        <f>CV297</f>
        <v/>
      </c>
      <c r="BJ297" s="117"/>
      <c r="BK297" s="812">
        <f>Overview!$E$7</f>
        <v/>
      </c>
      <c r="BL297" s="117"/>
      <c r="BM297" s="836">
        <f>CW297</f>
        <v/>
      </c>
      <c r="BN297" s="812">
        <f>Overview!$P$153</f>
        <v/>
      </c>
      <c r="BO297" s="117"/>
      <c r="BP297" s="117"/>
      <c r="BQ297" s="115"/>
      <c r="BR297" s="1478" t="inlineStr">
        <is>
          <t>N/A</t>
        </is>
      </c>
      <c r="BS297" s="1548"/>
      <c r="BT297" s="2071" t="inlineStr">
        <is>
          <t>GSM</t>
        </is>
      </c>
      <c r="BU297" s="2071">
        <v>1800</v>
      </c>
      <c r="BV297" s="415">
        <f>Overview!$H$31</f>
        <v/>
      </c>
      <c r="BW297" s="2010"/>
      <c r="BX297" s="2071"/>
      <c r="BY297" s="2072"/>
      <c r="BZ297" s="2072"/>
      <c r="CA297" s="418" t="str">
        <f>CONCATENATE(CA295," - Battery check 2")</f>
        <v>TBD - Battery check 2</v>
      </c>
      <c r="CB297" s="2074">
        <v>0</v>
      </c>
      <c r="CC297" s="1089">
        <f>IF(COUNT($CO$290:$CO$295)=0,"N/A",INDEX($CC$290:$CC$295,MATCH(MAX($CO$290:$CO$295),$CO$290:$CO$295,0)))</f>
        <v/>
      </c>
      <c r="CD297" s="1089">
        <f>IF(COUNT($CO$290:$CO$295)=0,"N/A",INDEX($CD$290:$CD$295,MATCH(MAX($CO$290:$CO$295),$CO$290:$CO$295,0)))</f>
        <v/>
      </c>
      <c r="CE297" s="1874"/>
      <c r="CF297" s="1874"/>
      <c r="CG297" s="388" t="inlineStr">
        <is>
          <t>N/A</t>
        </is>
      </c>
      <c r="CH297" s="388">
        <f>BZ297</f>
        <v/>
      </c>
      <c r="CI297" s="388">
        <f>CA297</f>
        <v/>
      </c>
      <c r="CJ297" s="2046"/>
      <c r="CK297" s="2047"/>
      <c r="CL297" s="209">
        <f>IF(CF297=""," ",IF(ABS(CE297-CF297)&lt;=0.125,"Valid","Not valid"))</f>
        <v/>
      </c>
      <c r="CM297" s="210">
        <f> IF(CE297="","",IF(AND(CE297&lt;&gt;"",CF297=""),IF(CE297&gt;=1,"Medir+Sig Max","No"),IF(CF297&lt;&gt;"",IF(CF297&gt;=1,"Medir+Sig Max","No"),"")))</f>
        <v/>
      </c>
      <c r="CN297" s="1792"/>
      <c r="CO297" s="221">
        <f>IF(CK297="",IF(AND(CE297="",CF297=""),"",IF(CF297="",IF(DE297&gt;1,ROUND(DE297*CE297,3),CE297),IF(DE297&gt;1,ROUND(DE297*CF297,3),CF297))),IF(AND(CE297="",CF297=""),"",IF(CF297="",IF(DE297&gt;1,ROUND(DE297*CE297*(1/(CK297)),3),CE297*(1/(CK297))),IF(DE297&gt;1,ROUND(DE297*CF297*(1/(CK297)),3),CF297*(1/(CK297))))))</f>
        <v/>
      </c>
      <c r="CP297" s="2048">
        <f>$CP$3</f>
        <v/>
      </c>
      <c r="CQ297" s="1473">
        <f>IF(CO297="","",IF(CO297&gt;CP297,"Fail","Pass"))</f>
        <v/>
      </c>
      <c r="CR297" s="1482">
        <f>IF(CO297&lt;&gt;"",MAX($CR$3:CR296)+1,"")</f>
        <v/>
      </c>
      <c r="CS297" s="2002">
        <f>MyTimestamp(CQ297)</f>
        <v/>
      </c>
      <c r="CT297" s="1533">
        <f>IF(COUNT(CE297:CF297)=1,15,IF(COUNT(CE297:CF297)=0,0,30))</f>
        <v/>
      </c>
      <c r="CU297" s="1534">
        <f>IF(CT297=0,0,2)</f>
        <v/>
      </c>
      <c r="CV297" s="860" t="inlineStr">
        <is>
          <t>S/02</t>
        </is>
      </c>
      <c r="CW297" s="860" t="inlineStr">
        <is>
          <t>Dasy6</t>
        </is>
      </c>
      <c r="CX297" s="2038"/>
      <c r="CY297" s="2049"/>
      <c r="CZ297" s="1544">
        <f>10^(CJ297/20)*100-100</f>
        <v/>
      </c>
      <c r="DA297" s="1326">
        <f>IF('Tune-Up'!$H$21="","",'Tune-Up'!$H$21)</f>
        <v/>
      </c>
      <c r="DB297" s="702">
        <f>IF(COUNT($CO$290:$CO$295)=0,"N/A",IFERROR(INDEX($DB$290:$DB$295,MATCH(MAX($CO$290:$CO$295),$CO$290:$CO$295,0)),"N/A"))</f>
        <v/>
      </c>
      <c r="DC297" s="770">
        <f>IF(DA297="","",10^(DA297/10))</f>
        <v/>
      </c>
      <c r="DD297" s="1370">
        <f>IF(ISNUMBER(DB297)=FALSE,"N/A",10^(DB297/10))</f>
        <v/>
      </c>
      <c r="DE297" s="1544">
        <f>IF(AND(ISNUMBER(DC297),ISNUMBER(DD297)),IF(DC297/DD297&gt;1,ROUND((DC297)/DD297,3),1),1)</f>
        <v/>
      </c>
      <c r="DF297" s="1541"/>
      <c r="DG297" s="1541"/>
      <c r="DH297" s="1541"/>
      <c r="DI297" s="1541"/>
      <c r="DJ297" s="1541"/>
      <c r="DK297" s="1541"/>
      <c r="DL297" s="1541"/>
      <c r="DM297" s="1541"/>
      <c r="DN297" s="1541"/>
      <c r="DO297" s="1541"/>
      <c r="DP297" s="1541"/>
      <c r="DQ297" s="1541"/>
      <c r="DR297" s="1541"/>
    </row>
    <row r="298" ht="12.75" x14ac:dyDescent="0.2">
      <c r="A298" s="1541"/>
      <c r="B298" s="1541"/>
      <c r="C298"/>
      <c r="D298" s="130">
        <f>IF(BX$298="Close to Ear","EN 62209-1","EN 62209-2")</f>
        <v/>
      </c>
      <c r="E298" s="130">
        <f>IF(CG298="Close to Ear","2016","2010/A1:2019")</f>
        <v/>
      </c>
      <c r="F298" s="1488" t="inlineStr">
        <is>
          <t>5.1</t>
        </is>
      </c>
      <c r="G298" s="1497"/>
      <c r="H298" s="120">
        <f>BV298</f>
        <v/>
      </c>
      <c r="I298" s="120">
        <f>BW298</f>
        <v/>
      </c>
      <c r="J298" s="687" t="str">
        <f>BT298</f>
        <v>GSM</v>
      </c>
      <c r="K298" s="194">
        <f>BU298</f>
        <v>1800</v>
      </c>
      <c r="L298" s="115"/>
      <c r="M298" s="120">
        <f>BZ298</f>
        <v>0</v>
      </c>
      <c r="N298" s="119"/>
      <c r="O298" s="131"/>
      <c r="P298" s="6597"/>
      <c r="Q298" s="131"/>
      <c r="R298" s="131"/>
      <c r="S298" s="120">
        <f>CG298</f>
        <v>0</v>
      </c>
      <c r="T298" s="120">
        <f>CC298</f>
        <v>698</v>
      </c>
      <c r="U298" s="120">
        <f>CD298</f>
        <v>1747.4</v>
      </c>
      <c r="V298" s="119"/>
      <c r="W298" s="197">
        <f>CK298*100</f>
        <v/>
      </c>
      <c r="X298" s="119"/>
      <c r="Y298" s="119"/>
      <c r="Z298" s="119"/>
      <c r="AA298" s="115"/>
      <c r="AB298" s="115"/>
      <c r="AC298" s="689">
        <f>IF(OR(BX$298="Close to Ear",BX$298="Close to Head"),"Head",IF(BX$298="Extremity","Extremity","Body"))</f>
        <v/>
      </c>
      <c r="AD298" s="690">
        <f>CA298</f>
        <v/>
      </c>
      <c r="AE298" s="688">
        <f>CB298</f>
        <v/>
      </c>
      <c r="AF298" s="115"/>
      <c r="AG298" s="808">
        <f>IF(AZ298="","N/A",IF(CQ298="Pass","P","F"))</f>
        <v/>
      </c>
      <c r="AH298" s="129"/>
      <c r="AI298" s="129"/>
      <c r="AJ298" s="129"/>
      <c r="AK298" s="119"/>
      <c r="AL298" s="115"/>
      <c r="AM298" s="119"/>
      <c r="AN298" s="119"/>
      <c r="AO298" s="692"/>
      <c r="AP298" s="692"/>
      <c r="AQ298" s="692"/>
      <c r="AR298" s="692"/>
      <c r="AS298" s="692"/>
      <c r="AT298" s="691">
        <f>CE298</f>
        <v/>
      </c>
      <c r="AU298" s="691">
        <f>CF298</f>
        <v/>
      </c>
      <c r="AV298" s="813"/>
      <c r="AW298" s="813"/>
      <c r="AX298" s="197">
        <f>CZ298</f>
        <v/>
      </c>
      <c r="AY298" s="197">
        <f>DE298</f>
        <v/>
      </c>
      <c r="AZ298" s="3379">
        <f>CO298</f>
        <v/>
      </c>
      <c r="BA298" s="3380"/>
      <c r="BB298" s="197">
        <f>CP298</f>
        <v/>
      </c>
      <c r="BC298" s="813"/>
      <c r="BD298" s="197">
        <f>CR298</f>
        <v/>
      </c>
      <c r="BE298" s="121">
        <f>CS298</f>
        <v/>
      </c>
      <c r="BF298" s="122">
        <f>CT298*60</f>
        <v/>
      </c>
      <c r="BG298" s="121">
        <f>BE298</f>
        <v/>
      </c>
      <c r="BH298" s="122">
        <f>CU298*60</f>
        <v/>
      </c>
      <c r="BI298" s="122">
        <f>CV298</f>
        <v/>
      </c>
      <c r="BJ298" s="117"/>
      <c r="BK298" s="812">
        <f>Overview!$E$7</f>
        <v/>
      </c>
      <c r="BL298" s="117"/>
      <c r="BM298" s="836">
        <f>CW298</f>
        <v/>
      </c>
      <c r="BN298" s="812">
        <f>Overview!$P$153</f>
        <v/>
      </c>
      <c r="BO298" s="117"/>
      <c r="BP298" s="117"/>
      <c r="BQ298" s="115"/>
      <c r="BR298" s="1478" t="inlineStr">
        <is>
          <t>N/A</t>
        </is>
      </c>
      <c r="BS298" s="1548"/>
      <c r="BT298" s="2071" t="inlineStr">
        <is>
          <t>GSM</t>
        </is>
      </c>
      <c r="BU298" s="2071">
        <v>1800</v>
      </c>
      <c r="BV298" s="415">
        <f>Overview!$H$31</f>
        <v/>
      </c>
      <c r="BW298" s="2010"/>
      <c r="BX298" s="7674" t="inlineStr">
        <is>
          <t>Close to Head</t>
        </is>
      </c>
      <c r="BY298" s="2072"/>
      <c r="BZ298" s="2072"/>
      <c r="CA298" s="1996" t="inlineStr">
        <is>
          <t>Front Face</t>
        </is>
      </c>
      <c r="CB298" s="1959">
        <v>5</v>
      </c>
      <c r="CC298" s="856">
        <f>'2G-3G'!BX36</f>
        <v>698</v>
      </c>
      <c r="CD298" s="856">
        <f>'2G-3G'!BY36</f>
        <v>1747.4</v>
      </c>
      <c r="CE298" s="1522"/>
      <c r="CF298" s="1522"/>
      <c r="CG298" s="386" t="str">
        <f>IF(OR($BY$167="",$BY$167=""),"",$BY$167)</f>
        <v/>
      </c>
      <c r="CH298" s="386">
        <f>BZ298</f>
        <v/>
      </c>
      <c r="CI298" s="386">
        <f>CA298</f>
        <v/>
      </c>
      <c r="CJ298" s="1526"/>
      <c r="CK298" s="2070"/>
      <c r="CL298" s="203">
        <f>IF(CF298=""," ",IF(ABS(CE298-CF298)&lt;=0.125,"Valid","Not valid"))</f>
        <v/>
      </c>
      <c r="CM298" s="204">
        <f> IF(CE298="","",IF(AND(CE298&lt;&gt;"",CF298=""),IF(CE298&gt;=1,"Medir+Sig Max","No"),IF(CF298&lt;&gt;"",IF(CF298&gt;=1,"Medir+Sig Max","No"),"")))</f>
        <v/>
      </c>
      <c r="CN298" s="1798"/>
      <c r="CO298" s="219">
        <f>IF(CK298="",IF(AND(CE298="",CF298=""),"",IF(CF298="",IF(DE298&gt;1,ROUND(DE298*CE298,3),CE298),IF(DE298&gt;1,ROUND(DE298*CF298,3),CF298))),IF(AND(CE298="",CF298=""),"",IF(CF298="",IF(DE298&gt;1,ROUND(DE298*CE298*(1/(CK298)),3),CE298*(1/(CK298))),IF(DE298&gt;1,ROUND(DE298*CF298*(1/(CK298)),3),CF298*(1/(CK298))))))</f>
        <v/>
      </c>
      <c r="CP298" s="2037">
        <f>$CP$3</f>
        <v/>
      </c>
      <c r="CQ298" s="1471">
        <f>IF(CO298="","",IF(CO298&gt;CP298,"Fail","Pass"))</f>
        <v/>
      </c>
      <c r="CR298" s="1480">
        <f>IF(AND(MAX(CO298:CO305)=CO298,CO298&lt;&gt;0),COUNT($CR$3:CR295)+1,"")</f>
        <v/>
      </c>
      <c r="CS298" s="1564">
        <f>MyTimestamp(CO298)</f>
        <v/>
      </c>
      <c r="CT298" s="1529">
        <f>IF(CE298="",0,15)+IF(CF298="",0,15)</f>
        <v/>
      </c>
      <c r="CU298" s="1530">
        <f>IF(CT298=0,0,2)</f>
        <v/>
      </c>
      <c r="CV298" s="862" t="inlineStr">
        <is>
          <t>S/02</t>
        </is>
      </c>
      <c r="CW298" s="862" t="inlineStr">
        <is>
          <t>Dasy6</t>
        </is>
      </c>
      <c r="CX298" s="2038"/>
      <c r="CY298" s="2039"/>
      <c r="CZ298" s="1542">
        <f>10^(CJ298/20)*100-100</f>
        <v/>
      </c>
      <c r="DA298" s="1324">
        <f>IF('Tune-Up'!$H$21="","",'Tune-Up'!$H$21)</f>
        <v/>
      </c>
      <c r="DB298" s="700">
        <f>'2G-3G'!BZ36</f>
        <v/>
      </c>
      <c r="DC298" s="768">
        <f>IF(DA298="","",10^(DA298/10))</f>
        <v/>
      </c>
      <c r="DD298" s="1368">
        <f>IF(ISNUMBER(DB298)=FALSE,"",10^(DB298/10))</f>
        <v/>
      </c>
      <c r="DE298" s="1542">
        <f>IF(AND(ISNUMBER(DC298),ISNUMBER(DD298)),IF(DC298/DD298&gt;1,ROUND((DC298)/DD298,3),1),1)</f>
        <v/>
      </c>
      <c r="DF298" s="1541"/>
      <c r="DG298" s="1541"/>
      <c r="DH298" s="1541"/>
      <c r="DI298" s="1541"/>
      <c r="DJ298" s="1541"/>
      <c r="DK298" s="1541"/>
      <c r="DL298" s="1541"/>
      <c r="DM298" s="1541"/>
      <c r="DN298" s="1541"/>
      <c r="DO298" s="1541"/>
      <c r="DP298" s="1541"/>
      <c r="DQ298" s="1541"/>
      <c r="DR298" s="1541"/>
    </row>
    <row r="299" ht="12.75" x14ac:dyDescent="0.2">
      <c r="A299" s="1541"/>
      <c r="B299" s="1541"/>
      <c r="C299"/>
      <c r="D299" s="130">
        <f>IF(BX$298="Close to Ear","EN 62209-1","EN 62209-2")</f>
        <v/>
      </c>
      <c r="E299" s="130">
        <f>IF(CG299="Close to Ear","2016","2010/A1:2019")</f>
        <v/>
      </c>
      <c r="F299" s="1488" t="inlineStr">
        <is>
          <t>5.1</t>
        </is>
      </c>
      <c r="G299" s="1497"/>
      <c r="H299" s="120">
        <f>BV299</f>
        <v/>
      </c>
      <c r="I299" s="120">
        <f>BW299</f>
        <v/>
      </c>
      <c r="J299" s="687" t="str">
        <f>BT299</f>
        <v>GSM</v>
      </c>
      <c r="K299" s="194">
        <f>BU299</f>
        <v>1800</v>
      </c>
      <c r="L299" s="115"/>
      <c r="M299" s="120">
        <f>BZ299</f>
        <v>0</v>
      </c>
      <c r="N299" s="119"/>
      <c r="O299" s="131"/>
      <c r="P299" s="6597"/>
      <c r="Q299" s="131"/>
      <c r="R299" s="131"/>
      <c r="S299" s="120">
        <f>CG299</f>
        <v>0</v>
      </c>
      <c r="T299" s="120">
        <f>CC299</f>
        <v>698</v>
      </c>
      <c r="U299" s="120">
        <f>CD299</f>
        <v>1747.4</v>
      </c>
      <c r="V299" s="119"/>
      <c r="W299" s="197">
        <f>CK299*100</f>
        <v/>
      </c>
      <c r="X299" s="119"/>
      <c r="Y299" s="119"/>
      <c r="Z299" s="119"/>
      <c r="AA299" s="115"/>
      <c r="AB299" s="115"/>
      <c r="AC299" s="689">
        <f>IF(OR(BX$298="Close to Ear",BX$298="Close to Head"),"Head",IF(BX$298="Extremity","Extremity","Body"))</f>
        <v/>
      </c>
      <c r="AD299" s="690">
        <f>CA299</f>
        <v/>
      </c>
      <c r="AE299" s="688">
        <f>CB299</f>
        <v/>
      </c>
      <c r="AF299" s="115"/>
      <c r="AG299" s="808">
        <f>IF(AZ299="","N/A",IF(CQ299="Pass","P","F"))</f>
        <v/>
      </c>
      <c r="AH299" s="129"/>
      <c r="AI299" s="129"/>
      <c r="AJ299" s="129"/>
      <c r="AK299" s="119"/>
      <c r="AL299" s="115"/>
      <c r="AM299" s="119"/>
      <c r="AN299" s="119"/>
      <c r="AO299" s="692"/>
      <c r="AP299" s="692"/>
      <c r="AQ299" s="692"/>
      <c r="AR299" s="692"/>
      <c r="AS299" s="692"/>
      <c r="AT299" s="691">
        <f>CE299</f>
        <v/>
      </c>
      <c r="AU299" s="691">
        <f>CF299</f>
        <v/>
      </c>
      <c r="AV299" s="813"/>
      <c r="AW299" s="813"/>
      <c r="AX299" s="197">
        <f>CZ299</f>
        <v/>
      </c>
      <c r="AY299" s="197">
        <f>DE299</f>
        <v/>
      </c>
      <c r="AZ299" s="3379">
        <f>CO299</f>
        <v/>
      </c>
      <c r="BA299" s="3380"/>
      <c r="BB299" s="197">
        <f>CP299</f>
        <v/>
      </c>
      <c r="BC299" s="813"/>
      <c r="BD299" s="197">
        <f>CR299</f>
        <v/>
      </c>
      <c r="BE299" s="121">
        <f>CS299</f>
        <v/>
      </c>
      <c r="BF299" s="122">
        <f>CT299*60</f>
        <v/>
      </c>
      <c r="BG299" s="121">
        <f>BE299</f>
        <v/>
      </c>
      <c r="BH299" s="122">
        <f>CU299*60</f>
        <v/>
      </c>
      <c r="BI299" s="122">
        <f>CV299</f>
        <v/>
      </c>
      <c r="BJ299" s="117"/>
      <c r="BK299" s="812">
        <f>Overview!$E$7</f>
        <v/>
      </c>
      <c r="BL299" s="117"/>
      <c r="BM299" s="836">
        <f>CW299</f>
        <v/>
      </c>
      <c r="BN299" s="812">
        <f>Overview!$P$153</f>
        <v/>
      </c>
      <c r="BO299" s="117"/>
      <c r="BP299" s="117"/>
      <c r="BQ299" s="115"/>
      <c r="BR299" s="1478" t="inlineStr">
        <is>
          <t>N/A</t>
        </is>
      </c>
      <c r="BS299" s="1548"/>
      <c r="BT299" s="2071" t="inlineStr">
        <is>
          <t>GSM</t>
        </is>
      </c>
      <c r="BU299" s="2071">
        <v>1800</v>
      </c>
      <c r="BV299" s="415">
        <f>Overview!$H$31</f>
        <v/>
      </c>
      <c r="BW299" s="2010"/>
      <c r="BX299" s="2071"/>
      <c r="BY299" s="2072"/>
      <c r="BZ299" s="2072"/>
      <c r="CA299" s="1997" t="inlineStr">
        <is>
          <t>Back Face</t>
        </is>
      </c>
      <c r="CB299" s="200">
        <v>5</v>
      </c>
      <c r="CC299" s="902">
        <f>'2G-3G'!BX36</f>
        <v>698</v>
      </c>
      <c r="CD299" s="902">
        <f>'2G-3G'!BY36</f>
        <v>1747.4</v>
      </c>
      <c r="CE299" s="1523"/>
      <c r="CF299" s="1523"/>
      <c r="CG299" s="387" t="str">
        <f>IF(OR($BY$167="",$BY$167=""),"",$BY$167)</f>
        <v/>
      </c>
      <c r="CH299" s="387">
        <f>BZ299</f>
        <v/>
      </c>
      <c r="CI299" s="387">
        <f>CA299</f>
        <v/>
      </c>
      <c r="CJ299" s="1527"/>
      <c r="CK299" s="2042"/>
      <c r="CL299" s="206">
        <f>IF(CF299=""," ",IF(ABS(CE299-CF299)&lt;=0.125,"Valid","Not valid"))</f>
        <v/>
      </c>
      <c r="CM299" s="207">
        <f> IF(CE299="","",IF(AND(CE299&lt;&gt;"",CF299=""),IF(CE299&gt;=1,"Medir+Sig Max","No"),IF(CF299&lt;&gt;"",IF(CF299&gt;=1,"Medir+Sig Max","No"),"")))</f>
        <v/>
      </c>
      <c r="CN299" s="1787"/>
      <c r="CO299" s="220">
        <f>IF(CK299="",IF(AND(CE299="",CF299=""),"",IF(CF299="",IF(DE299&gt;1,ROUND(DE299*CE299,3),CE299),IF(DE299&gt;1,ROUND(DE299*CF299,3),CF299))),IF(AND(CE299="",CF299=""),"",IF(CF299="",IF(DE299&gt;1,ROUND(DE299*CE299*(1/(CK299)),3),CE299*(1/(CK299))),IF(DE299&gt;1,ROUND(DE299*CF299*(1/(CK299)),3),CF299*(1/(CK299))))))</f>
        <v/>
      </c>
      <c r="CP299" s="2043">
        <f>$CP$3</f>
        <v/>
      </c>
      <c r="CQ299" s="1472">
        <f>IF(CO299="","",IF(CO299&gt;CP299,"Fail","Pass"))</f>
        <v/>
      </c>
      <c r="CR299" s="1481">
        <f>IF(AND(MAX(CO298:CO305)=CO299,CO299&lt;&gt;0),COUNT($CR$3:CR298)+1,"")</f>
        <v/>
      </c>
      <c r="CS299" s="1565">
        <f>MyTimestamp(CO299)</f>
        <v/>
      </c>
      <c r="CT299" s="1531">
        <f>IF(CE299="",0,15)+IF(CF299="",0,15)</f>
        <v/>
      </c>
      <c r="CU299" s="1532">
        <f>IF(CT299=0,0,2)</f>
        <v/>
      </c>
      <c r="CV299" s="859" t="inlineStr">
        <is>
          <t>S/02</t>
        </is>
      </c>
      <c r="CW299" s="859" t="inlineStr">
        <is>
          <t>Dasy6</t>
        </is>
      </c>
      <c r="CX299" s="2038"/>
      <c r="CY299" s="2044"/>
      <c r="CZ299" s="1543">
        <f>10^(CJ299/20)*100-100</f>
        <v/>
      </c>
      <c r="DA299" s="1325">
        <f>IF('Tune-Up'!$H$21="","",'Tune-Up'!$H$21)</f>
        <v/>
      </c>
      <c r="DB299" s="701">
        <f>'2G-3G'!BZ36</f>
        <v/>
      </c>
      <c r="DC299" s="769">
        <f>IF(DA299="","",10^(DA299/10))</f>
        <v/>
      </c>
      <c r="DD299" s="1369">
        <f>IF(ISNUMBER(DB299)=FALSE,"",10^(DB299/10))</f>
        <v/>
      </c>
      <c r="DE299" s="1543">
        <f>IF(AND(ISNUMBER(DC299),ISNUMBER(DD299)),IF(DC299/DD299&gt;1,ROUND((DC299)/DD299,3),1),1)</f>
        <v/>
      </c>
      <c r="DF299" s="1541"/>
      <c r="DG299" s="1541"/>
      <c r="DH299" s="1541"/>
      <c r="DI299" s="1541"/>
      <c r="DJ299" s="1541"/>
      <c r="DK299" s="1541"/>
      <c r="DL299" s="1541"/>
      <c r="DM299" s="1541"/>
      <c r="DN299" s="1541"/>
      <c r="DO299" s="1541"/>
      <c r="DP299" s="1541"/>
      <c r="DQ299" s="1541"/>
      <c r="DR299" s="1541"/>
    </row>
    <row r="300" ht="12.75" x14ac:dyDescent="0.2">
      <c r="A300" s="1541"/>
      <c r="B300" s="1541"/>
      <c r="C300"/>
      <c r="D300" s="130">
        <f>IF(BX$298="Close to Ear","EN 62209-1","EN 62209-2")</f>
        <v/>
      </c>
      <c r="E300" s="130">
        <f>IF(CG300="Close to Ear","2016","2010/A1:2019")</f>
        <v/>
      </c>
      <c r="F300" s="1488" t="inlineStr">
        <is>
          <t>5.1</t>
        </is>
      </c>
      <c r="G300" s="1497"/>
      <c r="H300" s="120">
        <f>BV300</f>
        <v/>
      </c>
      <c r="I300" s="120">
        <f>BW300</f>
        <v/>
      </c>
      <c r="J300" s="687" t="str">
        <f>BT300</f>
        <v>GSM</v>
      </c>
      <c r="K300" s="194">
        <f>BU300</f>
        <v>1800</v>
      </c>
      <c r="L300" s="115"/>
      <c r="M300" s="120">
        <f>BZ300</f>
        <v>0</v>
      </c>
      <c r="N300" s="119"/>
      <c r="O300" s="131"/>
      <c r="P300" s="6597"/>
      <c r="Q300" s="131"/>
      <c r="R300" s="131"/>
      <c r="S300" s="120">
        <f>CG300</f>
        <v>0</v>
      </c>
      <c r="T300" s="120">
        <f>CC300</f>
        <v>698</v>
      </c>
      <c r="U300" s="120">
        <f>CD300</f>
        <v>1747.4</v>
      </c>
      <c r="V300" s="119"/>
      <c r="W300" s="197">
        <f>CK300*100</f>
        <v/>
      </c>
      <c r="X300" s="119"/>
      <c r="Y300" s="119"/>
      <c r="Z300" s="119"/>
      <c r="AA300" s="115"/>
      <c r="AB300" s="115"/>
      <c r="AC300" s="689">
        <f>IF(OR(BX$298="Close to Ear",BX$298="Close to Head"),"Head",IF(BX$298="Extremity","Extremity","Body"))</f>
        <v/>
      </c>
      <c r="AD300" s="690">
        <f>CA300</f>
        <v/>
      </c>
      <c r="AE300" s="688">
        <f>CB300</f>
        <v/>
      </c>
      <c r="AF300" s="115"/>
      <c r="AG300" s="808">
        <f>IF(AZ300="","N/A",IF(CQ300="Pass","P","F"))</f>
        <v/>
      </c>
      <c r="AH300" s="129"/>
      <c r="AI300" s="129"/>
      <c r="AJ300" s="129"/>
      <c r="AK300" s="119"/>
      <c r="AL300" s="115"/>
      <c r="AM300" s="119"/>
      <c r="AN300" s="119"/>
      <c r="AO300" s="692"/>
      <c r="AP300" s="692"/>
      <c r="AQ300" s="692"/>
      <c r="AR300" s="692"/>
      <c r="AS300" s="692"/>
      <c r="AT300" s="691">
        <f>CE300</f>
        <v/>
      </c>
      <c r="AU300" s="691">
        <f>CF300</f>
        <v/>
      </c>
      <c r="AV300" s="813"/>
      <c r="AW300" s="813"/>
      <c r="AX300" s="197">
        <f>CZ300</f>
        <v/>
      </c>
      <c r="AY300" s="197">
        <f>DE300</f>
        <v/>
      </c>
      <c r="AZ300" s="3379">
        <f>CO300</f>
        <v/>
      </c>
      <c r="BA300" s="3380"/>
      <c r="BB300" s="197">
        <f>CP300</f>
        <v/>
      </c>
      <c r="BC300" s="813"/>
      <c r="BD300" s="197">
        <f>CR300</f>
        <v/>
      </c>
      <c r="BE300" s="121">
        <f>CS300</f>
        <v/>
      </c>
      <c r="BF300" s="122">
        <f>CT300*60</f>
        <v/>
      </c>
      <c r="BG300" s="121">
        <f>BE300</f>
        <v/>
      </c>
      <c r="BH300" s="122">
        <f>CU300*60</f>
        <v/>
      </c>
      <c r="BI300" s="122">
        <f>CV300</f>
        <v/>
      </c>
      <c r="BJ300" s="117"/>
      <c r="BK300" s="812">
        <f>Overview!$E$7</f>
        <v/>
      </c>
      <c r="BL300" s="117"/>
      <c r="BM300" s="836">
        <f>CW300</f>
        <v/>
      </c>
      <c r="BN300" s="812">
        <f>Overview!$P$153</f>
        <v/>
      </c>
      <c r="BO300" s="117"/>
      <c r="BP300" s="117"/>
      <c r="BQ300" s="115"/>
      <c r="BR300" s="1478" t="inlineStr">
        <is>
          <t>N/A</t>
        </is>
      </c>
      <c r="BS300" s="1548"/>
      <c r="BT300" s="2071" t="inlineStr">
        <is>
          <t>GSM</t>
        </is>
      </c>
      <c r="BU300" s="2071">
        <v>1800</v>
      </c>
      <c r="BV300" s="415">
        <f>Overview!$H$31</f>
        <v/>
      </c>
      <c r="BW300" s="2010"/>
      <c r="BX300" s="2071"/>
      <c r="BY300" s="2072"/>
      <c r="BZ300" s="2072"/>
      <c r="CA300" s="1997" t="inlineStr">
        <is>
          <t>Left Edge</t>
        </is>
      </c>
      <c r="CB300" s="200">
        <v>5</v>
      </c>
      <c r="CC300" s="902">
        <f>'2G-3G'!BX36</f>
        <v>698</v>
      </c>
      <c r="CD300" s="902">
        <f>'2G-3G'!BY36</f>
        <v>1747.4</v>
      </c>
      <c r="CE300" s="1523"/>
      <c r="CF300" s="1523"/>
      <c r="CG300" s="387" t="str">
        <f>IF(OR($BY$167="",$BY$167=""),"",$BY$167)</f>
        <v/>
      </c>
      <c r="CH300" s="387">
        <f>BZ300</f>
        <v/>
      </c>
      <c r="CI300" s="387">
        <f>CA300</f>
        <v/>
      </c>
      <c r="CJ300" s="1527"/>
      <c r="CK300" s="2042"/>
      <c r="CL300" s="206">
        <f>IF(CF300=""," ",IF(ABS(CE300-CF300)&lt;=0.125,"Valid","Not valid"))</f>
        <v/>
      </c>
      <c r="CM300" s="207">
        <f> IF(CE300="","",IF(AND(CE300&lt;&gt;"",CF300=""),IF(CE300&gt;=1,"Medir+Sig Max","No"),IF(CF300&lt;&gt;"",IF(CF300&gt;=1,"Medir+Sig Max","No"),"")))</f>
        <v/>
      </c>
      <c r="CN300" s="1787"/>
      <c r="CO300" s="220">
        <f>IF(CK300="",IF(AND(CE300="",CF300=""),"",IF(CF300="",IF(DE300&gt;1,ROUND(DE300*CE300,3),CE300),IF(DE300&gt;1,ROUND(DE300*CF300,3),CF300))),IF(AND(CE300="",CF300=""),"",IF(CF300="",IF(DE300&gt;1,ROUND(DE300*CE300*(1/(CK300)),3),CE300*(1/(CK300))),IF(DE300&gt;1,ROUND(DE300*CF300*(1/(CK300)),3),CF300*(1/(CK300))))))</f>
        <v/>
      </c>
      <c r="CP300" s="2043">
        <f>$CP$3</f>
        <v/>
      </c>
      <c r="CQ300" s="1472">
        <f>IF(CO300="","",IF(CO300&gt;CP300,"Fail","Pass"))</f>
        <v/>
      </c>
      <c r="CR300" s="1481">
        <f>IF(AND(MAX(CO298:CO305)=CO300,CO300&lt;&gt;0),COUNT($CR$3:CR299)+1,"")</f>
        <v/>
      </c>
      <c r="CS300" s="1565">
        <f>MyTimestamp(CO300)</f>
        <v/>
      </c>
      <c r="CT300" s="1531">
        <f>IF(CE300="",0,15)+IF(CF300="",0,15)</f>
        <v/>
      </c>
      <c r="CU300" s="1532">
        <f>IF(CT300=0,0,2)</f>
        <v/>
      </c>
      <c r="CV300" s="859" t="inlineStr">
        <is>
          <t>S/02</t>
        </is>
      </c>
      <c r="CW300" s="859" t="inlineStr">
        <is>
          <t>Dasy6</t>
        </is>
      </c>
      <c r="CX300" s="2038"/>
      <c r="CY300" s="2044"/>
      <c r="CZ300" s="1543">
        <f>10^(CJ300/20)*100-100</f>
        <v/>
      </c>
      <c r="DA300" s="1325">
        <f>IF('Tune-Up'!$H$21="","",'Tune-Up'!$H$21)</f>
        <v/>
      </c>
      <c r="DB300" s="701">
        <f>'2G-3G'!BZ36</f>
        <v/>
      </c>
      <c r="DC300" s="769">
        <f>IF(DA300="","",10^(DA300/10))</f>
        <v/>
      </c>
      <c r="DD300" s="1369">
        <f>IF(ISNUMBER(DB300)=FALSE,"",10^(DB300/10))</f>
        <v/>
      </c>
      <c r="DE300" s="1543">
        <f>IF(AND(ISNUMBER(DC300),ISNUMBER(DD300)),IF(DC300/DD300&gt;1,ROUND((DC300)/DD300,3),1),1)</f>
        <v/>
      </c>
      <c r="DF300" s="1541"/>
      <c r="DG300" s="1541"/>
      <c r="DH300" s="1541"/>
      <c r="DI300" s="1541"/>
      <c r="DJ300" s="1541"/>
      <c r="DK300" s="1541"/>
      <c r="DL300" s="1541"/>
      <c r="DM300" s="1541"/>
      <c r="DN300" s="1541"/>
      <c r="DO300" s="1541"/>
      <c r="DP300" s="1541"/>
      <c r="DQ300" s="1541"/>
      <c r="DR300" s="1541"/>
    </row>
    <row r="301" ht="12.75" x14ac:dyDescent="0.2">
      <c r="A301" s="1541"/>
      <c r="B301" s="1541"/>
      <c r="C301"/>
      <c r="D301" s="130">
        <f>IF(BX$298="Close to Ear","EN 62209-1","EN 62209-2")</f>
        <v/>
      </c>
      <c r="E301" s="130">
        <f>IF(CG301="Close to Ear","2016","2010/A1:2019")</f>
        <v/>
      </c>
      <c r="F301" s="1488" t="inlineStr">
        <is>
          <t>5.1</t>
        </is>
      </c>
      <c r="G301" s="1497"/>
      <c r="H301" s="120">
        <f>BV301</f>
        <v/>
      </c>
      <c r="I301" s="120">
        <f>BW301</f>
        <v/>
      </c>
      <c r="J301" s="687" t="str">
        <f>BT301</f>
        <v>GSM</v>
      </c>
      <c r="K301" s="194">
        <f>BU301</f>
        <v>1800</v>
      </c>
      <c r="L301" s="115"/>
      <c r="M301" s="120">
        <f>BZ301</f>
        <v>0</v>
      </c>
      <c r="N301" s="119"/>
      <c r="O301" s="131"/>
      <c r="P301" s="6597"/>
      <c r="Q301" s="131"/>
      <c r="R301" s="131"/>
      <c r="S301" s="120">
        <f>CG301</f>
        <v>0</v>
      </c>
      <c r="T301" s="120">
        <f>CC301</f>
        <v>698</v>
      </c>
      <c r="U301" s="120">
        <f>CD301</f>
        <v>1747.4</v>
      </c>
      <c r="V301" s="119"/>
      <c r="W301" s="197">
        <f>CK301*100</f>
        <v/>
      </c>
      <c r="X301" s="119"/>
      <c r="Y301" s="119"/>
      <c r="Z301" s="119"/>
      <c r="AA301" s="115"/>
      <c r="AB301" s="115"/>
      <c r="AC301" s="689">
        <f>IF(OR(BX$298="Close to Ear",BX$298="Close to Head"),"Head",IF(BX$298="Extremity","Extremity","Body"))</f>
        <v/>
      </c>
      <c r="AD301" s="690">
        <f>CA301</f>
        <v/>
      </c>
      <c r="AE301" s="688">
        <f>CB301</f>
        <v/>
      </c>
      <c r="AF301" s="115"/>
      <c r="AG301" s="808">
        <f>IF(AZ301="","N/A",IF(CQ301="Pass","P","F"))</f>
        <v/>
      </c>
      <c r="AH301" s="129"/>
      <c r="AI301" s="129"/>
      <c r="AJ301" s="129"/>
      <c r="AK301" s="119"/>
      <c r="AL301" s="115"/>
      <c r="AM301" s="119"/>
      <c r="AN301" s="119"/>
      <c r="AO301" s="692"/>
      <c r="AP301" s="692"/>
      <c r="AQ301" s="692"/>
      <c r="AR301" s="692"/>
      <c r="AS301" s="692"/>
      <c r="AT301" s="691">
        <f>CE301</f>
        <v/>
      </c>
      <c r="AU301" s="691">
        <f>CF301</f>
        <v/>
      </c>
      <c r="AV301" s="813"/>
      <c r="AW301" s="813"/>
      <c r="AX301" s="197">
        <f>CZ301</f>
        <v/>
      </c>
      <c r="AY301" s="197">
        <f>DE301</f>
        <v/>
      </c>
      <c r="AZ301" s="3379">
        <f>CO301</f>
        <v/>
      </c>
      <c r="BA301" s="3380"/>
      <c r="BB301" s="197">
        <f>CP301</f>
        <v/>
      </c>
      <c r="BC301" s="813"/>
      <c r="BD301" s="197">
        <f>CR301</f>
        <v/>
      </c>
      <c r="BE301" s="121">
        <f>CS301</f>
        <v/>
      </c>
      <c r="BF301" s="122">
        <f>CT301*60</f>
        <v/>
      </c>
      <c r="BG301" s="121">
        <f>BE301</f>
        <v/>
      </c>
      <c r="BH301" s="122">
        <f>CU301*60</f>
        <v/>
      </c>
      <c r="BI301" s="122">
        <f>CV301</f>
        <v/>
      </c>
      <c r="BJ301" s="117"/>
      <c r="BK301" s="812">
        <f>Overview!$E$7</f>
        <v/>
      </c>
      <c r="BL301" s="117"/>
      <c r="BM301" s="836">
        <f>CW301</f>
        <v/>
      </c>
      <c r="BN301" s="812">
        <f>Overview!$P$153</f>
        <v/>
      </c>
      <c r="BO301" s="117"/>
      <c r="BP301" s="117"/>
      <c r="BQ301" s="115"/>
      <c r="BR301" s="1478" t="inlineStr">
        <is>
          <t>N/A</t>
        </is>
      </c>
      <c r="BS301" s="1548"/>
      <c r="BT301" s="1891" t="inlineStr">
        <is>
          <t>GSM</t>
        </is>
      </c>
      <c r="BU301" s="1891">
        <v>1800</v>
      </c>
      <c r="BV301" s="417">
        <f>Overview!$H$31</f>
        <v/>
      </c>
      <c r="BW301" s="2010"/>
      <c r="BX301" s="1891"/>
      <c r="BY301" s="2072"/>
      <c r="BZ301" s="2072"/>
      <c r="CA301" s="1997" t="inlineStr">
        <is>
          <t>Right Edge</t>
        </is>
      </c>
      <c r="CB301" s="200">
        <v>5</v>
      </c>
      <c r="CC301" s="902">
        <f>'2G-3G'!BX36</f>
        <v>698</v>
      </c>
      <c r="CD301" s="902">
        <f>'2G-3G'!BY36</f>
        <v>1747.4</v>
      </c>
      <c r="CE301" s="1523"/>
      <c r="CF301" s="1523"/>
      <c r="CG301" s="387" t="str">
        <f>IF(OR($BY$167="",$BY$167=""),"",$BY$167)</f>
        <v/>
      </c>
      <c r="CH301" s="387">
        <f>BZ301</f>
        <v/>
      </c>
      <c r="CI301" s="387">
        <f>CA301</f>
        <v/>
      </c>
      <c r="CJ301" s="1527"/>
      <c r="CK301" s="2042"/>
      <c r="CL301" s="206">
        <f>IF(CF301=""," ",IF(ABS(CE301-CF301)&lt;=0.125,"Valid","Not valid"))</f>
        <v/>
      </c>
      <c r="CM301" s="207">
        <f> IF(CE301="","",IF(AND(CE301&lt;&gt;"",CF301=""),IF(CE301&gt;=1,"Medir+Sig Max","No"),IF(CF301&lt;&gt;"",IF(CF301&gt;=1,"Medir+Sig Max","No"),"")))</f>
        <v/>
      </c>
      <c r="CN301" s="1787"/>
      <c r="CO301" s="220">
        <f>IF(CK301="",IF(AND(CE301="",CF301=""),"",IF(CF301="",IF(DE301&gt;1,ROUND(DE301*CE301,3),CE301),IF(DE301&gt;1,ROUND(DE301*CF301,3),CF301))),IF(AND(CE301="",CF301=""),"",IF(CF301="",IF(DE301&gt;1,ROUND(DE301*CE301*(1/(CK301)),3),CE301*(1/(CK301))),IF(DE301&gt;1,ROUND(DE301*CF301*(1/(CK301)),3),CF301*(1/(CK301))))))</f>
        <v/>
      </c>
      <c r="CP301" s="2043">
        <f>$CP$3</f>
        <v/>
      </c>
      <c r="CQ301" s="1472">
        <f>IF(CO301="","",IF(CO301&gt;CP301,"Fail","Pass"))</f>
        <v/>
      </c>
      <c r="CR301" s="1481">
        <f>IF(AND(MAX(CO298:CO305)=CO301,CO301&lt;&gt;0),COUNT($CR$3:CR300)+1,"")</f>
        <v/>
      </c>
      <c r="CS301" s="1565">
        <f>MyTimestamp(CO301)</f>
        <v/>
      </c>
      <c r="CT301" s="1531">
        <f>IF(CE301="",0,15)+IF(CF301="",0,15)</f>
        <v/>
      </c>
      <c r="CU301" s="1532">
        <f>IF(CT301=0,0,2)</f>
        <v/>
      </c>
      <c r="CV301" s="859" t="inlineStr">
        <is>
          <t>S/02</t>
        </is>
      </c>
      <c r="CW301" s="859" t="inlineStr">
        <is>
          <t>Dasy6</t>
        </is>
      </c>
      <c r="CX301" s="2038"/>
      <c r="CY301" s="2044"/>
      <c r="CZ301" s="1543">
        <f>10^(CJ301/20)*100-100</f>
        <v/>
      </c>
      <c r="DA301" s="1325">
        <f>IF('Tune-Up'!$H$21="","",'Tune-Up'!$H$21)</f>
        <v/>
      </c>
      <c r="DB301" s="701">
        <f>'2G-3G'!BZ36</f>
        <v/>
      </c>
      <c r="DC301" s="769">
        <f>IF(DA301="","",10^(DA301/10))</f>
        <v/>
      </c>
      <c r="DD301" s="1369">
        <f>IF(ISNUMBER(DB301)=FALSE,"",10^(DB301/10))</f>
        <v/>
      </c>
      <c r="DE301" s="1543">
        <f>IF(AND(ISNUMBER(DC301),ISNUMBER(DD301)),IF(DC301/DD301&gt;1,ROUND((DC301)/DD301,3),1),1)</f>
        <v/>
      </c>
      <c r="DF301" s="1541"/>
      <c r="DG301" s="1541"/>
      <c r="DH301" s="1541"/>
      <c r="DI301" s="1541"/>
      <c r="DJ301" s="1541"/>
      <c r="DK301" s="1541"/>
      <c r="DL301" s="1541"/>
      <c r="DM301" s="1541"/>
      <c r="DN301" s="1541"/>
      <c r="DO301" s="1541"/>
      <c r="DP301" s="1541"/>
      <c r="DQ301" s="1541"/>
      <c r="DR301" s="1541"/>
    </row>
    <row r="302" ht="12.75" x14ac:dyDescent="0.2">
      <c r="A302" s="1541"/>
      <c r="B302" s="1541"/>
      <c r="C302"/>
      <c r="D302" s="130">
        <f>IF(BX$298="Close to Ear","EN 62209-1","EN 62209-2")</f>
        <v/>
      </c>
      <c r="E302" s="130">
        <f>IF(CG302="Close to Ear","2016","2010/A1:2019")</f>
        <v/>
      </c>
      <c r="F302" s="1488" t="inlineStr">
        <is>
          <t>5.1</t>
        </is>
      </c>
      <c r="G302" s="1497"/>
      <c r="H302" s="120">
        <f>BV302</f>
        <v/>
      </c>
      <c r="I302" s="120">
        <f>BW302</f>
        <v/>
      </c>
      <c r="J302" s="687" t="str">
        <f>BT302</f>
        <v>GSM</v>
      </c>
      <c r="K302" s="194">
        <f>BU302</f>
        <v>1800</v>
      </c>
      <c r="L302" s="115"/>
      <c r="M302" s="120">
        <f>BZ302</f>
        <v>0</v>
      </c>
      <c r="N302" s="119"/>
      <c r="O302" s="131"/>
      <c r="P302" s="6597"/>
      <c r="Q302" s="131"/>
      <c r="R302" s="131"/>
      <c r="S302" s="120">
        <f>CG302</f>
        <v>0</v>
      </c>
      <c r="T302" s="120">
        <f>CC302</f>
        <v>698</v>
      </c>
      <c r="U302" s="120">
        <f>CD302</f>
        <v>1747.4</v>
      </c>
      <c r="V302" s="119"/>
      <c r="W302" s="197">
        <f>CK302*100</f>
        <v/>
      </c>
      <c r="X302" s="119"/>
      <c r="Y302" s="119"/>
      <c r="Z302" s="119"/>
      <c r="AA302" s="115"/>
      <c r="AB302" s="115"/>
      <c r="AC302" s="689">
        <f>IF(OR(BX$298="Close to Ear",BX$298="Close to Head"),"Head",IF(BX$298="Extremity","Extremity","Body"))</f>
        <v/>
      </c>
      <c r="AD302" s="690">
        <f>CA302</f>
        <v/>
      </c>
      <c r="AE302" s="688">
        <f>CB302</f>
        <v/>
      </c>
      <c r="AF302" s="115"/>
      <c r="AG302" s="808">
        <f>IF(AZ302="","N/A",IF(CQ302="Pass","P","F"))</f>
        <v/>
      </c>
      <c r="AH302" s="129"/>
      <c r="AI302" s="129"/>
      <c r="AJ302" s="129"/>
      <c r="AK302" s="119"/>
      <c r="AL302" s="115"/>
      <c r="AM302" s="119"/>
      <c r="AN302" s="119"/>
      <c r="AO302" s="692"/>
      <c r="AP302" s="692"/>
      <c r="AQ302" s="692"/>
      <c r="AR302" s="692"/>
      <c r="AS302" s="692"/>
      <c r="AT302" s="691">
        <f>CE302</f>
        <v/>
      </c>
      <c r="AU302" s="691">
        <f>CF302</f>
        <v/>
      </c>
      <c r="AV302" s="813"/>
      <c r="AW302" s="813"/>
      <c r="AX302" s="197">
        <f>CZ302</f>
        <v/>
      </c>
      <c r="AY302" s="197">
        <f>DE302</f>
        <v/>
      </c>
      <c r="AZ302" s="3379">
        <f>CO302</f>
        <v/>
      </c>
      <c r="BA302" s="3380"/>
      <c r="BB302" s="197">
        <f>CP302</f>
        <v/>
      </c>
      <c r="BC302" s="813"/>
      <c r="BD302" s="197">
        <f>CR302</f>
        <v/>
      </c>
      <c r="BE302" s="121">
        <f>CS302</f>
        <v/>
      </c>
      <c r="BF302" s="122">
        <f>CT302*60</f>
        <v/>
      </c>
      <c r="BG302" s="121">
        <f>BE302</f>
        <v/>
      </c>
      <c r="BH302" s="122">
        <f>CU302*60</f>
        <v/>
      </c>
      <c r="BI302" s="122">
        <f>CV302</f>
        <v/>
      </c>
      <c r="BJ302" s="117"/>
      <c r="BK302" s="812">
        <f>Overview!$E$7</f>
        <v/>
      </c>
      <c r="BL302" s="117"/>
      <c r="BM302" s="836">
        <f>CW302</f>
        <v/>
      </c>
      <c r="BN302" s="812">
        <f>Overview!$P$153</f>
        <v/>
      </c>
      <c r="BO302" s="117"/>
      <c r="BP302" s="117"/>
      <c r="BQ302" s="115"/>
      <c r="BR302" s="1478" t="inlineStr">
        <is>
          <t>N/A</t>
        </is>
      </c>
      <c r="BS302" s="1548"/>
      <c r="BT302" s="2071" t="inlineStr">
        <is>
          <t>GSM</t>
        </is>
      </c>
      <c r="BU302" s="2071">
        <v>1800</v>
      </c>
      <c r="BV302" s="415">
        <f>Overview!$H$31</f>
        <v/>
      </c>
      <c r="BW302" s="2010"/>
      <c r="BX302" s="2071"/>
      <c r="BY302" s="2072"/>
      <c r="BZ302" s="2072"/>
      <c r="CA302" s="1997" t="inlineStr">
        <is>
          <t>Top Edge</t>
        </is>
      </c>
      <c r="CB302" s="200">
        <v>5</v>
      </c>
      <c r="CC302" s="902">
        <f>'2G-3G'!BX36</f>
        <v>698</v>
      </c>
      <c r="CD302" s="902">
        <f>'2G-3G'!BY36</f>
        <v>1747.4</v>
      </c>
      <c r="CE302" s="1523"/>
      <c r="CF302" s="1523"/>
      <c r="CG302" s="387" t="str">
        <f>IF(OR($BY$167="",$BY$167=""),"",$BY$167)</f>
        <v/>
      </c>
      <c r="CH302" s="387">
        <f>BZ302</f>
        <v/>
      </c>
      <c r="CI302" s="387">
        <f>CA302</f>
        <v/>
      </c>
      <c r="CJ302" s="1527"/>
      <c r="CK302" s="2042"/>
      <c r="CL302" s="206">
        <f>IF(CF302=""," ",IF(ABS(CE302-CF302)&lt;=0.125,"Valid","Not valid"))</f>
        <v/>
      </c>
      <c r="CM302" s="207">
        <f> IF(CE302="","",IF(AND(CE302&lt;&gt;"",CF302=""),IF(CE302&gt;=1,"Medir+Sig Max","No"),IF(CF302&lt;&gt;"",IF(CF302&gt;=1,"Medir+Sig Max","No"),"")))</f>
        <v/>
      </c>
      <c r="CN302" s="1787"/>
      <c r="CO302" s="220">
        <f>IF(CK302="",IF(AND(CE302="",CF302=""),"",IF(CF302="",IF(DE302&gt;1,ROUND(DE302*CE302,3),CE302),IF(DE302&gt;1,ROUND(DE302*CF302,3),CF302))),IF(AND(CE302="",CF302=""),"",IF(CF302="",IF(DE302&gt;1,ROUND(DE302*CE302*(1/(CK302)),3),CE302*(1/(CK302))),IF(DE302&gt;1,ROUND(DE302*CF302*(1/(CK302)),3),CF302*(1/(CK302))))))</f>
        <v/>
      </c>
      <c r="CP302" s="2043">
        <f>$CP$3</f>
        <v/>
      </c>
      <c r="CQ302" s="1472">
        <f>IF(CO302="","",IF(CO302&gt;CP302,"Fail","Pass"))</f>
        <v/>
      </c>
      <c r="CR302" s="1481">
        <f>IF(AND(MAX(CO298:CO305)=CO302,CO302&lt;&gt;0),COUNT($CR$3:CR301)+1,"")</f>
        <v/>
      </c>
      <c r="CS302" s="1565">
        <f>MyTimestamp(CO302)</f>
        <v/>
      </c>
      <c r="CT302" s="1531">
        <f>IF(CE302="",0,15)+IF(CF302="",0,15)</f>
        <v/>
      </c>
      <c r="CU302" s="1532">
        <f>IF(CT302=0,0,2)</f>
        <v/>
      </c>
      <c r="CV302" s="859" t="inlineStr">
        <is>
          <t>S/02</t>
        </is>
      </c>
      <c r="CW302" s="859" t="inlineStr">
        <is>
          <t>Dasy6</t>
        </is>
      </c>
      <c r="CX302" s="2038"/>
      <c r="CY302" s="2044"/>
      <c r="CZ302" s="1543">
        <f>10^(CJ302/20)*100-100</f>
        <v/>
      </c>
      <c r="DA302" s="1325">
        <f>IF('Tune-Up'!$H$21="","",'Tune-Up'!$H$21)</f>
        <v/>
      </c>
      <c r="DB302" s="701">
        <f>'2G-3G'!BZ36</f>
        <v/>
      </c>
      <c r="DC302" s="769">
        <f>IF(DA302="","",10^(DA302/10))</f>
        <v/>
      </c>
      <c r="DD302" s="1369">
        <f>IF(ISNUMBER(DB302)=FALSE,"",10^(DB302/10))</f>
        <v/>
      </c>
      <c r="DE302" s="1543">
        <f>IF(AND(ISNUMBER(DC302),ISNUMBER(DD302)),IF(DC302/DD302&gt;1,ROUND((DC302)/DD302,3),1),1)</f>
        <v/>
      </c>
      <c r="DF302" s="1541"/>
      <c r="DG302" s="1541"/>
      <c r="DH302" s="1541"/>
      <c r="DI302" s="1541"/>
      <c r="DJ302" s="1541"/>
      <c r="DK302" s="1541"/>
      <c r="DL302" s="1541"/>
      <c r="DM302" s="1541"/>
      <c r="DN302" s="1541"/>
      <c r="DO302" s="1541"/>
      <c r="DP302" s="1541"/>
      <c r="DQ302" s="1541"/>
      <c r="DR302" s="1541"/>
    </row>
    <row r="303" ht="12.75" x14ac:dyDescent="0.2">
      <c r="A303" s="1541"/>
      <c r="B303" s="1541"/>
      <c r="C303"/>
      <c r="D303" s="130">
        <f>IF(BX$298="Close to Ear","EN 62209-1","EN 62209-2")</f>
        <v/>
      </c>
      <c r="E303" s="130">
        <f>IF(CG303="Close to Ear","2016","2010/A1:2019")</f>
        <v/>
      </c>
      <c r="F303" s="1488" t="inlineStr">
        <is>
          <t>5.1</t>
        </is>
      </c>
      <c r="G303" s="1497"/>
      <c r="H303" s="120">
        <f>BV303</f>
        <v/>
      </c>
      <c r="I303" s="120">
        <f>BW303</f>
        <v/>
      </c>
      <c r="J303" s="687" t="str">
        <f>BT303</f>
        <v>GSM</v>
      </c>
      <c r="K303" s="194">
        <f>BU303</f>
        <v>1800</v>
      </c>
      <c r="L303" s="115"/>
      <c r="M303" s="120">
        <f>BZ303</f>
        <v>0</v>
      </c>
      <c r="N303" s="119"/>
      <c r="O303" s="131"/>
      <c r="P303" s="6597"/>
      <c r="Q303" s="131"/>
      <c r="R303" s="131"/>
      <c r="S303" s="120">
        <f>CG303</f>
        <v>0</v>
      </c>
      <c r="T303" s="120">
        <f>CC303</f>
        <v>698</v>
      </c>
      <c r="U303" s="120">
        <f>CD303</f>
        <v>1747.4</v>
      </c>
      <c r="V303" s="119"/>
      <c r="W303" s="197">
        <f>CK303*100</f>
        <v/>
      </c>
      <c r="X303" s="119"/>
      <c r="Y303" s="119"/>
      <c r="Z303" s="119"/>
      <c r="AA303" s="115"/>
      <c r="AB303" s="115"/>
      <c r="AC303" s="689">
        <f>IF(OR(BX$298="Close to Ear",BX$298="Close to Head"),"Head",IF(BX$298="Extremity","Extremity","Body"))</f>
        <v/>
      </c>
      <c r="AD303" s="690">
        <f>CA303</f>
        <v/>
      </c>
      <c r="AE303" s="688">
        <f>CB303</f>
        <v/>
      </c>
      <c r="AF303" s="115"/>
      <c r="AG303" s="808">
        <f>IF(AZ303="","N/A",IF(CQ303="Pass","P","F"))</f>
        <v/>
      </c>
      <c r="AH303" s="129"/>
      <c r="AI303" s="129"/>
      <c r="AJ303" s="129"/>
      <c r="AK303" s="119"/>
      <c r="AL303" s="115"/>
      <c r="AM303" s="119"/>
      <c r="AN303" s="119"/>
      <c r="AO303" s="692"/>
      <c r="AP303" s="692"/>
      <c r="AQ303" s="692"/>
      <c r="AR303" s="692"/>
      <c r="AS303" s="692"/>
      <c r="AT303" s="691">
        <f>CE303</f>
        <v/>
      </c>
      <c r="AU303" s="691">
        <f>CF303</f>
        <v/>
      </c>
      <c r="AV303" s="813"/>
      <c r="AW303" s="813"/>
      <c r="AX303" s="197">
        <f>CZ303</f>
        <v/>
      </c>
      <c r="AY303" s="197">
        <f>DE303</f>
        <v/>
      </c>
      <c r="AZ303" s="3379">
        <f>CO303</f>
        <v/>
      </c>
      <c r="BA303" s="3380"/>
      <c r="BB303" s="197">
        <f>CP303</f>
        <v/>
      </c>
      <c r="BC303" s="813"/>
      <c r="BD303" s="197">
        <f>CR303</f>
        <v/>
      </c>
      <c r="BE303" s="121">
        <f>CS303</f>
        <v/>
      </c>
      <c r="BF303" s="122">
        <f>CT303*60</f>
        <v/>
      </c>
      <c r="BG303" s="121">
        <f>BE303</f>
        <v/>
      </c>
      <c r="BH303" s="122">
        <f>CU303*60</f>
        <v/>
      </c>
      <c r="BI303" s="122">
        <f>CV303</f>
        <v/>
      </c>
      <c r="BJ303" s="117"/>
      <c r="BK303" s="812">
        <f>Overview!$E$7</f>
        <v/>
      </c>
      <c r="BL303" s="117"/>
      <c r="BM303" s="836">
        <f>CW303</f>
        <v/>
      </c>
      <c r="BN303" s="812">
        <f>Overview!$P$153</f>
        <v/>
      </c>
      <c r="BO303" s="117"/>
      <c r="BP303" s="117"/>
      <c r="BQ303" s="115"/>
      <c r="BR303" s="1478" t="inlineStr">
        <is>
          <t>N/A</t>
        </is>
      </c>
      <c r="BS303" s="1548"/>
      <c r="BT303" s="2071" t="inlineStr">
        <is>
          <t>GSM</t>
        </is>
      </c>
      <c r="BU303" s="2071">
        <v>1800</v>
      </c>
      <c r="BV303" s="415">
        <f>Overview!$H$31</f>
        <v/>
      </c>
      <c r="BW303" s="2010"/>
      <c r="BX303" s="2071"/>
      <c r="BY303" s="2072"/>
      <c r="BZ303" s="2072"/>
      <c r="CA303" s="1997" t="inlineStr">
        <is>
          <t>Bottom Edge</t>
        </is>
      </c>
      <c r="CB303" s="200">
        <v>5</v>
      </c>
      <c r="CC303" s="902">
        <f>'2G-3G'!BX36</f>
        <v>698</v>
      </c>
      <c r="CD303" s="902">
        <f>'2G-3G'!BY36</f>
        <v>1747.4</v>
      </c>
      <c r="CE303" s="1523"/>
      <c r="CF303" s="1523"/>
      <c r="CG303" s="387" t="str">
        <f>IF(OR($BY$167="",$BY$167=""),"",$BY$167)</f>
        <v/>
      </c>
      <c r="CH303" s="387">
        <f>BZ303</f>
        <v/>
      </c>
      <c r="CI303" s="387">
        <f>CA303</f>
        <v/>
      </c>
      <c r="CJ303" s="1527"/>
      <c r="CK303" s="2042"/>
      <c r="CL303" s="206">
        <f>IF(CF303=""," ",IF(ABS(CE303-CF303)&lt;=0.125,"Valid","Not valid"))</f>
        <v/>
      </c>
      <c r="CM303" s="207">
        <f> IF(CE303="","",IF(AND(CE303&lt;&gt;"",CF303=""),IF(CE303&gt;=1,"Medir+Sig Max","No"),IF(CF303&lt;&gt;"",IF(CF303&gt;=1,"Medir+Sig Max","No"),"")))</f>
        <v/>
      </c>
      <c r="CN303" s="1787"/>
      <c r="CO303" s="220">
        <f>IF(CK303="",IF(AND(CE303="",CF303=""),"",IF(CF303="",IF(DE303&gt;1,ROUND(DE303*CE303,3),CE303),IF(DE303&gt;1,ROUND(DE303*CF303,3),CF303))),IF(AND(CE303="",CF303=""),"",IF(CF303="",IF(DE303&gt;1,ROUND(DE303*CE303*(1/(CK303)),3),CE303*(1/(CK303))),IF(DE303&gt;1,ROUND(DE303*CF303*(1/(CK303)),3),CF303*(1/(CK303))))))</f>
        <v/>
      </c>
      <c r="CP303" s="2043">
        <f>$CP$3</f>
        <v/>
      </c>
      <c r="CQ303" s="1472">
        <f>IF(CO303="","",IF(CO303&gt;CP303,"Fail","Pass"))</f>
        <v/>
      </c>
      <c r="CR303" s="1481">
        <f>IF(AND(MAX(CO298:CO305)=CO303,CO303&lt;&gt;0),COUNT($CR$3:CR302)+1,"")</f>
        <v/>
      </c>
      <c r="CS303" s="1565">
        <f>MyTimestamp(CO303)</f>
        <v/>
      </c>
      <c r="CT303" s="1531">
        <f>IF(CE303="",0,15)+IF(CF303="",0,15)</f>
        <v/>
      </c>
      <c r="CU303" s="1532">
        <f>IF(CT303=0,0,2)</f>
        <v/>
      </c>
      <c r="CV303" s="859" t="inlineStr">
        <is>
          <t>S/02</t>
        </is>
      </c>
      <c r="CW303" s="859" t="inlineStr">
        <is>
          <t>Dasy6</t>
        </is>
      </c>
      <c r="CX303" s="2038"/>
      <c r="CY303" s="2044"/>
      <c r="CZ303" s="1543">
        <f>10^(CJ303/20)*100-100</f>
        <v/>
      </c>
      <c r="DA303" s="1325">
        <f>IF('Tune-Up'!$H$21="","",'Tune-Up'!$H$21)</f>
        <v/>
      </c>
      <c r="DB303" s="701">
        <f>'2G-3G'!BZ36</f>
        <v/>
      </c>
      <c r="DC303" s="769">
        <f>IF(DA303="","",10^(DA303/10))</f>
        <v/>
      </c>
      <c r="DD303" s="1369">
        <f>IF(ISNUMBER(DB303)=FALSE,"",10^(DB303/10))</f>
        <v/>
      </c>
      <c r="DE303" s="1543">
        <f>IF(AND(ISNUMBER(DC303),ISNUMBER(DD303)),IF(DC303/DD303&gt;1,ROUND((DC303)/DD303,3),1),1)</f>
        <v/>
      </c>
      <c r="DF303" s="1541"/>
      <c r="DG303" s="1541"/>
      <c r="DH303" s="1541"/>
      <c r="DI303" s="1541"/>
      <c r="DJ303" s="1541"/>
      <c r="DK303" s="1541"/>
      <c r="DL303" s="1541"/>
      <c r="DM303" s="1541"/>
      <c r="DN303" s="1541"/>
      <c r="DO303" s="1541"/>
      <c r="DP303" s="1541"/>
      <c r="DQ303" s="1541"/>
      <c r="DR303" s="1541"/>
    </row>
    <row r="304" ht="12.75" x14ac:dyDescent="0.2">
      <c r="A304" s="1541"/>
      <c r="B304" s="1541"/>
      <c r="C304"/>
      <c r="D304" s="130">
        <f>IF(BX$298="Close to Ear","EN 62209-1","EN 62209-2")</f>
        <v/>
      </c>
      <c r="E304" s="130">
        <f>IF(CG304="Close to Ear","2016","2010/A1:2019")</f>
        <v/>
      </c>
      <c r="F304" s="1488" t="inlineStr">
        <is>
          <t>5.1</t>
        </is>
      </c>
      <c r="G304" s="1497"/>
      <c r="H304" s="120">
        <f>BV304</f>
        <v/>
      </c>
      <c r="I304" s="120">
        <f>BW304</f>
        <v/>
      </c>
      <c r="J304" s="687" t="str">
        <f>BT304</f>
        <v>GSM</v>
      </c>
      <c r="K304" s="194">
        <f>BU304</f>
        <v>1800</v>
      </c>
      <c r="L304" s="115"/>
      <c r="M304" s="120">
        <f>BZ304</f>
        <v>0</v>
      </c>
      <c r="N304" s="119"/>
      <c r="O304" s="131"/>
      <c r="P304" s="6597"/>
      <c r="Q304" s="131"/>
      <c r="R304" s="131"/>
      <c r="S304" s="120">
        <f>CG304</f>
        <v>0</v>
      </c>
      <c r="T304" s="120">
        <f>CC304</f>
        <v>512</v>
      </c>
      <c r="U304" s="120">
        <f>CD304</f>
        <v>1710.2</v>
      </c>
      <c r="V304" s="119"/>
      <c r="W304" s="197">
        <f>CK304*100</f>
        <v/>
      </c>
      <c r="X304" s="119"/>
      <c r="Y304" s="119"/>
      <c r="Z304" s="119"/>
      <c r="AA304" s="115"/>
      <c r="AB304" s="115"/>
      <c r="AC304" s="689">
        <f>IF(OR(BX$298="Close to Ear",BX$298="Close to Head"),"Head",IF(BX$298="Extremity","Extremity","Body"))</f>
        <v/>
      </c>
      <c r="AD304" s="690">
        <f>CA304</f>
        <v/>
      </c>
      <c r="AE304" s="688">
        <f>CB304</f>
        <v/>
      </c>
      <c r="AF304" s="115"/>
      <c r="AG304" s="808">
        <f>IF(AZ304="","N/A",IF(CQ304="Pass","P","F"))</f>
        <v/>
      </c>
      <c r="AH304" s="129"/>
      <c r="AI304" s="129"/>
      <c r="AJ304" s="129"/>
      <c r="AK304" s="119"/>
      <c r="AL304" s="115"/>
      <c r="AM304" s="119"/>
      <c r="AN304" s="119"/>
      <c r="AO304" s="692"/>
      <c r="AP304" s="692"/>
      <c r="AQ304" s="692"/>
      <c r="AR304" s="692"/>
      <c r="AS304" s="692"/>
      <c r="AT304" s="691">
        <f>CE304</f>
        <v/>
      </c>
      <c r="AU304" s="691">
        <f>CF304</f>
        <v/>
      </c>
      <c r="AV304" s="813"/>
      <c r="AW304" s="813"/>
      <c r="AX304" s="197">
        <f>CZ304</f>
        <v/>
      </c>
      <c r="AY304" s="197">
        <f>DE304</f>
        <v/>
      </c>
      <c r="AZ304" s="3379">
        <f>CO304</f>
        <v/>
      </c>
      <c r="BA304" s="3380"/>
      <c r="BB304" s="197">
        <f>CP304</f>
        <v/>
      </c>
      <c r="BC304" s="813"/>
      <c r="BD304" s="197">
        <f>CR304</f>
        <v/>
      </c>
      <c r="BE304" s="121">
        <f>CS304</f>
        <v/>
      </c>
      <c r="BF304" s="122">
        <f>CT304*60</f>
        <v/>
      </c>
      <c r="BG304" s="121">
        <f>BE304</f>
        <v/>
      </c>
      <c r="BH304" s="122">
        <f>CU304*60</f>
        <v/>
      </c>
      <c r="BI304" s="122">
        <f>CV304</f>
        <v/>
      </c>
      <c r="BJ304" s="117"/>
      <c r="BK304" s="812">
        <f>Overview!$E$7</f>
        <v/>
      </c>
      <c r="BL304" s="117"/>
      <c r="BM304" s="836">
        <f>CW304</f>
        <v/>
      </c>
      <c r="BN304" s="812">
        <f>Overview!$P$153</f>
        <v/>
      </c>
      <c r="BO304" s="117"/>
      <c r="BP304" s="117"/>
      <c r="BQ304" s="115"/>
      <c r="BR304" s="1478" t="inlineStr">
        <is>
          <t>N/A</t>
        </is>
      </c>
      <c r="BS304" s="1548"/>
      <c r="BT304" s="2071" t="inlineStr">
        <is>
          <t>GSM</t>
        </is>
      </c>
      <c r="BU304" s="2071">
        <v>1800</v>
      </c>
      <c r="BV304" s="415">
        <f>Overview!$H$31</f>
        <v/>
      </c>
      <c r="BW304" s="2010"/>
      <c r="BX304" s="2071"/>
      <c r="BY304" s="2072"/>
      <c r="BZ304" s="2072"/>
      <c r="CA304" s="416" t="str">
        <f>IF(COUNT(CF298:CF303)=0,IF(COUNT(CE298:CE303)=0,"TBD",VLOOKUP(MAX(CE298:CE303),CE298:CI303,5,FALSE)),VLOOKUP(MAX(CF298:CF303),CF298:CI303,4,FALSE))</f>
        <v>TBD</v>
      </c>
      <c r="CB304" s="200">
        <v>5</v>
      </c>
      <c r="CC304" s="902">
        <f>'2G-3G'!BX37</f>
        <v>512</v>
      </c>
      <c r="CD304" s="902">
        <f>'2G-3G'!BY37</f>
        <v>1710.2</v>
      </c>
      <c r="CE304" s="1523"/>
      <c r="CF304" s="1523"/>
      <c r="CG304" s="387" t="str">
        <f>IF(OR($BY$167="",$BY$167=""),"",$BY$167)</f>
        <v/>
      </c>
      <c r="CH304" s="387">
        <f>BZ304</f>
        <v/>
      </c>
      <c r="CI304" s="387">
        <f>CA304</f>
        <v/>
      </c>
      <c r="CJ304" s="1527"/>
      <c r="CK304" s="2042"/>
      <c r="CL304" s="206">
        <f>IF(CF304=""," ",IF(ABS(CE304-CF304)&lt;=0.125,"Valid","Not valid"))</f>
        <v/>
      </c>
      <c r="CM304" s="207">
        <f> IF(CE304="","",IF(AND(CE304&lt;&gt;"",CF304=""),IF(CE304&gt;=1,"Medir+Sig Max","No"),IF(CF304&lt;&gt;"",IF(CF304&gt;=1,"Medir+Sig Max","No"),"")))</f>
        <v/>
      </c>
      <c r="CN304" s="1787"/>
      <c r="CO304" s="220">
        <f>IF(CK304="",IF(AND(CE304="",CF304=""),"",IF(CF304="",IF(DE304&gt;1,ROUND(DE304*CE304,3),CE304),IF(DE304&gt;1,ROUND(DE304*CF304,3),CF304))),IF(AND(CE304="",CF304=""),"",IF(CF304="",IF(DE304&gt;1,ROUND(DE304*CE304*(1/(CK304)),3),CE304*(1/(CK304))),IF(DE304&gt;1,ROUND(DE304*CF304*(1/(CK304)),3),CF304*(1/(CK304))))))</f>
        <v/>
      </c>
      <c r="CP304" s="2043">
        <f>$CP$3</f>
        <v/>
      </c>
      <c r="CQ304" s="1472">
        <f>IF(CO304="","",IF(CO304&gt;CP304,"Fail","Pass"))</f>
        <v/>
      </c>
      <c r="CR304" s="1481">
        <f>IF(AND(MAX(CO298:CO305)=CO304,CO304&lt;&gt;0),COUNT($CR$3:CR303)+1,"")</f>
        <v/>
      </c>
      <c r="CS304" s="1565">
        <f>MyTimestamp(CO304)</f>
        <v/>
      </c>
      <c r="CT304" s="1531">
        <f>IF(CE304="",0,15)+IF(CF304="",0,15)</f>
        <v/>
      </c>
      <c r="CU304" s="1532">
        <f>IF(CT304=0,0,2)</f>
        <v/>
      </c>
      <c r="CV304" s="859" t="inlineStr">
        <is>
          <t>S/02</t>
        </is>
      </c>
      <c r="CW304" s="859" t="inlineStr">
        <is>
          <t>Dasy6</t>
        </is>
      </c>
      <c r="CX304" s="2038"/>
      <c r="CY304" s="2044"/>
      <c r="CZ304" s="1543">
        <f>10^(CJ304/20)*100-100</f>
        <v/>
      </c>
      <c r="DA304" s="1325">
        <f>IF('Tune-Up'!$H$21="","",'Tune-Up'!$H$21)</f>
        <v/>
      </c>
      <c r="DB304" s="701">
        <f>'2G-3G'!BZ37</f>
        <v/>
      </c>
      <c r="DC304" s="769">
        <f>IF(DA304="","",10^(DA304/10))</f>
        <v/>
      </c>
      <c r="DD304" s="1369">
        <f>IF(ISNUMBER(DB304)=FALSE,"",10^(DB304/10))</f>
        <v/>
      </c>
      <c r="DE304" s="1543">
        <f>IF(AND(ISNUMBER(DC304),ISNUMBER(DD304)),IF(DC304/DD304&gt;1,ROUND((DC304)/DD304,3),1),1)</f>
        <v/>
      </c>
      <c r="DF304" s="1541"/>
      <c r="DG304" s="1541"/>
      <c r="DH304" s="1541"/>
      <c r="DI304" s="1541"/>
      <c r="DJ304" s="1541"/>
      <c r="DK304" s="1541"/>
      <c r="DL304" s="1541"/>
      <c r="DM304" s="1541"/>
      <c r="DN304" s="1541"/>
      <c r="DO304" s="1541"/>
      <c r="DP304" s="1541"/>
      <c r="DQ304" s="1541"/>
      <c r="DR304" s="1541"/>
    </row>
    <row r="305" ht="12.75" x14ac:dyDescent="0.2">
      <c r="A305" s="1541"/>
      <c r="B305" s="1541"/>
      <c r="C305"/>
      <c r="D305" s="130">
        <f>IF(BX$298="Close to Ear","EN 62209-1","EN 62209-2")</f>
        <v/>
      </c>
      <c r="E305" s="130">
        <f>IF(CG305="Close to Ear","2016","2010/A1:2019")</f>
        <v/>
      </c>
      <c r="F305" s="1488" t="inlineStr">
        <is>
          <t>5.1</t>
        </is>
      </c>
      <c r="G305" s="1497"/>
      <c r="H305" s="120">
        <f>BV305</f>
        <v/>
      </c>
      <c r="I305" s="120">
        <f>BW305</f>
        <v/>
      </c>
      <c r="J305" s="687" t="str">
        <f>BT305</f>
        <v>GSM</v>
      </c>
      <c r="K305" s="194">
        <f>BU305</f>
        <v>1800</v>
      </c>
      <c r="L305" s="115"/>
      <c r="M305" s="120">
        <f>BZ305</f>
        <v>0</v>
      </c>
      <c r="N305" s="119"/>
      <c r="O305" s="131"/>
      <c r="P305" s="6597"/>
      <c r="Q305" s="131"/>
      <c r="R305" s="131"/>
      <c r="S305" s="120">
        <f>CG305</f>
        <v>0</v>
      </c>
      <c r="T305" s="120">
        <f>CC305</f>
        <v>885</v>
      </c>
      <c r="U305" s="120">
        <f>CD305</f>
        <v>1784.8</v>
      </c>
      <c r="V305" s="119"/>
      <c r="W305" s="197">
        <f>CK305*100</f>
        <v/>
      </c>
      <c r="X305" s="119"/>
      <c r="Y305" s="119"/>
      <c r="Z305" s="119"/>
      <c r="AA305" s="115"/>
      <c r="AB305" s="115"/>
      <c r="AC305" s="689">
        <f>IF(OR(BX$298="Close to Ear",BX$298="Close to Head"),"Head",IF(BX$298="Extremity","Extremity","Body"))</f>
        <v/>
      </c>
      <c r="AD305" s="690">
        <f>CA305</f>
        <v/>
      </c>
      <c r="AE305" s="688">
        <f>CB305</f>
        <v/>
      </c>
      <c r="AF305" s="115"/>
      <c r="AG305" s="808">
        <f>IF(AZ305="","N/A",IF(CQ305="Pass","P","F"))</f>
        <v/>
      </c>
      <c r="AH305" s="129"/>
      <c r="AI305" s="129"/>
      <c r="AJ305" s="129"/>
      <c r="AK305" s="119"/>
      <c r="AL305" s="115"/>
      <c r="AM305" s="119"/>
      <c r="AN305" s="119"/>
      <c r="AO305" s="692"/>
      <c r="AP305" s="692"/>
      <c r="AQ305" s="692"/>
      <c r="AR305" s="692"/>
      <c r="AS305" s="692"/>
      <c r="AT305" s="691">
        <f>CE305</f>
        <v/>
      </c>
      <c r="AU305" s="691">
        <f>CF305</f>
        <v/>
      </c>
      <c r="AV305" s="813"/>
      <c r="AW305" s="813"/>
      <c r="AX305" s="197">
        <f>CZ305</f>
        <v/>
      </c>
      <c r="AY305" s="197">
        <f>DE305</f>
        <v/>
      </c>
      <c r="AZ305" s="3379">
        <f>CO305</f>
        <v/>
      </c>
      <c r="BA305" s="3380"/>
      <c r="BB305" s="197">
        <f>CP305</f>
        <v/>
      </c>
      <c r="BC305" s="813"/>
      <c r="BD305" s="197">
        <f>CR305</f>
        <v/>
      </c>
      <c r="BE305" s="121">
        <f>CS305</f>
        <v/>
      </c>
      <c r="BF305" s="122">
        <f>CT305*60</f>
        <v/>
      </c>
      <c r="BG305" s="121">
        <f>BE305</f>
        <v/>
      </c>
      <c r="BH305" s="122">
        <f>CU305*60</f>
        <v/>
      </c>
      <c r="BI305" s="122">
        <f>CV305</f>
        <v/>
      </c>
      <c r="BJ305" s="117"/>
      <c r="BK305" s="812">
        <f>Overview!$E$7</f>
        <v/>
      </c>
      <c r="BL305" s="117"/>
      <c r="BM305" s="836">
        <f>CW305</f>
        <v/>
      </c>
      <c r="BN305" s="812">
        <f>Overview!$P$153</f>
        <v/>
      </c>
      <c r="BO305" s="117"/>
      <c r="BP305" s="117"/>
      <c r="BQ305" s="115"/>
      <c r="BR305" s="1478" t="inlineStr">
        <is>
          <t>N/A</t>
        </is>
      </c>
      <c r="BS305" s="1548"/>
      <c r="BT305" s="2071" t="inlineStr">
        <is>
          <t>GSM</t>
        </is>
      </c>
      <c r="BU305" s="2071">
        <v>1800</v>
      </c>
      <c r="BV305" s="415">
        <f>Overview!$H$31</f>
        <v/>
      </c>
      <c r="BW305" s="2010"/>
      <c r="BX305" s="2075"/>
      <c r="BY305" s="2010"/>
      <c r="BZ305" s="2010"/>
      <c r="CA305" s="418" t="str">
        <f>IF(COUNT(CF298:CF303)=0,IF(COUNT(CE298:CE303)=0,"TBD",VLOOKUP(MAX(CE298:CE303),CE298:CI303,5,FALSE)),VLOOKUP(MAX(CF298:CF303),CF298:CI303,4,FALSE))</f>
        <v>TBD</v>
      </c>
      <c r="CB305" s="201">
        <v>5</v>
      </c>
      <c r="CC305" s="857">
        <f>'2G-3G'!BX38</f>
        <v>885</v>
      </c>
      <c r="CD305" s="857">
        <f>'2G-3G'!BY38</f>
        <v>1784.8</v>
      </c>
      <c r="CE305" s="1874"/>
      <c r="CF305" s="1874"/>
      <c r="CG305" s="388" t="str">
        <f>IF(OR($BY$167="",$BY$167=""),"",$BY$167)</f>
        <v/>
      </c>
      <c r="CH305" s="388">
        <f>BZ305</f>
        <v/>
      </c>
      <c r="CI305" s="388">
        <f>CA305</f>
        <v/>
      </c>
      <c r="CJ305" s="2046"/>
      <c r="CK305" s="2047"/>
      <c r="CL305" s="212">
        <f>IF(CF305=""," ",IF(ABS(CE305-CF305)&lt;=0.125,"Valid","Not valid"))</f>
        <v/>
      </c>
      <c r="CM305" s="213">
        <f> IF(CE305="","",IF(AND(CE305&lt;&gt;"",CF305=""),IF(CE305&gt;=1,"Medir+Sig Max","No"),IF(CF305&lt;&gt;"",IF(CF305&gt;=1,"Medir+Sig Max","No"),"")))</f>
        <v/>
      </c>
      <c r="CN305" s="1794"/>
      <c r="CO305" s="221">
        <f>IF(CK305="",IF(AND(CE305="",CF305=""),"",IF(CF305="",IF(DE305&gt;1,ROUND(DE305*CE305,3),CE305),IF(DE305&gt;1,ROUND(DE305*CF305,3),CF305))),IF(AND(CE305="",CF305=""),"",IF(CF305="",IF(DE305&gt;1,ROUND(DE305*CE305*(1/(CK305)),3),CE305*(1/(CK305))),IF(DE305&gt;1,ROUND(DE305*CF305*(1/(CK305)),3),CF305*(1/(CK305))))))</f>
        <v/>
      </c>
      <c r="CP305" s="2048">
        <f>$CP$3</f>
        <v/>
      </c>
      <c r="CQ305" s="1473">
        <f>IF(CO305="","",IF(CO305&gt;CP305,"Fail","Pass"))</f>
        <v/>
      </c>
      <c r="CR305" s="1482">
        <f>IF(AND(MAX(CO298:CO305)=CO305,CO305&lt;&gt;0),COUNT($CR$3:CR304)+1,"")</f>
        <v/>
      </c>
      <c r="CS305" s="1566">
        <f>MyTimestamp(CO305)</f>
        <v/>
      </c>
      <c r="CT305" s="1535">
        <f>IF(CE305="",0,15)+IF(CF305="",0,15)</f>
        <v/>
      </c>
      <c r="CU305" s="1536">
        <f>IF(CT305=0,0,2)</f>
        <v/>
      </c>
      <c r="CV305" s="861" t="inlineStr">
        <is>
          <t>S/02</t>
        </is>
      </c>
      <c r="CW305" s="861" t="inlineStr">
        <is>
          <t>Dasy6</t>
        </is>
      </c>
      <c r="CX305" s="2038"/>
      <c r="CY305" s="2050"/>
      <c r="CZ305" s="1545">
        <f>10^(CJ305/20)*100-100</f>
        <v/>
      </c>
      <c r="DA305" s="1327">
        <f>IF('Tune-Up'!$H$21="","",'Tune-Up'!$H$21)</f>
        <v/>
      </c>
      <c r="DB305" s="703">
        <f>'2G-3G'!BZ38</f>
        <v/>
      </c>
      <c r="DC305" s="771">
        <f>IF(DA305="","",10^(DA305/10))</f>
        <v/>
      </c>
      <c r="DD305" s="1371">
        <f>IF(ISNUMBER(DB305)=FALSE,"",10^(DB305/10))</f>
        <v/>
      </c>
      <c r="DE305" s="1545">
        <f>IF(AND(ISNUMBER(DC305),ISNUMBER(DD305)),IF(DC305/DD305&gt;1,ROUND((DC305)/DD305,3),1),1)</f>
        <v/>
      </c>
      <c r="DF305" s="1541"/>
      <c r="DG305" s="1541"/>
      <c r="DH305" s="1541"/>
      <c r="DI305" s="1541"/>
      <c r="DJ305" s="1541"/>
      <c r="DK305" s="1541"/>
      <c r="DL305" s="1541"/>
      <c r="DM305" s="1541"/>
      <c r="DN305" s="1541"/>
      <c r="DO305" s="1541"/>
      <c r="DP305" s="1541"/>
      <c r="DQ305" s="1541"/>
      <c r="DR305" s="1541"/>
    </row>
    <row r="306" ht="12.75" x14ac:dyDescent="0.2">
      <c r="A306" s="1541"/>
      <c r="B306" s="1541"/>
      <c r="C306"/>
      <c r="D306" s="130">
        <f>IF(BX$298="Close to Ear","EN 62209-1","EN 62209-2")</f>
        <v/>
      </c>
      <c r="E306" s="130">
        <f>IF(CG306="Close to Ear","2016","2010/A1:2019")</f>
        <v/>
      </c>
      <c r="F306" s="1488" t="inlineStr">
        <is>
          <t>5.1</t>
        </is>
      </c>
      <c r="G306" s="1497"/>
      <c r="H306" s="120">
        <f>BV306</f>
        <v/>
      </c>
      <c r="I306" s="120">
        <f>BW306</f>
        <v/>
      </c>
      <c r="J306" s="687">
        <f>BT306</f>
        <v/>
      </c>
      <c r="K306" s="194">
        <f>BU306</f>
        <v/>
      </c>
      <c r="L306" s="115"/>
      <c r="M306" s="120">
        <f>BZ306</f>
        <v/>
      </c>
      <c r="N306" s="119"/>
      <c r="O306" s="131"/>
      <c r="P306" s="6597"/>
      <c r="Q306" s="131"/>
      <c r="R306" s="131"/>
      <c r="S306" s="120">
        <f>CG306</f>
        <v/>
      </c>
      <c r="T306" s="120">
        <f>CC306</f>
        <v/>
      </c>
      <c r="U306" s="120">
        <f>CD306</f>
        <v/>
      </c>
      <c r="V306" s="119"/>
      <c r="W306" s="197">
        <f>CK306*100</f>
        <v/>
      </c>
      <c r="X306" s="119"/>
      <c r="Y306" s="119"/>
      <c r="Z306" s="119"/>
      <c r="AA306" s="115"/>
      <c r="AB306" s="115"/>
      <c r="AC306" s="689">
        <f>IF(OR(BX$298="Close to Ear",BX$298="Close to Head"),"Head",IF(BX$298="Extremity","Extremity","Body"))</f>
        <v/>
      </c>
      <c r="AD306" s="690">
        <f>CA306</f>
        <v/>
      </c>
      <c r="AE306" s="688">
        <f>CB306</f>
        <v/>
      </c>
      <c r="AF306" s="115"/>
      <c r="AG306" s="808">
        <f>IF(AZ306="","N/A",IF(CQ306="Pass","P","F"))</f>
        <v/>
      </c>
      <c r="AH306" s="129"/>
      <c r="AI306" s="129"/>
      <c r="AJ306" s="129"/>
      <c r="AK306" s="119"/>
      <c r="AL306" s="115"/>
      <c r="AM306" s="119"/>
      <c r="AN306" s="119"/>
      <c r="AO306" s="692"/>
      <c r="AP306" s="692"/>
      <c r="AQ306" s="692"/>
      <c r="AR306" s="692"/>
      <c r="AS306" s="692"/>
      <c r="AT306" s="691">
        <f>CE306</f>
        <v/>
      </c>
      <c r="AU306" s="691">
        <f>CF306</f>
        <v/>
      </c>
      <c r="AV306" s="813"/>
      <c r="AW306" s="813"/>
      <c r="AX306" s="197">
        <f>CZ306</f>
        <v/>
      </c>
      <c r="AY306" s="197">
        <f>DE306</f>
        <v/>
      </c>
      <c r="AZ306" s="3379">
        <f>CO306</f>
        <v/>
      </c>
      <c r="BA306" s="3380"/>
      <c r="BB306" s="197">
        <f>CP306</f>
        <v/>
      </c>
      <c r="BC306" s="813"/>
      <c r="BD306" s="197">
        <f>CR306</f>
        <v/>
      </c>
      <c r="BE306" s="121">
        <f>CS306</f>
        <v/>
      </c>
      <c r="BF306" s="122">
        <f>CT306*60</f>
        <v/>
      </c>
      <c r="BG306" s="121">
        <f>BE306</f>
        <v/>
      </c>
      <c r="BH306" s="122">
        <f>CU306*60</f>
        <v/>
      </c>
      <c r="BI306" s="122">
        <f>CV306</f>
        <v/>
      </c>
      <c r="BJ306" s="117"/>
      <c r="BK306" s="812">
        <f>Overview!$E$7</f>
        <v/>
      </c>
      <c r="BL306" s="117"/>
      <c r="BM306" s="836">
        <f>CW306</f>
        <v/>
      </c>
      <c r="BN306" s="812">
        <f>Overview!$P$153</f>
        <v/>
      </c>
      <c r="BO306" s="117"/>
      <c r="BP306" s="117"/>
      <c r="BQ306" s="115"/>
      <c r="BR306" s="1478" t="inlineStr">
        <is>
          <t>N/A</t>
        </is>
      </c>
      <c r="BS306" s="1548"/>
      <c r="BT306" s="2071" t="inlineStr">
        <is>
          <t>GSM</t>
        </is>
      </c>
      <c r="BU306" s="2071">
        <v>1800</v>
      </c>
      <c r="BV306" s="415">
        <f>Overview!$H$31</f>
        <v/>
      </c>
      <c r="BW306" s="2010"/>
      <c r="BX306" s="2075"/>
      <c r="BY306" s="2010"/>
      <c r="BZ306" s="2010"/>
      <c r="CA306" s="418" t="str">
        <f>CONCATENATE(CA304," - Battery check 1")</f>
        <v>TBD - Battery check 1</v>
      </c>
      <c r="CB306" s="201">
        <v>5</v>
      </c>
      <c r="CC306" s="857">
        <f>IF(COUNT($CO$298:$CO$305)=0,"N/A",INDEX($CC$298:$CC$305,MATCH(MAX($CO$298:$CO$305),$CO$298:$CO$305,0)))</f>
        <v/>
      </c>
      <c r="CD306" s="857">
        <f>IF(COUNT($CO$298:$CO$305)=0,"N/A",INDEX($CD$298:$CD$305,MATCH(MAX($CO$298:$CO$305),$CO$298:$CO$305,0)))</f>
        <v/>
      </c>
      <c r="CE306" s="1874"/>
      <c r="CF306" s="1874"/>
      <c r="CG306" s="388" t="inlineStr">
        <is>
          <t>N/A</t>
        </is>
      </c>
      <c r="CH306" s="388">
        <f>BZ306</f>
        <v/>
      </c>
      <c r="CI306" s="388">
        <f>CA306</f>
        <v/>
      </c>
      <c r="CJ306" s="2046"/>
      <c r="CK306" s="2047"/>
      <c r="CL306" s="212">
        <f>IF(CF306=""," ",IF(ABS(CE306-CF306)&lt;=0.125,"Valid","Not valid"))</f>
        <v/>
      </c>
      <c r="CM306" s="213">
        <f> IF(CE306="","",IF(AND(CE306&lt;&gt;"",CF306=""),IF(CE306&gt;=1,"Medir+Sig Max","No"),IF(CF306&lt;&gt;"",IF(CF306&gt;=1,"Medir+Sig Max","No"),"")))</f>
        <v/>
      </c>
      <c r="CN306" s="1794"/>
      <c r="CO306" s="221">
        <f>IF(CK306="",IF(AND(CE306="",CF306=""),"",IF(CF306="",IF(DE306&gt;1,ROUND(DE306*CE306,3),CE306),IF(DE306&gt;1,ROUND(DE306*CF306,3),CF306))),IF(AND(CE306="",CF306=""),"",IF(CF306="",IF(DE306&gt;1,ROUND(DE306*CE306*(1/(CK306)),3),CE306*(1/(CK306))),IF(DE306&gt;1,ROUND(DE306*CF306*(1/(CK306)),3),CF306*(1/(CK306))))))</f>
        <v/>
      </c>
      <c r="CP306" s="2048">
        <f>$CP$3</f>
        <v/>
      </c>
      <c r="CQ306" s="1473">
        <f>IF(CO306="","",IF(CO306&gt;CP306,"Fail","Pass"))</f>
        <v/>
      </c>
      <c r="CR306" s="1482">
        <f>IF(CO306&lt;&gt;"",MAX($CR$3:CR305)+1,"")</f>
        <v/>
      </c>
      <c r="CS306" s="1566">
        <f>MyTimestamp(CQ306)</f>
        <v/>
      </c>
      <c r="CT306" s="1535">
        <f>IF(COUNT(CE306:CF306)=1,15,IF(COUNT(CE306:CF306)=0,0,30))</f>
        <v/>
      </c>
      <c r="CU306" s="1536">
        <f>IF(CT306=0,0,2)</f>
        <v/>
      </c>
      <c r="CV306" s="861" t="inlineStr">
        <is>
          <t>S/02</t>
        </is>
      </c>
      <c r="CW306" s="861" t="inlineStr">
        <is>
          <t>Dasy6</t>
        </is>
      </c>
      <c r="CX306" s="2038"/>
      <c r="CY306" s="2050"/>
      <c r="CZ306" s="1545">
        <f>10^(CJ306/20)*100-100</f>
        <v/>
      </c>
      <c r="DA306" s="1327">
        <f>IF('Tune-Up'!$H$21="","",'Tune-Up'!$H$21)</f>
        <v/>
      </c>
      <c r="DB306" s="703">
        <f>IF(COUNT($CO$298:$CO$305)=0,"N/A",IFERROR(INDEX($DB$298:$DB$305,MATCH(MAX($CO$298:$CO$305),$CO$298:$CO$305,0)),"N/A"))</f>
        <v/>
      </c>
      <c r="DC306" s="771">
        <f>IF(DA306="","",10^(DA306/10))</f>
        <v/>
      </c>
      <c r="DD306" s="1371">
        <f>IF(ISNUMBER(DB306)=FALSE,"N/A",10^(DB306/10))</f>
        <v/>
      </c>
      <c r="DE306" s="1545">
        <f>IF(AND(ISNUMBER(DC306),ISNUMBER(DD306)),IF(DC306/DD306&gt;1,ROUND((DC306)/DD306,3),1),1)</f>
        <v/>
      </c>
      <c r="DF306" s="1541"/>
      <c r="DG306" s="1541"/>
      <c r="DH306" s="1541"/>
      <c r="DI306" s="1541"/>
      <c r="DJ306" s="1541"/>
      <c r="DK306" s="1541"/>
      <c r="DL306" s="1541"/>
      <c r="DM306" s="1541"/>
      <c r="DN306" s="1541"/>
      <c r="DO306" s="1541"/>
      <c r="DP306" s="1541"/>
      <c r="DQ306" s="1541"/>
      <c r="DR306" s="1541"/>
    </row>
    <row r="307" ht="12.75" x14ac:dyDescent="0.2">
      <c r="A307" s="1541"/>
      <c r="B307" s="1541"/>
      <c r="C307"/>
      <c r="D307" s="130">
        <f>IF(BX$298="Close to Ear","EN 62209-1","EN 62209-2")</f>
        <v/>
      </c>
      <c r="E307" s="130">
        <f>IF(CG307="Close to Ear","2016","2010/A1:2019")</f>
        <v/>
      </c>
      <c r="F307" s="1488" t="inlineStr">
        <is>
          <t>5.1</t>
        </is>
      </c>
      <c r="G307" s="1497"/>
      <c r="H307" s="120">
        <f>BV307</f>
        <v/>
      </c>
      <c r="I307" s="120">
        <f>BW307</f>
        <v/>
      </c>
      <c r="J307" s="687">
        <f>BT307</f>
        <v/>
      </c>
      <c r="K307" s="194">
        <f>BU307</f>
        <v/>
      </c>
      <c r="L307" s="115"/>
      <c r="M307" s="120">
        <f>BZ307</f>
        <v/>
      </c>
      <c r="N307" s="119"/>
      <c r="O307" s="131"/>
      <c r="P307" s="6597"/>
      <c r="Q307" s="131"/>
      <c r="R307" s="131"/>
      <c r="S307" s="120">
        <f>CG307</f>
        <v/>
      </c>
      <c r="T307" s="120">
        <f>CC307</f>
        <v/>
      </c>
      <c r="U307" s="120">
        <f>CD307</f>
        <v/>
      </c>
      <c r="V307" s="119"/>
      <c r="W307" s="197">
        <f>CK307*100</f>
        <v/>
      </c>
      <c r="X307" s="119"/>
      <c r="Y307" s="119"/>
      <c r="Z307" s="119"/>
      <c r="AA307" s="115"/>
      <c r="AB307" s="115"/>
      <c r="AC307" s="689">
        <f>IF(OR(BX$298="Close to Ear",BX$298="Close to Head"),"Head",IF(BX$298="Extremity","Extremity","Body"))</f>
        <v/>
      </c>
      <c r="AD307" s="690">
        <f>CA307</f>
        <v/>
      </c>
      <c r="AE307" s="688">
        <f>CB307</f>
        <v/>
      </c>
      <c r="AF307" s="115"/>
      <c r="AG307" s="808">
        <f>IF(AZ307="","N/A",IF(CQ307="Pass","P","F"))</f>
        <v/>
      </c>
      <c r="AH307" s="129"/>
      <c r="AI307" s="129"/>
      <c r="AJ307" s="129"/>
      <c r="AK307" s="119"/>
      <c r="AL307" s="115"/>
      <c r="AM307" s="119"/>
      <c r="AN307" s="119"/>
      <c r="AO307" s="692"/>
      <c r="AP307" s="692"/>
      <c r="AQ307" s="692"/>
      <c r="AR307" s="692"/>
      <c r="AS307" s="692"/>
      <c r="AT307" s="691">
        <f>CE307</f>
        <v/>
      </c>
      <c r="AU307" s="691">
        <f>CF307</f>
        <v/>
      </c>
      <c r="AV307" s="813"/>
      <c r="AW307" s="813"/>
      <c r="AX307" s="197">
        <f>CZ307</f>
        <v/>
      </c>
      <c r="AY307" s="197">
        <f>DE307</f>
        <v/>
      </c>
      <c r="AZ307" s="3379">
        <f>CO307</f>
        <v/>
      </c>
      <c r="BA307" s="3380"/>
      <c r="BB307" s="197">
        <f>CP307</f>
        <v/>
      </c>
      <c r="BC307" s="813"/>
      <c r="BD307" s="197">
        <f>CR307</f>
        <v/>
      </c>
      <c r="BE307" s="121">
        <f>CS307</f>
        <v/>
      </c>
      <c r="BF307" s="122">
        <f>CT307*60</f>
        <v/>
      </c>
      <c r="BG307" s="121">
        <f>BE307</f>
        <v/>
      </c>
      <c r="BH307" s="122">
        <f>CU307*60</f>
        <v/>
      </c>
      <c r="BI307" s="122">
        <f>CV307</f>
        <v/>
      </c>
      <c r="BJ307" s="117"/>
      <c r="BK307" s="812">
        <f>Overview!$E$7</f>
        <v/>
      </c>
      <c r="BL307" s="117"/>
      <c r="BM307" s="836">
        <f>CW307</f>
        <v/>
      </c>
      <c r="BN307" s="812">
        <f>Overview!$P$153</f>
        <v/>
      </c>
      <c r="BO307" s="117"/>
      <c r="BP307" s="117"/>
      <c r="BQ307" s="115"/>
      <c r="BR307" s="1478" t="inlineStr">
        <is>
          <t>N/A</t>
        </is>
      </c>
      <c r="BS307" s="1548"/>
      <c r="BT307" s="2071" t="inlineStr">
        <is>
          <t>GSM</t>
        </is>
      </c>
      <c r="BU307" s="2071">
        <v>1800</v>
      </c>
      <c r="BV307" s="415">
        <f>Overview!$H$31</f>
        <v/>
      </c>
      <c r="BW307" s="2010"/>
      <c r="BX307" s="2075"/>
      <c r="BY307" s="2010"/>
      <c r="BZ307" s="2010"/>
      <c r="CA307" s="418" t="str">
        <f>CONCATENATE(CA305," - Battery check 2")</f>
        <v>TBD - Battery check 2</v>
      </c>
      <c r="CB307" s="201">
        <v>5</v>
      </c>
      <c r="CC307" s="857">
        <f>IF(COUNT($CO$298:$CO$305)=0,"N/A",INDEX($CC$298:$CC$305,MATCH(MAX($CO$298:$CO$305),$CO$298:$CO$305,0)))</f>
        <v/>
      </c>
      <c r="CD307" s="857">
        <f>IF(COUNT($CO$298:$CO$305)=0,"N/A",INDEX($CD$298:$CD$305,MATCH(MAX($CO$298:$CO$305),$CO$298:$CO$305,0)))</f>
        <v/>
      </c>
      <c r="CE307" s="1874"/>
      <c r="CF307" s="1874"/>
      <c r="CG307" s="388" t="inlineStr">
        <is>
          <t>N/A</t>
        </is>
      </c>
      <c r="CH307" s="388">
        <f>BZ307</f>
        <v/>
      </c>
      <c r="CI307" s="388">
        <f>CA307</f>
        <v/>
      </c>
      <c r="CJ307" s="2046"/>
      <c r="CK307" s="2047"/>
      <c r="CL307" s="212">
        <f>IF(CF307=""," ",IF(ABS(CE307-CF307)&lt;=0.125,"Valid","Not valid"))</f>
        <v/>
      </c>
      <c r="CM307" s="213">
        <f> IF(CE307="","",IF(AND(CE307&lt;&gt;"",CF307=""),IF(CE307&gt;=1,"Medir+Sig Max","No"),IF(CF307&lt;&gt;"",IF(CF307&gt;=1,"Medir+Sig Max","No"),"")))</f>
        <v/>
      </c>
      <c r="CN307" s="1794"/>
      <c r="CO307" s="221">
        <f>IF(CK307="",IF(AND(CE307="",CF307=""),"",IF(CF307="",IF(DE307&gt;1,ROUND(DE307*CE307,3),CE307),IF(DE307&gt;1,ROUND(DE307*CF307,3),CF307))),IF(AND(CE307="",CF307=""),"",IF(CF307="",IF(DE307&gt;1,ROUND(DE307*CE307*(1/(CK307)),3),CE307*(1/(CK307))),IF(DE307&gt;1,ROUND(DE307*CF307*(1/(CK307)),3),CF307*(1/(CK307))))))</f>
        <v/>
      </c>
      <c r="CP307" s="2048">
        <f>$CP$3</f>
        <v/>
      </c>
      <c r="CQ307" s="1473">
        <f>IF(CO307="","",IF(CO307&gt;CP307,"Fail","Pass"))</f>
        <v/>
      </c>
      <c r="CR307" s="1482">
        <f>IF(CO307&lt;&gt;"",MAX($CR$3:CR306)+1,"")</f>
        <v/>
      </c>
      <c r="CS307" s="1566">
        <f>MyTimestamp(CQ307)</f>
        <v/>
      </c>
      <c r="CT307" s="1535">
        <f>IF(COUNT(CE307:CF307)=1,15,IF(COUNT(CE307:CF307)=0,0,30))</f>
        <v/>
      </c>
      <c r="CU307" s="1536">
        <f>IF(CT307=0,0,2)</f>
        <v/>
      </c>
      <c r="CV307" s="861" t="inlineStr">
        <is>
          <t>S/02</t>
        </is>
      </c>
      <c r="CW307" s="861" t="inlineStr">
        <is>
          <t>Dasy6</t>
        </is>
      </c>
      <c r="CX307" s="2038"/>
      <c r="CY307" s="2050"/>
      <c r="CZ307" s="1545">
        <f>10^(CJ307/20)*100-100</f>
        <v/>
      </c>
      <c r="DA307" s="1327">
        <f>IF('Tune-Up'!$H$21="","",'Tune-Up'!$H$21)</f>
        <v/>
      </c>
      <c r="DB307" s="703">
        <f>IF(COUNT($CO$298:$CO$305)=0,"N/A",IFERROR(INDEX($DB$298:$DB$305,MATCH(MAX($CO$298:$CO$305),$CO$298:$CO$305,0)),"N/A"))</f>
        <v/>
      </c>
      <c r="DC307" s="771">
        <f>IF(DA307="","",10^(DA307/10))</f>
        <v/>
      </c>
      <c r="DD307" s="1371">
        <f>IF(ISNUMBER(DB307)=FALSE,"N/A",10^(DB307/10))</f>
        <v/>
      </c>
      <c r="DE307" s="1545">
        <f>IF(AND(ISNUMBER(DC307),ISNUMBER(DD307)),IF(DC307/DD307&gt;1,ROUND((DC307)/DD307,3),1),1)</f>
        <v/>
      </c>
      <c r="DF307" s="1541"/>
      <c r="DG307" s="1541"/>
      <c r="DH307" s="1541"/>
      <c r="DI307" s="1541"/>
      <c r="DJ307" s="1541"/>
      <c r="DK307" s="1541"/>
      <c r="DL307" s="1541"/>
      <c r="DM307" s="1541"/>
      <c r="DN307" s="1541"/>
      <c r="DO307" s="1541"/>
      <c r="DP307" s="1541"/>
      <c r="DQ307" s="1541"/>
      <c r="DR307" s="1541"/>
    </row>
    <row r="308" ht="12.75" x14ac:dyDescent="0.2">
      <c r="A308" s="1541"/>
      <c r="B308" s="1541"/>
      <c r="C308"/>
      <c r="D308" s="130">
        <f>IF(BX$308="Close to Ear","EN 62209-1","EN 62209-2")</f>
        <v/>
      </c>
      <c r="E308" s="130">
        <f>IF(CG308="Close to Ear","2016","2010/A1:2019")</f>
        <v/>
      </c>
      <c r="F308" s="1488" t="inlineStr">
        <is>
          <t>5.1</t>
        </is>
      </c>
      <c r="G308" s="1497"/>
      <c r="H308" s="120">
        <f>BV308</f>
        <v/>
      </c>
      <c r="I308" s="120">
        <f>BW308</f>
        <v/>
      </c>
      <c r="J308" s="687" t="str">
        <f>BT308</f>
        <v>GSM</v>
      </c>
      <c r="K308" s="194">
        <f>BU308</f>
        <v>1800</v>
      </c>
      <c r="L308" s="115"/>
      <c r="M308" s="120">
        <f>BZ308</f>
        <v>0</v>
      </c>
      <c r="N308" s="119"/>
      <c r="O308" s="131"/>
      <c r="P308" s="6597"/>
      <c r="Q308" s="131"/>
      <c r="R308" s="131"/>
      <c r="S308" s="120">
        <f>CG308</f>
        <v>0</v>
      </c>
      <c r="T308" s="120">
        <f>CC308</f>
        <v>698</v>
      </c>
      <c r="U308" s="120">
        <f>CD308</f>
        <v>1747.4</v>
      </c>
      <c r="V308" s="119"/>
      <c r="W308" s="197">
        <f>CK308*100</f>
        <v/>
      </c>
      <c r="X308" s="119"/>
      <c r="Y308" s="119"/>
      <c r="Z308" s="119"/>
      <c r="AA308" s="115"/>
      <c r="AB308" s="115"/>
      <c r="AC308" s="689">
        <f>IF(OR(BX$308="Close to Ear",BX$308="Close to Head"),"Head",IF(BX$308="Extremity","Extremity","Body"))</f>
        <v/>
      </c>
      <c r="AD308" s="690">
        <f>CA308</f>
        <v/>
      </c>
      <c r="AE308" s="688">
        <f>CB308</f>
        <v/>
      </c>
      <c r="AF308" s="115"/>
      <c r="AG308" s="808">
        <f>IF(AZ308="","N/A",IF(CQ308="Pass","P","F"))</f>
        <v/>
      </c>
      <c r="AH308" s="129"/>
      <c r="AI308" s="129"/>
      <c r="AJ308" s="129"/>
      <c r="AK308" s="119"/>
      <c r="AL308" s="115"/>
      <c r="AM308" s="119"/>
      <c r="AN308" s="119"/>
      <c r="AO308" s="692"/>
      <c r="AP308" s="692"/>
      <c r="AQ308" s="692"/>
      <c r="AR308" s="692"/>
      <c r="AS308" s="692"/>
      <c r="AT308" s="691">
        <f>CE308</f>
        <v/>
      </c>
      <c r="AU308" s="691">
        <f>CF308</f>
        <v/>
      </c>
      <c r="AV308" s="813"/>
      <c r="AW308" s="813"/>
      <c r="AX308" s="197">
        <f>CZ308</f>
        <v/>
      </c>
      <c r="AY308" s="197">
        <f>DE308</f>
        <v/>
      </c>
      <c r="AZ308" s="3379">
        <f>CO308</f>
        <v/>
      </c>
      <c r="BA308" s="3380"/>
      <c r="BB308" s="197">
        <f>CP308</f>
        <v/>
      </c>
      <c r="BC308" s="813"/>
      <c r="BD308" s="197">
        <f>CR308</f>
        <v/>
      </c>
      <c r="BE308" s="121">
        <f>CS308</f>
        <v/>
      </c>
      <c r="BF308" s="122">
        <f>CT308*60</f>
        <v/>
      </c>
      <c r="BG308" s="121">
        <f>BE308</f>
        <v/>
      </c>
      <c r="BH308" s="122">
        <f>CU308*60</f>
        <v/>
      </c>
      <c r="BI308" s="122">
        <f>CV308</f>
        <v/>
      </c>
      <c r="BJ308" s="117"/>
      <c r="BK308" s="812">
        <f>Overview!$E$7</f>
        <v/>
      </c>
      <c r="BL308" s="117"/>
      <c r="BM308" s="836">
        <f>CW308</f>
        <v/>
      </c>
      <c r="BN308" s="812">
        <f>Overview!$P$153</f>
        <v/>
      </c>
      <c r="BO308" s="117"/>
      <c r="BP308" s="117"/>
      <c r="BQ308" s="115"/>
      <c r="BR308" s="1478" t="inlineStr">
        <is>
          <t>N/A</t>
        </is>
      </c>
      <c r="BS308" s="1548"/>
      <c r="BT308" s="2071" t="inlineStr">
        <is>
          <t>GSM</t>
        </is>
      </c>
      <c r="BU308" s="2071">
        <v>1800</v>
      </c>
      <c r="BV308" s="415">
        <f>Overview!$H$31</f>
        <v/>
      </c>
      <c r="BW308" s="2010"/>
      <c r="BX308" s="7674" t="inlineStr">
        <is>
          <t>Body</t>
        </is>
      </c>
      <c r="BY308" s="2072"/>
      <c r="BZ308" s="2072"/>
      <c r="CA308" s="1996" t="inlineStr">
        <is>
          <t>Front Face</t>
        </is>
      </c>
      <c r="CB308" s="1959">
        <v>5</v>
      </c>
      <c r="CC308" s="856">
        <f>'2G-3G'!BX36</f>
        <v>698</v>
      </c>
      <c r="CD308" s="856">
        <f>'2G-3G'!BY36</f>
        <v>1747.4</v>
      </c>
      <c r="CE308" s="1522"/>
      <c r="CF308" s="1522"/>
      <c r="CG308" s="386" t="str">
        <f>IF(OR($BY$167="",$BY$167=""),"",$BY$167)</f>
        <v/>
      </c>
      <c r="CH308" s="386">
        <f>BZ308</f>
        <v/>
      </c>
      <c r="CI308" s="386">
        <f>CA308</f>
        <v/>
      </c>
      <c r="CJ308" s="1526"/>
      <c r="CK308" s="2070"/>
      <c r="CL308" s="203">
        <f>IF(CF308=""," ",IF(ABS(CE308-CF308)&lt;=0.125,"Valid","Not valid"))</f>
        <v/>
      </c>
      <c r="CM308" s="204">
        <f> IF(CE308="","",IF(AND(CE308&lt;&gt;"",CF308=""),IF(CE308&gt;=1,"Medir+Sig Max","No"),IF(CF308&lt;&gt;"",IF(CF308&gt;=1,"Medir+Sig Max","No"),"")))</f>
        <v/>
      </c>
      <c r="CN308" s="1798"/>
      <c r="CO308" s="219">
        <f>IF(CK308="",IF(AND(CE308="",CF308=""),"",IF(CF308="",IF(DE308&gt;1,ROUND(DE308*CE308,3),CE308),IF(DE308&gt;1,ROUND(DE308*CF308,3),CF308))),IF(AND(CE308="",CF308=""),"",IF(CF308="",IF(DE308&gt;1,ROUND(DE308*CE308*(1/(CK308)),3),CE308*(1/(CK308))),IF(DE308&gt;1,ROUND(DE308*CF308*(1/(CK308)),3),CF308*(1/(CK308))))))</f>
        <v/>
      </c>
      <c r="CP308" s="2037">
        <f>$CP$3</f>
        <v/>
      </c>
      <c r="CQ308" s="1471">
        <f>IF(CO308="","",IF(CO308&gt;CP308,"Fail","Pass"))</f>
        <v/>
      </c>
      <c r="CR308" s="1480">
        <f>IF(AND(MAX(CO308:CO315)=CO308,CO308&lt;&gt;0),COUNT($CR$3:CR305)+1,"")</f>
        <v/>
      </c>
      <c r="CS308" s="1564">
        <f>MyTimestamp(CO308)</f>
        <v/>
      </c>
      <c r="CT308" s="1529">
        <f>IF(CE308="",0,15)+IF(CF308="",0,15)</f>
        <v/>
      </c>
      <c r="CU308" s="1530">
        <f>IF(CT308=0,0,2)</f>
        <v/>
      </c>
      <c r="CV308" s="862" t="inlineStr">
        <is>
          <t>S/02</t>
        </is>
      </c>
      <c r="CW308" s="862" t="inlineStr">
        <is>
          <t>Dasy6</t>
        </is>
      </c>
      <c r="CX308" s="2038"/>
      <c r="CY308" s="2039"/>
      <c r="CZ308" s="1542">
        <f>10^(CJ308/20)*100-100</f>
        <v/>
      </c>
      <c r="DA308" s="1324">
        <f>IF('Tune-Up'!$H$21="","",'Tune-Up'!$H$21)</f>
        <v/>
      </c>
      <c r="DB308" s="700">
        <f>'2G-3G'!BZ36</f>
        <v/>
      </c>
      <c r="DC308" s="768">
        <f>IF(DA308="","",10^(DA308/10))</f>
        <v/>
      </c>
      <c r="DD308" s="1368">
        <f>IF(ISNUMBER(DB308)=FALSE,"",10^(DB308/10))</f>
        <v/>
      </c>
      <c r="DE308" s="1542">
        <f>IF(AND(ISNUMBER(DC308),ISNUMBER(DD308)),IF(DC308/DD308&gt;1,ROUND((DC308)/DD308,3),1),1)</f>
        <v/>
      </c>
      <c r="DF308" s="1541"/>
      <c r="DG308" s="1541"/>
      <c r="DH308" s="1541"/>
      <c r="DI308" s="1541"/>
      <c r="DJ308" s="1541"/>
      <c r="DK308" s="1541"/>
      <c r="DL308" s="1541"/>
      <c r="DM308" s="1541"/>
      <c r="DN308" s="1541"/>
      <c r="DO308" s="1541"/>
      <c r="DP308" s="1541"/>
      <c r="DQ308" s="1541"/>
      <c r="DR308" s="1541"/>
    </row>
    <row r="309" ht="12.75" x14ac:dyDescent="0.2">
      <c r="A309" s="1541"/>
      <c r="B309" s="1541"/>
      <c r="C309"/>
      <c r="D309" s="130">
        <f>IF(BX$308="Close to Ear","EN 62209-1","EN 62209-2")</f>
        <v/>
      </c>
      <c r="E309" s="130">
        <f>IF(CG309="Close to Ear","2016","2010/A1:2019")</f>
        <v/>
      </c>
      <c r="F309" s="1488" t="inlineStr">
        <is>
          <t>5.1</t>
        </is>
      </c>
      <c r="G309" s="1497"/>
      <c r="H309" s="120">
        <f>BV309</f>
        <v/>
      </c>
      <c r="I309" s="120">
        <f>BW309</f>
        <v/>
      </c>
      <c r="J309" s="687" t="str">
        <f>BT309</f>
        <v>GSM</v>
      </c>
      <c r="K309" s="194">
        <f>BU309</f>
        <v>1800</v>
      </c>
      <c r="L309" s="115"/>
      <c r="M309" s="120">
        <f>BZ309</f>
        <v>0</v>
      </c>
      <c r="N309" s="119"/>
      <c r="O309" s="131"/>
      <c r="P309" s="6597"/>
      <c r="Q309" s="131"/>
      <c r="R309" s="131"/>
      <c r="S309" s="120">
        <f>CG309</f>
        <v>0</v>
      </c>
      <c r="T309" s="120">
        <f>CC309</f>
        <v>698</v>
      </c>
      <c r="U309" s="120">
        <f>CD309</f>
        <v>1747.4</v>
      </c>
      <c r="V309" s="119"/>
      <c r="W309" s="197">
        <f>CK309*100</f>
        <v/>
      </c>
      <c r="X309" s="119"/>
      <c r="Y309" s="119"/>
      <c r="Z309" s="119"/>
      <c r="AA309" s="115"/>
      <c r="AB309" s="115"/>
      <c r="AC309" s="689">
        <f>IF(OR(BX$308="Close to Ear",BX$308="Close to Head"),"Head",IF(BX$308="Extremity","Extremity","Body"))</f>
        <v/>
      </c>
      <c r="AD309" s="690">
        <f>CA309</f>
        <v/>
      </c>
      <c r="AE309" s="688">
        <f>CB309</f>
        <v/>
      </c>
      <c r="AF309" s="115"/>
      <c r="AG309" s="808">
        <f>IF(AZ309="","N/A",IF(CQ309="Pass","P","F"))</f>
        <v/>
      </c>
      <c r="AH309" s="129"/>
      <c r="AI309" s="129"/>
      <c r="AJ309" s="129"/>
      <c r="AK309" s="119"/>
      <c r="AL309" s="115"/>
      <c r="AM309" s="119"/>
      <c r="AN309" s="119"/>
      <c r="AO309" s="692"/>
      <c r="AP309" s="692"/>
      <c r="AQ309" s="692"/>
      <c r="AR309" s="692"/>
      <c r="AS309" s="692"/>
      <c r="AT309" s="691">
        <f>CE309</f>
        <v/>
      </c>
      <c r="AU309" s="691">
        <f>CF309</f>
        <v/>
      </c>
      <c r="AV309" s="813"/>
      <c r="AW309" s="813"/>
      <c r="AX309" s="197">
        <f>CZ309</f>
        <v/>
      </c>
      <c r="AY309" s="197">
        <f>DE309</f>
        <v/>
      </c>
      <c r="AZ309" s="3379">
        <f>CO309</f>
        <v/>
      </c>
      <c r="BA309" s="3380"/>
      <c r="BB309" s="197">
        <f>CP309</f>
        <v/>
      </c>
      <c r="BC309" s="813"/>
      <c r="BD309" s="197">
        <f>CR309</f>
        <v/>
      </c>
      <c r="BE309" s="121">
        <f>CS309</f>
        <v/>
      </c>
      <c r="BF309" s="122">
        <f>CT309*60</f>
        <v/>
      </c>
      <c r="BG309" s="121">
        <f>BE309</f>
        <v/>
      </c>
      <c r="BH309" s="122">
        <f>CU309*60</f>
        <v/>
      </c>
      <c r="BI309" s="122">
        <f>CV309</f>
        <v/>
      </c>
      <c r="BJ309" s="117"/>
      <c r="BK309" s="812">
        <f>Overview!$E$7</f>
        <v/>
      </c>
      <c r="BL309" s="117"/>
      <c r="BM309" s="836">
        <f>CW309</f>
        <v/>
      </c>
      <c r="BN309" s="812">
        <f>Overview!$P$153</f>
        <v/>
      </c>
      <c r="BO309" s="117"/>
      <c r="BP309" s="117"/>
      <c r="BQ309" s="115"/>
      <c r="BR309" s="1478" t="inlineStr">
        <is>
          <t>N/A</t>
        </is>
      </c>
      <c r="BS309" s="1548"/>
      <c r="BT309" s="2071" t="inlineStr">
        <is>
          <t>GSM</t>
        </is>
      </c>
      <c r="BU309" s="2071">
        <v>1800</v>
      </c>
      <c r="BV309" s="415">
        <f>Overview!$H$31</f>
        <v/>
      </c>
      <c r="BW309" s="2010"/>
      <c r="BX309" s="2071"/>
      <c r="BY309" s="2072"/>
      <c r="BZ309" s="2072"/>
      <c r="CA309" s="1997" t="inlineStr">
        <is>
          <t>Back Face</t>
        </is>
      </c>
      <c r="CB309" s="200">
        <v>5</v>
      </c>
      <c r="CC309" s="902">
        <f>'2G-3G'!BX36</f>
        <v>698</v>
      </c>
      <c r="CD309" s="902">
        <f>'2G-3G'!BY36</f>
        <v>1747.4</v>
      </c>
      <c r="CE309" s="1523"/>
      <c r="CF309" s="1523"/>
      <c r="CG309" s="387" t="str">
        <f>IF(OR($BY$167="",$BY$167=""),"",$BY$167)</f>
        <v/>
      </c>
      <c r="CH309" s="387">
        <f>BZ309</f>
        <v/>
      </c>
      <c r="CI309" s="387">
        <f>CA309</f>
        <v/>
      </c>
      <c r="CJ309" s="1527"/>
      <c r="CK309" s="2042"/>
      <c r="CL309" s="206">
        <f>IF(CF309=""," ",IF(ABS(CE309-CF309)&lt;=0.125,"Valid","Not valid"))</f>
        <v/>
      </c>
      <c r="CM309" s="207">
        <f> IF(CE309="","",IF(AND(CE309&lt;&gt;"",CF309=""),IF(CE309&gt;=1,"Medir+Sig Max","No"),IF(CF309&lt;&gt;"",IF(CF309&gt;=1,"Medir+Sig Max","No"),"")))</f>
        <v/>
      </c>
      <c r="CN309" s="1787"/>
      <c r="CO309" s="220">
        <f>IF(CK309="",IF(AND(CE309="",CF309=""),"",IF(CF309="",IF(DE309&gt;1,ROUND(DE309*CE309,3),CE309),IF(DE309&gt;1,ROUND(DE309*CF309,3),CF309))),IF(AND(CE309="",CF309=""),"",IF(CF309="",IF(DE309&gt;1,ROUND(DE309*CE309*(1/(CK309)),3),CE309*(1/(CK309))),IF(DE309&gt;1,ROUND(DE309*CF309*(1/(CK309)),3),CF309*(1/(CK309))))))</f>
        <v/>
      </c>
      <c r="CP309" s="2043">
        <f>$CP$3</f>
        <v/>
      </c>
      <c r="CQ309" s="1472">
        <f>IF(CO309="","",IF(CO309&gt;CP309,"Fail","Pass"))</f>
        <v/>
      </c>
      <c r="CR309" s="1481">
        <f>IF(AND(MAX(CO308:CO315)=CO309,CO309&lt;&gt;0),COUNT($CR$3:CR308)+1,"")</f>
        <v/>
      </c>
      <c r="CS309" s="1565">
        <f>MyTimestamp(CO309)</f>
        <v/>
      </c>
      <c r="CT309" s="1531">
        <f>IF(CE309="",0,15)+IF(CF309="",0,15)</f>
        <v/>
      </c>
      <c r="CU309" s="1532">
        <f>IF(CT309=0,0,2)</f>
        <v/>
      </c>
      <c r="CV309" s="859" t="inlineStr">
        <is>
          <t>S/02</t>
        </is>
      </c>
      <c r="CW309" s="859" t="inlineStr">
        <is>
          <t>Dasy6</t>
        </is>
      </c>
      <c r="CX309" s="2038"/>
      <c r="CY309" s="2044"/>
      <c r="CZ309" s="1543">
        <f>10^(CJ309/20)*100-100</f>
        <v/>
      </c>
      <c r="DA309" s="1325">
        <f>IF('Tune-Up'!$H$21="","",'Tune-Up'!$H$21)</f>
        <v/>
      </c>
      <c r="DB309" s="701">
        <f>'2G-3G'!BZ36</f>
        <v/>
      </c>
      <c r="DC309" s="769">
        <f>IF(DA309="","",10^(DA309/10))</f>
        <v/>
      </c>
      <c r="DD309" s="1369">
        <f>IF(ISNUMBER(DB309)=FALSE,"",10^(DB309/10))</f>
        <v/>
      </c>
      <c r="DE309" s="1543">
        <f>IF(AND(ISNUMBER(DC309),ISNUMBER(DD309)),IF(DC309/DD309&gt;1,ROUND((DC309)/DD309,3),1),1)</f>
        <v/>
      </c>
      <c r="DF309" s="1541"/>
      <c r="DG309" s="1541"/>
      <c r="DH309" s="1541"/>
      <c r="DI309" s="1541"/>
      <c r="DJ309" s="1541"/>
      <c r="DK309" s="1541"/>
      <c r="DL309" s="1541"/>
      <c r="DM309" s="1541"/>
      <c r="DN309" s="1541"/>
      <c r="DO309" s="1541"/>
      <c r="DP309" s="1541"/>
      <c r="DQ309" s="1541"/>
      <c r="DR309" s="1541"/>
    </row>
    <row r="310" ht="12.75" x14ac:dyDescent="0.2">
      <c r="A310" s="1541"/>
      <c r="B310" s="1541"/>
      <c r="C310"/>
      <c r="D310" s="130">
        <f>IF(BX$308="Close to Ear","EN 62209-1","EN 62209-2")</f>
        <v/>
      </c>
      <c r="E310" s="130">
        <f>IF(CG310="Close to Ear","2016","2010/A1:2019")</f>
        <v/>
      </c>
      <c r="F310" s="1488" t="inlineStr">
        <is>
          <t>5.1</t>
        </is>
      </c>
      <c r="G310" s="1497"/>
      <c r="H310" s="120">
        <f>BV310</f>
        <v/>
      </c>
      <c r="I310" s="120">
        <f>BW310</f>
        <v/>
      </c>
      <c r="J310" s="687" t="str">
        <f>BT310</f>
        <v>GSM</v>
      </c>
      <c r="K310" s="194">
        <f>BU310</f>
        <v>1800</v>
      </c>
      <c r="L310" s="115"/>
      <c r="M310" s="120">
        <f>BZ310</f>
        <v>0</v>
      </c>
      <c r="N310" s="119"/>
      <c r="O310" s="131"/>
      <c r="P310" s="6597"/>
      <c r="Q310" s="131"/>
      <c r="R310" s="131"/>
      <c r="S310" s="120">
        <f>CG310</f>
        <v>0</v>
      </c>
      <c r="T310" s="120">
        <f>CC310</f>
        <v>698</v>
      </c>
      <c r="U310" s="120">
        <f>CD310</f>
        <v>1747.4</v>
      </c>
      <c r="V310" s="119"/>
      <c r="W310" s="197">
        <f>CK310*100</f>
        <v/>
      </c>
      <c r="X310" s="119"/>
      <c r="Y310" s="119"/>
      <c r="Z310" s="119"/>
      <c r="AA310" s="115"/>
      <c r="AB310" s="115"/>
      <c r="AC310" s="689">
        <f>IF(OR(BX$308="Close to Ear",BX$308="Close to Head"),"Head",IF(BX$308="Extremity","Extremity","Body"))</f>
        <v/>
      </c>
      <c r="AD310" s="690">
        <f>CA310</f>
        <v/>
      </c>
      <c r="AE310" s="688">
        <f>CB310</f>
        <v/>
      </c>
      <c r="AF310" s="115"/>
      <c r="AG310" s="808">
        <f>IF(AZ310="","N/A",IF(CQ310="Pass","P","F"))</f>
        <v/>
      </c>
      <c r="AH310" s="129"/>
      <c r="AI310" s="129"/>
      <c r="AJ310" s="129"/>
      <c r="AK310" s="119"/>
      <c r="AL310" s="115"/>
      <c r="AM310" s="119"/>
      <c r="AN310" s="119"/>
      <c r="AO310" s="692"/>
      <c r="AP310" s="692"/>
      <c r="AQ310" s="692"/>
      <c r="AR310" s="692"/>
      <c r="AS310" s="692"/>
      <c r="AT310" s="691">
        <f>CE310</f>
        <v/>
      </c>
      <c r="AU310" s="691">
        <f>CF310</f>
        <v/>
      </c>
      <c r="AV310" s="813"/>
      <c r="AW310" s="813"/>
      <c r="AX310" s="197">
        <f>CZ310</f>
        <v/>
      </c>
      <c r="AY310" s="197">
        <f>DE310</f>
        <v/>
      </c>
      <c r="AZ310" s="3379">
        <f>CO310</f>
        <v/>
      </c>
      <c r="BA310" s="3380"/>
      <c r="BB310" s="197">
        <f>CP310</f>
        <v/>
      </c>
      <c r="BC310" s="813"/>
      <c r="BD310" s="197">
        <f>CR310</f>
        <v/>
      </c>
      <c r="BE310" s="121">
        <f>CS310</f>
        <v/>
      </c>
      <c r="BF310" s="122">
        <f>CT310*60</f>
        <v/>
      </c>
      <c r="BG310" s="121">
        <f>BE310</f>
        <v/>
      </c>
      <c r="BH310" s="122">
        <f>CU310*60</f>
        <v/>
      </c>
      <c r="BI310" s="122">
        <f>CV310</f>
        <v/>
      </c>
      <c r="BJ310" s="117"/>
      <c r="BK310" s="812">
        <f>Overview!$E$7</f>
        <v/>
      </c>
      <c r="BL310" s="117"/>
      <c r="BM310" s="836">
        <f>CW310</f>
        <v/>
      </c>
      <c r="BN310" s="812">
        <f>Overview!$P$153</f>
        <v/>
      </c>
      <c r="BO310" s="117"/>
      <c r="BP310" s="117"/>
      <c r="BQ310" s="115"/>
      <c r="BR310" s="1478" t="inlineStr">
        <is>
          <t>N/A</t>
        </is>
      </c>
      <c r="BS310" s="1548"/>
      <c r="BT310" s="2071" t="inlineStr">
        <is>
          <t>GSM</t>
        </is>
      </c>
      <c r="BU310" s="2071">
        <v>1800</v>
      </c>
      <c r="BV310" s="415">
        <f>Overview!$H$31</f>
        <v/>
      </c>
      <c r="BW310" s="2010"/>
      <c r="BX310" s="2071"/>
      <c r="BY310" s="2072"/>
      <c r="BZ310" s="2072"/>
      <c r="CA310" s="1997" t="inlineStr">
        <is>
          <t>Left Edge</t>
        </is>
      </c>
      <c r="CB310" s="200">
        <v>5</v>
      </c>
      <c r="CC310" s="902">
        <f>'2G-3G'!BX36</f>
        <v>698</v>
      </c>
      <c r="CD310" s="902">
        <f>'2G-3G'!BY36</f>
        <v>1747.4</v>
      </c>
      <c r="CE310" s="1523"/>
      <c r="CF310" s="1523"/>
      <c r="CG310" s="387" t="str">
        <f>IF(OR($BY$167="",$BY$167=""),"",$BY$167)</f>
        <v/>
      </c>
      <c r="CH310" s="387">
        <f>BZ310</f>
        <v/>
      </c>
      <c r="CI310" s="387">
        <f>CA310</f>
        <v/>
      </c>
      <c r="CJ310" s="1527"/>
      <c r="CK310" s="2042"/>
      <c r="CL310" s="206">
        <f>IF(CF310=""," ",IF(ABS(CE310-CF310)&lt;=0.125,"Valid","Not valid"))</f>
        <v/>
      </c>
      <c r="CM310" s="207">
        <f> IF(CE310="","",IF(AND(CE310&lt;&gt;"",CF310=""),IF(CE310&gt;=1,"Medir+Sig Max","No"),IF(CF310&lt;&gt;"",IF(CF310&gt;=1,"Medir+Sig Max","No"),"")))</f>
        <v/>
      </c>
      <c r="CN310" s="1787"/>
      <c r="CO310" s="220">
        <f>IF(CK310="",IF(AND(CE310="",CF310=""),"",IF(CF310="",IF(DE310&gt;1,ROUND(DE310*CE310,3),CE310),IF(DE310&gt;1,ROUND(DE310*CF310,3),CF310))),IF(AND(CE310="",CF310=""),"",IF(CF310="",IF(DE310&gt;1,ROUND(DE310*CE310*(1/(CK310)),3),CE310*(1/(CK310))),IF(DE310&gt;1,ROUND(DE310*CF310*(1/(CK310)),3),CF310*(1/(CK310))))))</f>
        <v/>
      </c>
      <c r="CP310" s="2043">
        <f>$CP$3</f>
        <v/>
      </c>
      <c r="CQ310" s="1472">
        <f>IF(CO310="","",IF(CO310&gt;CP310,"Fail","Pass"))</f>
        <v/>
      </c>
      <c r="CR310" s="1481">
        <f>IF(AND(MAX(CO308:CO315)=CO310,CO310&lt;&gt;0),COUNT($CR$3:CR309)+1,"")</f>
        <v/>
      </c>
      <c r="CS310" s="1565">
        <f>MyTimestamp(CO310)</f>
        <v/>
      </c>
      <c r="CT310" s="1531">
        <f>IF(CE310="",0,15)+IF(CF310="",0,15)</f>
        <v/>
      </c>
      <c r="CU310" s="1532">
        <f>IF(CT310=0,0,2)</f>
        <v/>
      </c>
      <c r="CV310" s="859" t="inlineStr">
        <is>
          <t>S/02</t>
        </is>
      </c>
      <c r="CW310" s="859" t="inlineStr">
        <is>
          <t>Dasy6</t>
        </is>
      </c>
      <c r="CX310" s="2038"/>
      <c r="CY310" s="2044"/>
      <c r="CZ310" s="1543">
        <f>10^(CJ310/20)*100-100</f>
        <v/>
      </c>
      <c r="DA310" s="1325">
        <f>IF('Tune-Up'!$H$21="","",'Tune-Up'!$H$21)</f>
        <v/>
      </c>
      <c r="DB310" s="701">
        <f>'2G-3G'!BZ36</f>
        <v/>
      </c>
      <c r="DC310" s="769">
        <f>IF(DA310="","",10^(DA310/10))</f>
        <v/>
      </c>
      <c r="DD310" s="1369">
        <f>IF(ISNUMBER(DB310)=FALSE,"",10^(DB310/10))</f>
        <v/>
      </c>
      <c r="DE310" s="1543">
        <f>IF(AND(ISNUMBER(DC310),ISNUMBER(DD310)),IF(DC310/DD310&gt;1,ROUND((DC310)/DD310,3),1),1)</f>
        <v/>
      </c>
      <c r="DF310" s="1541"/>
      <c r="DG310" s="1541"/>
      <c r="DH310" s="1541"/>
      <c r="DI310" s="1541"/>
      <c r="DJ310" s="1541"/>
      <c r="DK310" s="1541"/>
      <c r="DL310" s="1541"/>
      <c r="DM310" s="1541"/>
      <c r="DN310" s="1541"/>
      <c r="DO310" s="1541"/>
      <c r="DP310" s="1541"/>
      <c r="DQ310" s="1541"/>
      <c r="DR310" s="1541"/>
    </row>
    <row r="311" ht="12.75" x14ac:dyDescent="0.2">
      <c r="A311" s="1541"/>
      <c r="B311" s="1541"/>
      <c r="C311"/>
      <c r="D311" s="130">
        <f>IF(BX$308="Close to Ear","EN 62209-1","EN 62209-2")</f>
        <v/>
      </c>
      <c r="E311" s="130">
        <f>IF(CG311="Close to Ear","2016","2010/A1:2019")</f>
        <v/>
      </c>
      <c r="F311" s="1488" t="inlineStr">
        <is>
          <t>5.1</t>
        </is>
      </c>
      <c r="G311" s="1497"/>
      <c r="H311" s="120">
        <f>BV311</f>
        <v/>
      </c>
      <c r="I311" s="120">
        <f>BW311</f>
        <v/>
      </c>
      <c r="J311" s="687" t="str">
        <f>BT311</f>
        <v>GSM</v>
      </c>
      <c r="K311" s="194">
        <f>BU311</f>
        <v>1800</v>
      </c>
      <c r="L311" s="115"/>
      <c r="M311" s="120">
        <f>BZ311</f>
        <v>0</v>
      </c>
      <c r="N311" s="119"/>
      <c r="O311" s="131"/>
      <c r="P311" s="6597"/>
      <c r="Q311" s="131"/>
      <c r="R311" s="131"/>
      <c r="S311" s="120">
        <f>CG311</f>
        <v>0</v>
      </c>
      <c r="T311" s="120">
        <f>CC311</f>
        <v>698</v>
      </c>
      <c r="U311" s="120">
        <f>CD311</f>
        <v>1747.4</v>
      </c>
      <c r="V311" s="119"/>
      <c r="W311" s="197">
        <f>CK311*100</f>
        <v/>
      </c>
      <c r="X311" s="119"/>
      <c r="Y311" s="119"/>
      <c r="Z311" s="119"/>
      <c r="AA311" s="115"/>
      <c r="AB311" s="115"/>
      <c r="AC311" s="689">
        <f>IF(OR(BX$308="Close to Ear",BX$308="Close to Head"),"Head",IF(BX$308="Extremity","Extremity","Body"))</f>
        <v/>
      </c>
      <c r="AD311" s="690">
        <f>CA311</f>
        <v/>
      </c>
      <c r="AE311" s="688">
        <f>CB311</f>
        <v/>
      </c>
      <c r="AF311" s="115"/>
      <c r="AG311" s="808">
        <f>IF(AZ311="","N/A",IF(CQ311="Pass","P","F"))</f>
        <v/>
      </c>
      <c r="AH311" s="129"/>
      <c r="AI311" s="129"/>
      <c r="AJ311" s="129"/>
      <c r="AK311" s="119"/>
      <c r="AL311" s="115"/>
      <c r="AM311" s="119"/>
      <c r="AN311" s="119"/>
      <c r="AO311" s="692"/>
      <c r="AP311" s="692"/>
      <c r="AQ311" s="692"/>
      <c r="AR311" s="692"/>
      <c r="AS311" s="692"/>
      <c r="AT311" s="691">
        <f>CE311</f>
        <v/>
      </c>
      <c r="AU311" s="691">
        <f>CF311</f>
        <v/>
      </c>
      <c r="AV311" s="813"/>
      <c r="AW311" s="813"/>
      <c r="AX311" s="197">
        <f>CZ311</f>
        <v/>
      </c>
      <c r="AY311" s="197">
        <f>DE311</f>
        <v/>
      </c>
      <c r="AZ311" s="3379">
        <f>CO311</f>
        <v/>
      </c>
      <c r="BA311" s="3380"/>
      <c r="BB311" s="197">
        <f>CP311</f>
        <v/>
      </c>
      <c r="BC311" s="813"/>
      <c r="BD311" s="197">
        <f>CR311</f>
        <v/>
      </c>
      <c r="BE311" s="121">
        <f>CS311</f>
        <v/>
      </c>
      <c r="BF311" s="122">
        <f>CT311*60</f>
        <v/>
      </c>
      <c r="BG311" s="121">
        <f>BE311</f>
        <v/>
      </c>
      <c r="BH311" s="122">
        <f>CU311*60</f>
        <v/>
      </c>
      <c r="BI311" s="122">
        <f>CV311</f>
        <v/>
      </c>
      <c r="BJ311" s="117"/>
      <c r="BK311" s="812">
        <f>Overview!$E$7</f>
        <v/>
      </c>
      <c r="BL311" s="117"/>
      <c r="BM311" s="836">
        <f>CW311</f>
        <v/>
      </c>
      <c r="BN311" s="812">
        <f>Overview!$P$153</f>
        <v/>
      </c>
      <c r="BO311" s="117"/>
      <c r="BP311" s="117"/>
      <c r="BQ311" s="115"/>
      <c r="BR311" s="1478" t="inlineStr">
        <is>
          <t>N/A</t>
        </is>
      </c>
      <c r="BS311" s="1548"/>
      <c r="BT311" s="1891" t="inlineStr">
        <is>
          <t>GSM</t>
        </is>
      </c>
      <c r="BU311" s="1891">
        <v>1800</v>
      </c>
      <c r="BV311" s="417">
        <f>Overview!$H$31</f>
        <v/>
      </c>
      <c r="BW311" s="2010"/>
      <c r="BX311" s="1891"/>
      <c r="BY311" s="2072"/>
      <c r="BZ311" s="2072"/>
      <c r="CA311" s="1997" t="inlineStr">
        <is>
          <t>Right Edge</t>
        </is>
      </c>
      <c r="CB311" s="200">
        <v>5</v>
      </c>
      <c r="CC311" s="902">
        <f>'2G-3G'!BX36</f>
        <v>698</v>
      </c>
      <c r="CD311" s="902">
        <f>'2G-3G'!BY36</f>
        <v>1747.4</v>
      </c>
      <c r="CE311" s="1523"/>
      <c r="CF311" s="1523"/>
      <c r="CG311" s="387" t="str">
        <f>IF(OR($BY$167="",$BY$167=""),"",$BY$167)</f>
        <v/>
      </c>
      <c r="CH311" s="387">
        <f>BZ311</f>
        <v/>
      </c>
      <c r="CI311" s="387">
        <f>CA311</f>
        <v/>
      </c>
      <c r="CJ311" s="1527"/>
      <c r="CK311" s="2042"/>
      <c r="CL311" s="206">
        <f>IF(CF311=""," ",IF(ABS(CE311-CF311)&lt;=0.125,"Valid","Not valid"))</f>
        <v/>
      </c>
      <c r="CM311" s="207">
        <f> IF(CE311="","",IF(AND(CE311&lt;&gt;"",CF311=""),IF(CE311&gt;=1,"Medir+Sig Max","No"),IF(CF311&lt;&gt;"",IF(CF311&gt;=1,"Medir+Sig Max","No"),"")))</f>
        <v/>
      </c>
      <c r="CN311" s="1787"/>
      <c r="CO311" s="220">
        <f>IF(CK311="",IF(AND(CE311="",CF311=""),"",IF(CF311="",IF(DE311&gt;1,ROUND(DE311*CE311,3),CE311),IF(DE311&gt;1,ROUND(DE311*CF311,3),CF311))),IF(AND(CE311="",CF311=""),"",IF(CF311="",IF(DE311&gt;1,ROUND(DE311*CE311*(1/(CK311)),3),CE311*(1/(CK311))),IF(DE311&gt;1,ROUND(DE311*CF311*(1/(CK311)),3),CF311*(1/(CK311))))))</f>
        <v/>
      </c>
      <c r="CP311" s="2043">
        <f>$CP$3</f>
        <v/>
      </c>
      <c r="CQ311" s="1472">
        <f>IF(CO311="","",IF(CO311&gt;CP311,"Fail","Pass"))</f>
        <v/>
      </c>
      <c r="CR311" s="1481">
        <f>IF(AND(MAX(CO308:CO315)=CO311,CO311&lt;&gt;0),COUNT($CR$3:CR310)+1,"")</f>
        <v/>
      </c>
      <c r="CS311" s="1565">
        <f>MyTimestamp(CO311)</f>
        <v/>
      </c>
      <c r="CT311" s="1531">
        <f>IF(CE311="",0,15)+IF(CF311="",0,15)</f>
        <v/>
      </c>
      <c r="CU311" s="1532">
        <f>IF(CT311=0,0,2)</f>
        <v/>
      </c>
      <c r="CV311" s="859" t="inlineStr">
        <is>
          <t>S/02</t>
        </is>
      </c>
      <c r="CW311" s="859" t="inlineStr">
        <is>
          <t>Dasy6</t>
        </is>
      </c>
      <c r="CX311" s="2038"/>
      <c r="CY311" s="2044"/>
      <c r="CZ311" s="1543">
        <f>10^(CJ311/20)*100-100</f>
        <v/>
      </c>
      <c r="DA311" s="1325">
        <f>IF('Tune-Up'!$H$21="","",'Tune-Up'!$H$21)</f>
        <v/>
      </c>
      <c r="DB311" s="701">
        <f>'2G-3G'!BZ36</f>
        <v/>
      </c>
      <c r="DC311" s="769">
        <f>IF(DA311="","",10^(DA311/10))</f>
        <v/>
      </c>
      <c r="DD311" s="1369">
        <f>IF(ISNUMBER(DB311)=FALSE,"",10^(DB311/10))</f>
        <v/>
      </c>
      <c r="DE311" s="1543">
        <f>IF(AND(ISNUMBER(DC311),ISNUMBER(DD311)),IF(DC311/DD311&gt;1,ROUND((DC311)/DD311,3),1),1)</f>
        <v/>
      </c>
      <c r="DF311" s="1541"/>
      <c r="DG311" s="1541"/>
      <c r="DH311" s="1541"/>
      <c r="DI311" s="1541"/>
      <c r="DJ311" s="1541"/>
      <c r="DK311" s="1541"/>
      <c r="DL311" s="1541"/>
      <c r="DM311" s="1541"/>
      <c r="DN311" s="1541"/>
      <c r="DO311" s="1541"/>
      <c r="DP311" s="1541"/>
      <c r="DQ311" s="1541"/>
      <c r="DR311" s="1541"/>
    </row>
    <row r="312" ht="12.75" x14ac:dyDescent="0.2">
      <c r="A312" s="1541"/>
      <c r="B312" s="1541"/>
      <c r="C312"/>
      <c r="D312" s="130">
        <f>IF(BX$308="Close to Ear","EN 62209-1","EN 62209-2")</f>
        <v/>
      </c>
      <c r="E312" s="130">
        <f>IF(CG312="Close to Ear","2016","2010/A1:2019")</f>
        <v/>
      </c>
      <c r="F312" s="1488" t="inlineStr">
        <is>
          <t>5.1</t>
        </is>
      </c>
      <c r="G312" s="1497"/>
      <c r="H312" s="120">
        <f>BV312</f>
        <v/>
      </c>
      <c r="I312" s="120">
        <f>BW312</f>
        <v/>
      </c>
      <c r="J312" s="687" t="str">
        <f>BT312</f>
        <v>GSM</v>
      </c>
      <c r="K312" s="194">
        <f>BU312</f>
        <v>1800</v>
      </c>
      <c r="L312" s="115"/>
      <c r="M312" s="120">
        <f>BZ312</f>
        <v>0</v>
      </c>
      <c r="N312" s="119"/>
      <c r="O312" s="131"/>
      <c r="P312" s="6597"/>
      <c r="Q312" s="131"/>
      <c r="R312" s="131"/>
      <c r="S312" s="120">
        <f>CG312</f>
        <v>0</v>
      </c>
      <c r="T312" s="120">
        <f>CC312</f>
        <v>698</v>
      </c>
      <c r="U312" s="120">
        <f>CD312</f>
        <v>1747.4</v>
      </c>
      <c r="V312" s="119"/>
      <c r="W312" s="197">
        <f>CK312*100</f>
        <v/>
      </c>
      <c r="X312" s="119"/>
      <c r="Y312" s="119"/>
      <c r="Z312" s="119"/>
      <c r="AA312" s="115"/>
      <c r="AB312" s="115"/>
      <c r="AC312" s="689">
        <f>IF(OR(BX$308="Close to Ear",BX$308="Close to Head"),"Head",IF(BX$308="Extremity","Extremity","Body"))</f>
        <v/>
      </c>
      <c r="AD312" s="690">
        <f>CA312</f>
        <v/>
      </c>
      <c r="AE312" s="688">
        <f>CB312</f>
        <v/>
      </c>
      <c r="AF312" s="115"/>
      <c r="AG312" s="808">
        <f>IF(AZ312="","N/A",IF(CQ312="Pass","P","F"))</f>
        <v/>
      </c>
      <c r="AH312" s="129"/>
      <c r="AI312" s="129"/>
      <c r="AJ312" s="129"/>
      <c r="AK312" s="119"/>
      <c r="AL312" s="115"/>
      <c r="AM312" s="119"/>
      <c r="AN312" s="119"/>
      <c r="AO312" s="692"/>
      <c r="AP312" s="692"/>
      <c r="AQ312" s="692"/>
      <c r="AR312" s="692"/>
      <c r="AS312" s="692"/>
      <c r="AT312" s="691">
        <f>CE312</f>
        <v/>
      </c>
      <c r="AU312" s="691">
        <f>CF312</f>
        <v/>
      </c>
      <c r="AV312" s="813"/>
      <c r="AW312" s="813"/>
      <c r="AX312" s="197">
        <f>CZ312</f>
        <v/>
      </c>
      <c r="AY312" s="197">
        <f>DE312</f>
        <v/>
      </c>
      <c r="AZ312" s="3379">
        <f>CO312</f>
        <v/>
      </c>
      <c r="BA312" s="3380"/>
      <c r="BB312" s="197">
        <f>CP312</f>
        <v/>
      </c>
      <c r="BC312" s="813"/>
      <c r="BD312" s="197">
        <f>CR312</f>
        <v/>
      </c>
      <c r="BE312" s="121">
        <f>CS312</f>
        <v/>
      </c>
      <c r="BF312" s="122">
        <f>CT312*60</f>
        <v/>
      </c>
      <c r="BG312" s="121">
        <f>BE312</f>
        <v/>
      </c>
      <c r="BH312" s="122">
        <f>CU312*60</f>
        <v/>
      </c>
      <c r="BI312" s="122">
        <f>CV312</f>
        <v/>
      </c>
      <c r="BJ312" s="117"/>
      <c r="BK312" s="812">
        <f>Overview!$E$7</f>
        <v/>
      </c>
      <c r="BL312" s="117"/>
      <c r="BM312" s="836">
        <f>CW312</f>
        <v/>
      </c>
      <c r="BN312" s="812">
        <f>Overview!$P$153</f>
        <v/>
      </c>
      <c r="BO312" s="117"/>
      <c r="BP312" s="117"/>
      <c r="BQ312" s="115"/>
      <c r="BR312" s="1478" t="inlineStr">
        <is>
          <t>N/A</t>
        </is>
      </c>
      <c r="BS312" s="1548"/>
      <c r="BT312" s="2071" t="inlineStr">
        <is>
          <t>GSM</t>
        </is>
      </c>
      <c r="BU312" s="2071">
        <v>1800</v>
      </c>
      <c r="BV312" s="415">
        <f>Overview!$H$31</f>
        <v/>
      </c>
      <c r="BW312" s="2010"/>
      <c r="BX312" s="2071"/>
      <c r="BY312" s="2072"/>
      <c r="BZ312" s="2072"/>
      <c r="CA312" s="1997" t="inlineStr">
        <is>
          <t>Top Edge</t>
        </is>
      </c>
      <c r="CB312" s="200">
        <v>5</v>
      </c>
      <c r="CC312" s="902">
        <f>'2G-3G'!BX36</f>
        <v>698</v>
      </c>
      <c r="CD312" s="902">
        <f>'2G-3G'!BY36</f>
        <v>1747.4</v>
      </c>
      <c r="CE312" s="1523"/>
      <c r="CF312" s="1523"/>
      <c r="CG312" s="387" t="str">
        <f>IF(OR($BY$167="",$BY$167=""),"",$BY$167)</f>
        <v/>
      </c>
      <c r="CH312" s="387">
        <f>BZ312</f>
        <v/>
      </c>
      <c r="CI312" s="387">
        <f>CA312</f>
        <v/>
      </c>
      <c r="CJ312" s="1527"/>
      <c r="CK312" s="2042"/>
      <c r="CL312" s="206">
        <f>IF(CF312=""," ",IF(ABS(CE312-CF312)&lt;=0.125,"Valid","Not valid"))</f>
        <v/>
      </c>
      <c r="CM312" s="207">
        <f> IF(CE312="","",IF(AND(CE312&lt;&gt;"",CF312=""),IF(CE312&gt;=1,"Medir+Sig Max","No"),IF(CF312&lt;&gt;"",IF(CF312&gt;=1,"Medir+Sig Max","No"),"")))</f>
        <v/>
      </c>
      <c r="CN312" s="1787"/>
      <c r="CO312" s="220">
        <f>IF(CK312="",IF(AND(CE312="",CF312=""),"",IF(CF312="",IF(DE312&gt;1,ROUND(DE312*CE312,3),CE312),IF(DE312&gt;1,ROUND(DE312*CF312,3),CF312))),IF(AND(CE312="",CF312=""),"",IF(CF312="",IF(DE312&gt;1,ROUND(DE312*CE312*(1/(CK312)),3),CE312*(1/(CK312))),IF(DE312&gt;1,ROUND(DE312*CF312*(1/(CK312)),3),CF312*(1/(CK312))))))</f>
        <v/>
      </c>
      <c r="CP312" s="2043">
        <f>$CP$3</f>
        <v/>
      </c>
      <c r="CQ312" s="1472">
        <f>IF(CO312="","",IF(CO312&gt;CP312,"Fail","Pass"))</f>
        <v/>
      </c>
      <c r="CR312" s="1481">
        <f>IF(AND(MAX(CO308:CO315)=CO312,CO312&lt;&gt;0),COUNT($CR$3:CR311)+1,"")</f>
        <v/>
      </c>
      <c r="CS312" s="1565">
        <f>MyTimestamp(CO312)</f>
        <v/>
      </c>
      <c r="CT312" s="1531">
        <f>IF(CE312="",0,15)+IF(CF312="",0,15)</f>
        <v/>
      </c>
      <c r="CU312" s="1532">
        <f>IF(CT312=0,0,2)</f>
        <v/>
      </c>
      <c r="CV312" s="859" t="inlineStr">
        <is>
          <t>S/02</t>
        </is>
      </c>
      <c r="CW312" s="859" t="inlineStr">
        <is>
          <t>Dasy6</t>
        </is>
      </c>
      <c r="CX312" s="2038"/>
      <c r="CY312" s="2044"/>
      <c r="CZ312" s="1543">
        <f>10^(CJ312/20)*100-100</f>
        <v/>
      </c>
      <c r="DA312" s="1325">
        <f>IF('Tune-Up'!$H$21="","",'Tune-Up'!$H$21)</f>
        <v/>
      </c>
      <c r="DB312" s="701">
        <f>'2G-3G'!BZ36</f>
        <v/>
      </c>
      <c r="DC312" s="769">
        <f>IF(DA312="","",10^(DA312/10))</f>
        <v/>
      </c>
      <c r="DD312" s="1369">
        <f>IF(ISNUMBER(DB312)=FALSE,"",10^(DB312/10))</f>
        <v/>
      </c>
      <c r="DE312" s="1543">
        <f>IF(AND(ISNUMBER(DC312),ISNUMBER(DD312)),IF(DC312/DD312&gt;1,ROUND((DC312)/DD312,3),1),1)</f>
        <v/>
      </c>
      <c r="DF312" s="1541"/>
      <c r="DG312" s="1541"/>
      <c r="DH312" s="1541"/>
      <c r="DI312" s="1541"/>
      <c r="DJ312" s="1541"/>
      <c r="DK312" s="1541"/>
      <c r="DL312" s="1541"/>
      <c r="DM312" s="1541"/>
      <c r="DN312" s="1541"/>
      <c r="DO312" s="1541"/>
      <c r="DP312" s="1541"/>
      <c r="DQ312" s="1541"/>
      <c r="DR312" s="1541"/>
    </row>
    <row r="313" ht="12.75" x14ac:dyDescent="0.2">
      <c r="A313" s="1541"/>
      <c r="B313" s="1541"/>
      <c r="C313"/>
      <c r="D313" s="130">
        <f>IF(BX$308="Close to Ear","EN 62209-1","EN 62209-2")</f>
        <v/>
      </c>
      <c r="E313" s="130">
        <f>IF(CG313="Close to Ear","2016","2010/A1:2019")</f>
        <v/>
      </c>
      <c r="F313" s="1488" t="inlineStr">
        <is>
          <t>5.1</t>
        </is>
      </c>
      <c r="G313" s="1497"/>
      <c r="H313" s="120">
        <f>BV313</f>
        <v/>
      </c>
      <c r="I313" s="120">
        <f>BW313</f>
        <v/>
      </c>
      <c r="J313" s="687" t="str">
        <f>BT313</f>
        <v>GSM</v>
      </c>
      <c r="K313" s="194">
        <f>BU313</f>
        <v>1800</v>
      </c>
      <c r="L313" s="115"/>
      <c r="M313" s="120">
        <f>BZ313</f>
        <v>0</v>
      </c>
      <c r="N313" s="119"/>
      <c r="O313" s="131"/>
      <c r="P313" s="6597"/>
      <c r="Q313" s="131"/>
      <c r="R313" s="131"/>
      <c r="S313" s="120">
        <f>CG313</f>
        <v>0</v>
      </c>
      <c r="T313" s="120">
        <f>CC313</f>
        <v>698</v>
      </c>
      <c r="U313" s="120">
        <f>CD313</f>
        <v>1747.4</v>
      </c>
      <c r="V313" s="119"/>
      <c r="W313" s="197">
        <f>CK313*100</f>
        <v/>
      </c>
      <c r="X313" s="119"/>
      <c r="Y313" s="119"/>
      <c r="Z313" s="119"/>
      <c r="AA313" s="115"/>
      <c r="AB313" s="115"/>
      <c r="AC313" s="689">
        <f>IF(OR(BX$308="Close to Ear",BX$308="Close to Head"),"Head",IF(BX$308="Extremity","Extremity","Body"))</f>
        <v/>
      </c>
      <c r="AD313" s="690">
        <f>CA313</f>
        <v/>
      </c>
      <c r="AE313" s="688">
        <f>CB313</f>
        <v/>
      </c>
      <c r="AF313" s="115"/>
      <c r="AG313" s="808">
        <f>IF(AZ313="","N/A",IF(CQ313="Pass","P","F"))</f>
        <v/>
      </c>
      <c r="AH313" s="129"/>
      <c r="AI313" s="129"/>
      <c r="AJ313" s="129"/>
      <c r="AK313" s="119"/>
      <c r="AL313" s="115"/>
      <c r="AM313" s="119"/>
      <c r="AN313" s="119"/>
      <c r="AO313" s="692"/>
      <c r="AP313" s="692"/>
      <c r="AQ313" s="692"/>
      <c r="AR313" s="692"/>
      <c r="AS313" s="692"/>
      <c r="AT313" s="691">
        <f>CE313</f>
        <v/>
      </c>
      <c r="AU313" s="691">
        <f>CF313</f>
        <v/>
      </c>
      <c r="AV313" s="813"/>
      <c r="AW313" s="813"/>
      <c r="AX313" s="197">
        <f>CZ313</f>
        <v/>
      </c>
      <c r="AY313" s="197">
        <f>DE313</f>
        <v/>
      </c>
      <c r="AZ313" s="3379">
        <f>CO313</f>
        <v/>
      </c>
      <c r="BA313" s="3380"/>
      <c r="BB313" s="197">
        <f>CP313</f>
        <v/>
      </c>
      <c r="BC313" s="813"/>
      <c r="BD313" s="197">
        <f>CR313</f>
        <v/>
      </c>
      <c r="BE313" s="121">
        <f>CS313</f>
        <v/>
      </c>
      <c r="BF313" s="122">
        <f>CT313*60</f>
        <v/>
      </c>
      <c r="BG313" s="121">
        <f>BE313</f>
        <v/>
      </c>
      <c r="BH313" s="122">
        <f>CU313*60</f>
        <v/>
      </c>
      <c r="BI313" s="122">
        <f>CV313</f>
        <v/>
      </c>
      <c r="BJ313" s="117"/>
      <c r="BK313" s="812">
        <f>Overview!$E$7</f>
        <v/>
      </c>
      <c r="BL313" s="117"/>
      <c r="BM313" s="836">
        <f>CW313</f>
        <v/>
      </c>
      <c r="BN313" s="812">
        <f>Overview!$P$153</f>
        <v/>
      </c>
      <c r="BO313" s="117"/>
      <c r="BP313" s="117"/>
      <c r="BQ313" s="115"/>
      <c r="BR313" s="1478" t="inlineStr">
        <is>
          <t>N/A</t>
        </is>
      </c>
      <c r="BS313" s="1548"/>
      <c r="BT313" s="2071" t="inlineStr">
        <is>
          <t>GSM</t>
        </is>
      </c>
      <c r="BU313" s="2071">
        <v>1800</v>
      </c>
      <c r="BV313" s="415">
        <f>Overview!$H$31</f>
        <v/>
      </c>
      <c r="BW313" s="2010"/>
      <c r="BX313" s="2071"/>
      <c r="BY313" s="2072"/>
      <c r="BZ313" s="2072"/>
      <c r="CA313" s="1997" t="inlineStr">
        <is>
          <t>Bottom Edge</t>
        </is>
      </c>
      <c r="CB313" s="200">
        <v>5</v>
      </c>
      <c r="CC313" s="902">
        <f>'2G-3G'!BX36</f>
        <v>698</v>
      </c>
      <c r="CD313" s="902">
        <f>'2G-3G'!BY36</f>
        <v>1747.4</v>
      </c>
      <c r="CE313" s="1523"/>
      <c r="CF313" s="1523"/>
      <c r="CG313" s="387" t="str">
        <f>IF(OR($BY$167="",$BY$167=""),"",$BY$167)</f>
        <v/>
      </c>
      <c r="CH313" s="387">
        <f>BZ313</f>
        <v/>
      </c>
      <c r="CI313" s="387">
        <f>CA313</f>
        <v/>
      </c>
      <c r="CJ313" s="1527"/>
      <c r="CK313" s="2042"/>
      <c r="CL313" s="206">
        <f>IF(CF313=""," ",IF(ABS(CE313-CF313)&lt;=0.125,"Valid","Not valid"))</f>
        <v/>
      </c>
      <c r="CM313" s="207">
        <f> IF(CE313="","",IF(AND(CE313&lt;&gt;"",CF313=""),IF(CE313&gt;=1,"Medir+Sig Max","No"),IF(CF313&lt;&gt;"",IF(CF313&gt;=1,"Medir+Sig Max","No"),"")))</f>
        <v/>
      </c>
      <c r="CN313" s="1787"/>
      <c r="CO313" s="220">
        <f>IF(CK313="",IF(AND(CE313="",CF313=""),"",IF(CF313="",IF(DE313&gt;1,ROUND(DE313*CE313,3),CE313),IF(DE313&gt;1,ROUND(DE313*CF313,3),CF313))),IF(AND(CE313="",CF313=""),"",IF(CF313="",IF(DE313&gt;1,ROUND(DE313*CE313*(1/(CK313)),3),CE313*(1/(CK313))),IF(DE313&gt;1,ROUND(DE313*CF313*(1/(CK313)),3),CF313*(1/(CK313))))))</f>
        <v/>
      </c>
      <c r="CP313" s="2043">
        <f>$CP$3</f>
        <v/>
      </c>
      <c r="CQ313" s="1472">
        <f>IF(CO313="","",IF(CO313&gt;CP313,"Fail","Pass"))</f>
        <v/>
      </c>
      <c r="CR313" s="1481">
        <f>IF(AND(MAX(CO308:CO315)=CO313,CO313&lt;&gt;0),COUNT($CR$3:CR312)+1,"")</f>
        <v/>
      </c>
      <c r="CS313" s="1565">
        <f>MyTimestamp(CO313)</f>
        <v/>
      </c>
      <c r="CT313" s="1531">
        <f>IF(CE313="",0,15)+IF(CF313="",0,15)</f>
        <v/>
      </c>
      <c r="CU313" s="1532">
        <f>IF(CT313=0,0,2)</f>
        <v/>
      </c>
      <c r="CV313" s="859" t="inlineStr">
        <is>
          <t>S/02</t>
        </is>
      </c>
      <c r="CW313" s="859" t="inlineStr">
        <is>
          <t>Dasy6</t>
        </is>
      </c>
      <c r="CX313" s="2038"/>
      <c r="CY313" s="2044"/>
      <c r="CZ313" s="1543">
        <f>10^(CJ313/20)*100-100</f>
        <v/>
      </c>
      <c r="DA313" s="1325">
        <f>IF('Tune-Up'!$H$21="","",'Tune-Up'!$H$21)</f>
        <v/>
      </c>
      <c r="DB313" s="701">
        <f>'2G-3G'!BZ36</f>
        <v/>
      </c>
      <c r="DC313" s="769">
        <f>IF(DA313="","",10^(DA313/10))</f>
        <v/>
      </c>
      <c r="DD313" s="1369">
        <f>IF(ISNUMBER(DB313)=FALSE,"",10^(DB313/10))</f>
        <v/>
      </c>
      <c r="DE313" s="1543">
        <f>IF(AND(ISNUMBER(DC313),ISNUMBER(DD313)),IF(DC313/DD313&gt;1,ROUND((DC313)/DD313,3),1),1)</f>
        <v/>
      </c>
      <c r="DF313" s="1541"/>
      <c r="DG313" s="1541"/>
      <c r="DH313" s="1541"/>
      <c r="DI313" s="1541"/>
      <c r="DJ313" s="1541"/>
      <c r="DK313" s="1541"/>
      <c r="DL313" s="1541"/>
      <c r="DM313" s="1541"/>
      <c r="DN313" s="1541"/>
      <c r="DO313" s="1541"/>
      <c r="DP313" s="1541"/>
      <c r="DQ313" s="1541"/>
      <c r="DR313" s="1541"/>
    </row>
    <row r="314" ht="12.75" x14ac:dyDescent="0.2">
      <c r="A314" s="1541"/>
      <c r="B314" s="1541"/>
      <c r="C314"/>
      <c r="D314" s="130">
        <f>IF(BX$308="Close to Ear","EN 62209-1","EN 62209-2")</f>
        <v/>
      </c>
      <c r="E314" s="130">
        <f>IF(CG314="Close to Ear","2016","2010/A1:2019")</f>
        <v/>
      </c>
      <c r="F314" s="1488" t="inlineStr">
        <is>
          <t>5.1</t>
        </is>
      </c>
      <c r="G314" s="1497"/>
      <c r="H314" s="120">
        <f>BV314</f>
        <v/>
      </c>
      <c r="I314" s="120">
        <f>BW314</f>
        <v/>
      </c>
      <c r="J314" s="687" t="str">
        <f>BT314</f>
        <v>GSM</v>
      </c>
      <c r="K314" s="194">
        <f>BU314</f>
        <v>1800</v>
      </c>
      <c r="L314" s="115"/>
      <c r="M314" s="120">
        <f>BZ314</f>
        <v>0</v>
      </c>
      <c r="N314" s="119"/>
      <c r="O314" s="131"/>
      <c r="P314" s="6597"/>
      <c r="Q314" s="131"/>
      <c r="R314" s="131"/>
      <c r="S314" s="120">
        <f>CG314</f>
        <v>0</v>
      </c>
      <c r="T314" s="120">
        <f>CC314</f>
        <v>512</v>
      </c>
      <c r="U314" s="120">
        <f>CD314</f>
        <v>1710.2</v>
      </c>
      <c r="V314" s="119"/>
      <c r="W314" s="197">
        <f>CK314*100</f>
        <v/>
      </c>
      <c r="X314" s="119"/>
      <c r="Y314" s="119"/>
      <c r="Z314" s="119"/>
      <c r="AA314" s="115"/>
      <c r="AB314" s="115"/>
      <c r="AC314" s="689">
        <f>IF(OR(BX$308="Close to Ear",BX$308="Close to Head"),"Head",IF(BX$308="Extremity","Extremity","Body"))</f>
        <v/>
      </c>
      <c r="AD314" s="690">
        <f>CA314</f>
        <v/>
      </c>
      <c r="AE314" s="688">
        <f>CB314</f>
        <v/>
      </c>
      <c r="AF314" s="115"/>
      <c r="AG314" s="808">
        <f>IF(AZ314="","N/A",IF(CQ314="Pass","P","F"))</f>
        <v/>
      </c>
      <c r="AH314" s="129"/>
      <c r="AI314" s="129"/>
      <c r="AJ314" s="129"/>
      <c r="AK314" s="119"/>
      <c r="AL314" s="115"/>
      <c r="AM314" s="119"/>
      <c r="AN314" s="119"/>
      <c r="AO314" s="692"/>
      <c r="AP314" s="692"/>
      <c r="AQ314" s="692"/>
      <c r="AR314" s="692"/>
      <c r="AS314" s="692"/>
      <c r="AT314" s="691">
        <f>CE314</f>
        <v/>
      </c>
      <c r="AU314" s="691">
        <f>CF314</f>
        <v/>
      </c>
      <c r="AV314" s="813"/>
      <c r="AW314" s="813"/>
      <c r="AX314" s="197">
        <f>CZ314</f>
        <v/>
      </c>
      <c r="AY314" s="197">
        <f>DE314</f>
        <v/>
      </c>
      <c r="AZ314" s="3379">
        <f>CO314</f>
        <v/>
      </c>
      <c r="BA314" s="3380"/>
      <c r="BB314" s="197">
        <f>CP314</f>
        <v/>
      </c>
      <c r="BC314" s="813"/>
      <c r="BD314" s="197">
        <f>CR314</f>
        <v/>
      </c>
      <c r="BE314" s="121">
        <f>CS314</f>
        <v/>
      </c>
      <c r="BF314" s="122">
        <f>CT314*60</f>
        <v/>
      </c>
      <c r="BG314" s="121">
        <f>BE314</f>
        <v/>
      </c>
      <c r="BH314" s="122">
        <f>CU314*60</f>
        <v/>
      </c>
      <c r="BI314" s="122">
        <f>CV314</f>
        <v/>
      </c>
      <c r="BJ314" s="117"/>
      <c r="BK314" s="812">
        <f>Overview!$E$7</f>
        <v/>
      </c>
      <c r="BL314" s="117"/>
      <c r="BM314" s="836">
        <f>CW314</f>
        <v/>
      </c>
      <c r="BN314" s="812">
        <f>Overview!$P$153</f>
        <v/>
      </c>
      <c r="BO314" s="117"/>
      <c r="BP314" s="117"/>
      <c r="BQ314" s="115"/>
      <c r="BR314" s="1478" t="inlineStr">
        <is>
          <t>N/A</t>
        </is>
      </c>
      <c r="BS314" s="1548"/>
      <c r="BT314" s="2071" t="inlineStr">
        <is>
          <t>GSM</t>
        </is>
      </c>
      <c r="BU314" s="2071">
        <v>1800</v>
      </c>
      <c r="BV314" s="415">
        <f>Overview!$H$31</f>
        <v/>
      </c>
      <c r="BW314" s="2010"/>
      <c r="BX314" s="2071"/>
      <c r="BY314" s="2072"/>
      <c r="BZ314" s="2072"/>
      <c r="CA314" s="416" t="str">
        <f>IF(COUNT(CF308:CF313)=0,IF(COUNT(CE308:CE313)=0,"TBD",VLOOKUP(MAX(CE308:CE313),CE308:CI313,5,FALSE)),VLOOKUP(MAX(CF308:CF313),CF308:CI313,4,FALSE))</f>
        <v>TBD</v>
      </c>
      <c r="CB314" s="200">
        <v>5</v>
      </c>
      <c r="CC314" s="902">
        <f>'2G-3G'!BX37</f>
        <v>512</v>
      </c>
      <c r="CD314" s="902">
        <f>'2G-3G'!BY37</f>
        <v>1710.2</v>
      </c>
      <c r="CE314" s="1523"/>
      <c r="CF314" s="1523"/>
      <c r="CG314" s="387" t="str">
        <f>IF(OR($BY$167="",$BY$167=""),"",$BY$167)</f>
        <v/>
      </c>
      <c r="CH314" s="387">
        <f>BZ314</f>
        <v/>
      </c>
      <c r="CI314" s="387">
        <f>CA314</f>
        <v/>
      </c>
      <c r="CJ314" s="1527"/>
      <c r="CK314" s="2042"/>
      <c r="CL314" s="206">
        <f>IF(CF314=""," ",IF(ABS(CE314-CF314)&lt;=0.125,"Valid","Not valid"))</f>
        <v/>
      </c>
      <c r="CM314" s="207">
        <f> IF(CE314="","",IF(AND(CE314&lt;&gt;"",CF314=""),IF(CE314&gt;=1,"Medir+Sig Max","No"),IF(CF314&lt;&gt;"",IF(CF314&gt;=1,"Medir+Sig Max","No"),"")))</f>
        <v/>
      </c>
      <c r="CN314" s="1787"/>
      <c r="CO314" s="220">
        <f>IF(CK314="",IF(AND(CE314="",CF314=""),"",IF(CF314="",IF(DE314&gt;1,ROUND(DE314*CE314,3),CE314),IF(DE314&gt;1,ROUND(DE314*CF314,3),CF314))),IF(AND(CE314="",CF314=""),"",IF(CF314="",IF(DE314&gt;1,ROUND(DE314*CE314*(1/(CK314)),3),CE314*(1/(CK314))),IF(DE314&gt;1,ROUND(DE314*CF314*(1/(CK314)),3),CF314*(1/(CK314))))))</f>
        <v/>
      </c>
      <c r="CP314" s="2043">
        <f>$CP$3</f>
        <v/>
      </c>
      <c r="CQ314" s="1472">
        <f>IF(CO314="","",IF(CO314&gt;CP314,"Fail","Pass"))</f>
        <v/>
      </c>
      <c r="CR314" s="1481">
        <f>IF(AND(MAX(CO308:CO315)=CO314,CO314&lt;&gt;0),COUNT($CR$3:CR313)+1,"")</f>
        <v/>
      </c>
      <c r="CS314" s="1565">
        <f>MyTimestamp(CO314)</f>
        <v/>
      </c>
      <c r="CT314" s="1531">
        <f>IF(CE314="",0,15)+IF(CF314="",0,15)</f>
        <v/>
      </c>
      <c r="CU314" s="1532">
        <f>IF(CT314=0,0,2)</f>
        <v/>
      </c>
      <c r="CV314" s="859" t="inlineStr">
        <is>
          <t>S/02</t>
        </is>
      </c>
      <c r="CW314" s="859" t="inlineStr">
        <is>
          <t>Dasy6</t>
        </is>
      </c>
      <c r="CX314" s="2038"/>
      <c r="CY314" s="2044"/>
      <c r="CZ314" s="1543">
        <f>10^(CJ314/20)*100-100</f>
        <v/>
      </c>
      <c r="DA314" s="1325">
        <f>IF('Tune-Up'!$H$21="","",'Tune-Up'!$H$21)</f>
        <v/>
      </c>
      <c r="DB314" s="701">
        <f>'2G-3G'!BZ37</f>
        <v/>
      </c>
      <c r="DC314" s="769">
        <f>IF(DA314="","",10^(DA314/10))</f>
        <v/>
      </c>
      <c r="DD314" s="1369">
        <f>IF(ISNUMBER(DB314)=FALSE,"",10^(DB314/10))</f>
        <v/>
      </c>
      <c r="DE314" s="1543">
        <f>IF(AND(ISNUMBER(DC314),ISNUMBER(DD314)),IF(DC314/DD314&gt;1,ROUND((DC314)/DD314,3),1),1)</f>
        <v/>
      </c>
      <c r="DF314" s="1541"/>
      <c r="DG314" s="1541"/>
      <c r="DH314" s="1541"/>
      <c r="DI314" s="1541"/>
      <c r="DJ314" s="1541"/>
      <c r="DK314" s="1541"/>
      <c r="DL314" s="1541"/>
      <c r="DM314" s="1541"/>
      <c r="DN314" s="1541"/>
      <c r="DO314" s="1541"/>
      <c r="DP314" s="1541"/>
      <c r="DQ314" s="1541"/>
      <c r="DR314" s="1541"/>
    </row>
    <row r="315" ht="12.75" x14ac:dyDescent="0.2">
      <c r="A315" s="1541"/>
      <c r="B315" s="1541"/>
      <c r="C315"/>
      <c r="D315" s="130">
        <f>IF(BX$308="Close to Ear","EN 62209-1","EN 62209-2")</f>
        <v/>
      </c>
      <c r="E315" s="130">
        <f>IF(CG315="Close to Ear","2016","2010/A1:2019")</f>
        <v/>
      </c>
      <c r="F315" s="1488" t="inlineStr">
        <is>
          <t>5.1</t>
        </is>
      </c>
      <c r="G315" s="1497"/>
      <c r="H315" s="120">
        <f>BV315</f>
        <v/>
      </c>
      <c r="I315" s="120">
        <f>BW315</f>
        <v/>
      </c>
      <c r="J315" s="687" t="str">
        <f>BT315</f>
        <v>GSM</v>
      </c>
      <c r="K315" s="194">
        <f>BU315</f>
        <v>1800</v>
      </c>
      <c r="L315" s="115"/>
      <c r="M315" s="120">
        <f>BZ315</f>
        <v>0</v>
      </c>
      <c r="N315" s="119"/>
      <c r="O315" s="131"/>
      <c r="P315" s="6597"/>
      <c r="Q315" s="131"/>
      <c r="R315" s="131"/>
      <c r="S315" s="120">
        <f>CG315</f>
        <v>0</v>
      </c>
      <c r="T315" s="120">
        <f>CC315</f>
        <v>885</v>
      </c>
      <c r="U315" s="120">
        <f>CD315</f>
        <v>1784.8</v>
      </c>
      <c r="V315" s="119"/>
      <c r="W315" s="197">
        <f>CK315*100</f>
        <v/>
      </c>
      <c r="X315" s="119"/>
      <c r="Y315" s="119"/>
      <c r="Z315" s="119"/>
      <c r="AA315" s="115"/>
      <c r="AB315" s="115"/>
      <c r="AC315" s="689">
        <f>IF(OR(BX$308="Close to Ear",BX$308="Close to Head"),"Head",IF(BX$308="Extremity","Extremity","Body"))</f>
        <v/>
      </c>
      <c r="AD315" s="690">
        <f>CA315</f>
        <v/>
      </c>
      <c r="AE315" s="688">
        <f>CB315</f>
        <v/>
      </c>
      <c r="AF315" s="115"/>
      <c r="AG315" s="808">
        <f>IF(AZ315="","N/A",IF(CQ315="Pass","P","F"))</f>
        <v/>
      </c>
      <c r="AH315" s="129"/>
      <c r="AI315" s="129"/>
      <c r="AJ315" s="129"/>
      <c r="AK315" s="119"/>
      <c r="AL315" s="115"/>
      <c r="AM315" s="119"/>
      <c r="AN315" s="119"/>
      <c r="AO315" s="692"/>
      <c r="AP315" s="692"/>
      <c r="AQ315" s="692"/>
      <c r="AR315" s="692"/>
      <c r="AS315" s="692"/>
      <c r="AT315" s="691">
        <f>CE315</f>
        <v/>
      </c>
      <c r="AU315" s="691">
        <f>CF315</f>
        <v/>
      </c>
      <c r="AV315" s="813"/>
      <c r="AW315" s="813"/>
      <c r="AX315" s="197">
        <f>CZ315</f>
        <v/>
      </c>
      <c r="AY315" s="197">
        <f>DE315</f>
        <v/>
      </c>
      <c r="AZ315" s="3379">
        <f>CO315</f>
        <v/>
      </c>
      <c r="BA315" s="3380"/>
      <c r="BB315" s="197">
        <f>CP315</f>
        <v/>
      </c>
      <c r="BC315" s="813"/>
      <c r="BD315" s="197">
        <f>CR315</f>
        <v/>
      </c>
      <c r="BE315" s="121">
        <f>CS315</f>
        <v/>
      </c>
      <c r="BF315" s="122">
        <f>CT315*60</f>
        <v/>
      </c>
      <c r="BG315" s="121">
        <f>BE315</f>
        <v/>
      </c>
      <c r="BH315" s="122">
        <f>CU315*60</f>
        <v/>
      </c>
      <c r="BI315" s="122">
        <f>CV315</f>
        <v/>
      </c>
      <c r="BJ315" s="117"/>
      <c r="BK315" s="812">
        <f>Overview!$E$7</f>
        <v/>
      </c>
      <c r="BL315" s="117"/>
      <c r="BM315" s="836">
        <f>CW315</f>
        <v/>
      </c>
      <c r="BN315" s="812">
        <f>Overview!$P$153</f>
        <v/>
      </c>
      <c r="BO315" s="117"/>
      <c r="BP315" s="117"/>
      <c r="BQ315" s="115"/>
      <c r="BR315" s="1478" t="inlineStr">
        <is>
          <t>N/A</t>
        </is>
      </c>
      <c r="BS315" s="1548"/>
      <c r="BT315" s="2071" t="inlineStr">
        <is>
          <t>GSM</t>
        </is>
      </c>
      <c r="BU315" s="2071">
        <v>1800</v>
      </c>
      <c r="BV315" s="415">
        <f>Overview!$H$31</f>
        <v/>
      </c>
      <c r="BW315" s="2010"/>
      <c r="BX315" s="2075"/>
      <c r="BY315" s="2072"/>
      <c r="BZ315" s="2072"/>
      <c r="CA315" s="418" t="str">
        <f>IF(COUNT(CF308:CF313)=0,IF(COUNT(CE308:CE313)=0,"TBD",VLOOKUP(MAX(CE308:CE313),CE308:CI313,5,FALSE)),VLOOKUP(MAX(CF308:CF313),CF308:CI313,4,FALSE))</f>
        <v>TBD</v>
      </c>
      <c r="CB315" s="201">
        <v>5</v>
      </c>
      <c r="CC315" s="857">
        <f>'2G-3G'!BX38</f>
        <v>885</v>
      </c>
      <c r="CD315" s="857">
        <f>'2G-3G'!BY38</f>
        <v>1784.8</v>
      </c>
      <c r="CE315" s="1874"/>
      <c r="CF315" s="1874"/>
      <c r="CG315" s="388" t="str">
        <f>IF(OR($BY$167="",$BY$167=""),"",$BY$167)</f>
        <v/>
      </c>
      <c r="CH315" s="388">
        <f>BZ315</f>
        <v/>
      </c>
      <c r="CI315" s="388">
        <f>CA315</f>
        <v/>
      </c>
      <c r="CJ315" s="2046"/>
      <c r="CK315" s="2047"/>
      <c r="CL315" s="212">
        <f>IF(CF315=""," ",IF(ABS(CE315-CF315)&lt;=0.125,"Valid","Not valid"))</f>
        <v/>
      </c>
      <c r="CM315" s="213">
        <f> IF(CE315="","",IF(AND(CE315&lt;&gt;"",CF315=""),IF(CE315&gt;=1,"Medir+Sig Max","No"),IF(CF315&lt;&gt;"",IF(CF315&gt;=1,"Medir+Sig Max","No"),"")))</f>
        <v/>
      </c>
      <c r="CN315" s="1794"/>
      <c r="CO315" s="221">
        <f>IF(CK315="",IF(AND(CE315="",CF315=""),"",IF(CF315="",IF(DE315&gt;1,ROUND(DE315*CE315,3),CE315),IF(DE315&gt;1,ROUND(DE315*CF315,3),CF315))),IF(AND(CE315="",CF315=""),"",IF(CF315="",IF(DE315&gt;1,ROUND(DE315*CE315*(1/(CK315)),3),CE315*(1/(CK315))),IF(DE315&gt;1,ROUND(DE315*CF315*(1/(CK315)),3),CF315*(1/(CK315))))))</f>
        <v/>
      </c>
      <c r="CP315" s="2048">
        <f>$CP$3</f>
        <v/>
      </c>
      <c r="CQ315" s="1473">
        <f>IF(CO315="","",IF(CO315&gt;CP315,"Fail","Pass"))</f>
        <v/>
      </c>
      <c r="CR315" s="1482">
        <f>IF(AND(MAX(CO308:CO315)=CO315,CO315&lt;&gt;0),COUNT($CR$3:CR314)+1,"")</f>
        <v/>
      </c>
      <c r="CS315" s="1566">
        <f>MyTimestamp(CO315)</f>
        <v/>
      </c>
      <c r="CT315" s="1535">
        <f>IF(CE315="",0,15)+IF(CF315="",0,15)</f>
        <v/>
      </c>
      <c r="CU315" s="1536">
        <f>IF(CT315=0,0,2)</f>
        <v/>
      </c>
      <c r="CV315" s="861" t="inlineStr">
        <is>
          <t>S/02</t>
        </is>
      </c>
      <c r="CW315" s="861" t="inlineStr">
        <is>
          <t>Dasy6</t>
        </is>
      </c>
      <c r="CX315" s="2038"/>
      <c r="CY315" s="2050"/>
      <c r="CZ315" s="1545">
        <f>10^(CJ315/20)*100-100</f>
        <v/>
      </c>
      <c r="DA315" s="1327">
        <f>IF('Tune-Up'!$H$21="","",'Tune-Up'!$H$21)</f>
        <v/>
      </c>
      <c r="DB315" s="703">
        <f>'2G-3G'!BZ38</f>
        <v/>
      </c>
      <c r="DC315" s="771">
        <f>IF(DA315="","",10^(DA315/10))</f>
        <v/>
      </c>
      <c r="DD315" s="1371">
        <f>IF(ISNUMBER(DB315)=FALSE,"",10^(DB315/10))</f>
        <v/>
      </c>
      <c r="DE315" s="1545">
        <f>IF(AND(ISNUMBER(DC315),ISNUMBER(DD315)),IF(DC315/DD315&gt;1,ROUND((DC315)/DD315,3),1),1)</f>
        <v/>
      </c>
      <c r="DF315" s="1541"/>
      <c r="DG315" s="1541"/>
      <c r="DH315" s="1541"/>
      <c r="DI315" s="1541"/>
      <c r="DJ315" s="1541"/>
      <c r="DK315" s="1541"/>
      <c r="DL315" s="1541"/>
      <c r="DM315" s="1541"/>
      <c r="DN315" s="1541"/>
      <c r="DO315" s="1541"/>
      <c r="DP315" s="1541"/>
      <c r="DQ315" s="1541"/>
      <c r="DR315" s="1541"/>
    </row>
    <row r="316" ht="12.75" x14ac:dyDescent="0.2">
      <c r="A316" s="1541"/>
      <c r="B316" s="1541"/>
      <c r="C316"/>
      <c r="D316" s="130">
        <f>IF(BX$308="Close to Ear","EN 62209-1","EN 62209-2")</f>
        <v/>
      </c>
      <c r="E316" s="130">
        <f>IF(CG316="Close to Ear","2016","2010/A1:2019")</f>
        <v/>
      </c>
      <c r="F316" s="1488" t="inlineStr">
        <is>
          <t>5.1</t>
        </is>
      </c>
      <c r="G316" s="1497"/>
      <c r="H316" s="120">
        <f>BV316</f>
        <v/>
      </c>
      <c r="I316" s="120">
        <f>BW316</f>
        <v/>
      </c>
      <c r="J316" s="687">
        <f>BT316</f>
        <v/>
      </c>
      <c r="K316" s="194">
        <f>BU316</f>
        <v/>
      </c>
      <c r="L316" s="115"/>
      <c r="M316" s="120">
        <f>BZ316</f>
        <v/>
      </c>
      <c r="N316" s="119"/>
      <c r="O316" s="131"/>
      <c r="P316" s="6597"/>
      <c r="Q316" s="131"/>
      <c r="R316" s="131"/>
      <c r="S316" s="120">
        <f>CG316</f>
        <v/>
      </c>
      <c r="T316" s="120">
        <f>CC316</f>
        <v/>
      </c>
      <c r="U316" s="120">
        <f>CD316</f>
        <v/>
      </c>
      <c r="V316" s="119"/>
      <c r="W316" s="197">
        <f>CK316*100</f>
        <v/>
      </c>
      <c r="X316" s="119"/>
      <c r="Y316" s="119"/>
      <c r="Z316" s="119"/>
      <c r="AA316" s="115"/>
      <c r="AB316" s="115"/>
      <c r="AC316" s="689">
        <f>IF(OR(BX$308="Close to Ear",BX$308="Close to Head"),"Head",IF(BX$308="Extremity","Extremity","Body"))</f>
        <v/>
      </c>
      <c r="AD316" s="690">
        <f>CA316</f>
        <v/>
      </c>
      <c r="AE316" s="688">
        <f>CB316</f>
        <v/>
      </c>
      <c r="AF316" s="115"/>
      <c r="AG316" s="808">
        <f>IF(AZ316="","N/A",IF(CQ316="Pass","P","F"))</f>
        <v/>
      </c>
      <c r="AH316" s="129"/>
      <c r="AI316" s="129"/>
      <c r="AJ316" s="129"/>
      <c r="AK316" s="119"/>
      <c r="AL316" s="115"/>
      <c r="AM316" s="119"/>
      <c r="AN316" s="119"/>
      <c r="AO316" s="692"/>
      <c r="AP316" s="692"/>
      <c r="AQ316" s="692"/>
      <c r="AR316" s="692"/>
      <c r="AS316" s="692"/>
      <c r="AT316" s="691">
        <f>CE316</f>
        <v/>
      </c>
      <c r="AU316" s="691">
        <f>CF316</f>
        <v/>
      </c>
      <c r="AV316" s="813"/>
      <c r="AW316" s="813"/>
      <c r="AX316" s="197">
        <f>CZ316</f>
        <v/>
      </c>
      <c r="AY316" s="197">
        <f>DE316</f>
        <v/>
      </c>
      <c r="AZ316" s="3379">
        <f>CO316</f>
        <v/>
      </c>
      <c r="BA316" s="3380"/>
      <c r="BB316" s="197">
        <f>CP316</f>
        <v/>
      </c>
      <c r="BC316" s="813"/>
      <c r="BD316" s="197">
        <f>CR316</f>
        <v/>
      </c>
      <c r="BE316" s="121">
        <f>CS316</f>
        <v/>
      </c>
      <c r="BF316" s="122">
        <f>CT316*60</f>
        <v/>
      </c>
      <c r="BG316" s="121">
        <f>BE316</f>
        <v/>
      </c>
      <c r="BH316" s="122">
        <f>CU316*60</f>
        <v/>
      </c>
      <c r="BI316" s="122">
        <f>CV316</f>
        <v/>
      </c>
      <c r="BJ316" s="117"/>
      <c r="BK316" s="812">
        <f>Overview!$E$7</f>
        <v/>
      </c>
      <c r="BL316" s="117"/>
      <c r="BM316" s="836">
        <f>CW316</f>
        <v/>
      </c>
      <c r="BN316" s="812">
        <f>Overview!$P$153</f>
        <v/>
      </c>
      <c r="BO316" s="117"/>
      <c r="BP316" s="117"/>
      <c r="BQ316" s="115"/>
      <c r="BR316" s="1478" t="inlineStr">
        <is>
          <t>N/A</t>
        </is>
      </c>
      <c r="BS316" s="1548"/>
      <c r="BT316" s="2071" t="inlineStr">
        <is>
          <t>GSM</t>
        </is>
      </c>
      <c r="BU316" s="2071">
        <v>1800</v>
      </c>
      <c r="BV316" s="415">
        <f>Overview!$H$31</f>
        <v/>
      </c>
      <c r="BW316" s="2010"/>
      <c r="BX316" s="2075"/>
      <c r="BY316" s="2072"/>
      <c r="BZ316" s="2072"/>
      <c r="CA316" s="418" t="str">
        <f>CONCATENATE(CA314," - Battery check 1")</f>
        <v>TBD - Battery check 1</v>
      </c>
      <c r="CB316" s="201">
        <v>5</v>
      </c>
      <c r="CC316" s="857">
        <f>IF(COUNT($CO$308:$CO$315)=0,"N/A",INDEX($CC$308:$CC$315,MATCH(MAX($CO$308:$CO$315),$CO$308:$CO$315,0)))</f>
        <v/>
      </c>
      <c r="CD316" s="857">
        <f>IF(COUNT($CO$308:$CO$315)=0,"N/A",INDEX($CD$308:$CD$315,MATCH(MAX($CO$308:$CO$315),$CO$308:$CO$315,0)))</f>
        <v/>
      </c>
      <c r="CE316" s="1874"/>
      <c r="CF316" s="1874"/>
      <c r="CG316" s="388" t="inlineStr">
        <is>
          <t>N/A</t>
        </is>
      </c>
      <c r="CH316" s="388">
        <f>BZ316</f>
        <v/>
      </c>
      <c r="CI316" s="388">
        <f>CA316</f>
        <v/>
      </c>
      <c r="CJ316" s="2046"/>
      <c r="CK316" s="2047"/>
      <c r="CL316" s="212">
        <f>IF(CF316=""," ",IF(ABS(CE316-CF316)&lt;=0.125,"Valid","Not valid"))</f>
        <v/>
      </c>
      <c r="CM316" s="213">
        <f> IF(CE316="","",IF(AND(CE316&lt;&gt;"",CF316=""),IF(CE316&gt;=1,"Medir+Sig Max","No"),IF(CF316&lt;&gt;"",IF(CF316&gt;=1,"Medir+Sig Max","No"),"")))</f>
        <v/>
      </c>
      <c r="CN316" s="1794"/>
      <c r="CO316" s="221">
        <f>IF(CK316="",IF(AND(CE316="",CF316=""),"",IF(CF316="",IF(DE316&gt;1,ROUND(DE316*CE316,3),CE316),IF(DE316&gt;1,ROUND(DE316*CF316,3),CF316))),IF(AND(CE316="",CF316=""),"",IF(CF316="",IF(DE316&gt;1,ROUND(DE316*CE316*(1/(CK316)),3),CE316*(1/(CK316))),IF(DE316&gt;1,ROUND(DE316*CF316*(1/(CK316)),3),CF316*(1/(CK316))))))</f>
        <v/>
      </c>
      <c r="CP316" s="2048">
        <f>$CP$3</f>
        <v/>
      </c>
      <c r="CQ316" s="1473">
        <f>IF(CO316="","",IF(CO316&gt;CP316,"Fail","Pass"))</f>
        <v/>
      </c>
      <c r="CR316" s="1482">
        <f>IF(CO316&lt;&gt;"",MAX($CR$3:CR315)+1,"")</f>
        <v/>
      </c>
      <c r="CS316" s="1566">
        <f>MyTimestamp(CQ316)</f>
        <v/>
      </c>
      <c r="CT316" s="1535">
        <f>IF(COUNT(CE316:CF316)=1,15,IF(COUNT(CE316:CF316)=0,0,30))</f>
        <v/>
      </c>
      <c r="CU316" s="1536">
        <f>IF(CT316=0,0,2)</f>
        <v/>
      </c>
      <c r="CV316" s="861" t="inlineStr">
        <is>
          <t>S/02</t>
        </is>
      </c>
      <c r="CW316" s="861" t="inlineStr">
        <is>
          <t>Dasy6</t>
        </is>
      </c>
      <c r="CX316" s="2038"/>
      <c r="CY316" s="2050"/>
      <c r="CZ316" s="1545">
        <f>10^(CJ316/20)*100-100</f>
        <v/>
      </c>
      <c r="DA316" s="1327">
        <f>IF('Tune-Up'!$H$21="","",'Tune-Up'!$H$21)</f>
        <v/>
      </c>
      <c r="DB316" s="703">
        <f>IF(COUNT($CO$308:$CO$315)=0,"N/A",IFERROR(INDEX($DB$308:$DB$315,MATCH(MAX($CO$308:$CO$315),$CO$308:$CO$315,0)),"N/A"))</f>
        <v/>
      </c>
      <c r="DC316" s="771">
        <f>IF(DA316="","",10^(DA316/10))</f>
        <v/>
      </c>
      <c r="DD316" s="1371">
        <f>IF(ISNUMBER(DB316)=FALSE,"N/A",10^(DB316/10))</f>
        <v/>
      </c>
      <c r="DE316" s="1545">
        <f>IF(AND(ISNUMBER(DC316),ISNUMBER(DD316)),IF(DC316/DD316&gt;1,ROUND((DC316)/DD316,3),1),1)</f>
        <v/>
      </c>
      <c r="DF316" s="1541"/>
      <c r="DG316" s="1541"/>
      <c r="DH316" s="1541"/>
      <c r="DI316" s="1541"/>
      <c r="DJ316" s="1541"/>
      <c r="DK316" s="1541"/>
      <c r="DL316" s="1541"/>
      <c r="DM316" s="1541"/>
      <c r="DN316" s="1541"/>
      <c r="DO316" s="1541"/>
      <c r="DP316" s="1541"/>
      <c r="DQ316" s="1541"/>
      <c r="DR316" s="1541"/>
    </row>
    <row r="317" ht="12.75" x14ac:dyDescent="0.2">
      <c r="A317" s="1541"/>
      <c r="B317" s="1541"/>
      <c r="C317"/>
      <c r="D317" s="130">
        <f>IF(BX$308="Close to Ear","EN 62209-1","EN 62209-2")</f>
        <v/>
      </c>
      <c r="E317" s="130">
        <f>IF(CG317="Close to Ear","2016","2010/A1:2019")</f>
        <v/>
      </c>
      <c r="F317" s="1488" t="inlineStr">
        <is>
          <t>5.1</t>
        </is>
      </c>
      <c r="G317" s="1497"/>
      <c r="H317" s="120">
        <f>BV317</f>
        <v/>
      </c>
      <c r="I317" s="120">
        <f>BW317</f>
        <v/>
      </c>
      <c r="J317" s="687">
        <f>BT317</f>
        <v/>
      </c>
      <c r="K317" s="194">
        <f>BU317</f>
        <v/>
      </c>
      <c r="L317" s="115"/>
      <c r="M317" s="120">
        <f>BZ317</f>
        <v/>
      </c>
      <c r="N317" s="119"/>
      <c r="O317" s="131"/>
      <c r="P317" s="6597"/>
      <c r="Q317" s="131"/>
      <c r="R317" s="131"/>
      <c r="S317" s="120">
        <f>CG317</f>
        <v/>
      </c>
      <c r="T317" s="120">
        <f>CC317</f>
        <v/>
      </c>
      <c r="U317" s="120">
        <f>CD317</f>
        <v/>
      </c>
      <c r="V317" s="119"/>
      <c r="W317" s="197">
        <f>CK317*100</f>
        <v/>
      </c>
      <c r="X317" s="119"/>
      <c r="Y317" s="119"/>
      <c r="Z317" s="119"/>
      <c r="AA317" s="115"/>
      <c r="AB317" s="115"/>
      <c r="AC317" s="689">
        <f>IF(OR(BX$308="Close to Ear",BX$308="Close to Head"),"Head",IF(BX$308="Extremity","Extremity","Body"))</f>
        <v/>
      </c>
      <c r="AD317" s="690">
        <f>CA317</f>
        <v/>
      </c>
      <c r="AE317" s="688">
        <f>CB317</f>
        <v/>
      </c>
      <c r="AF317" s="115"/>
      <c r="AG317" s="808">
        <f>IF(AZ317="","N/A",IF(CQ317="Pass","P","F"))</f>
        <v/>
      </c>
      <c r="AH317" s="129"/>
      <c r="AI317" s="129"/>
      <c r="AJ317" s="129"/>
      <c r="AK317" s="119"/>
      <c r="AL317" s="115"/>
      <c r="AM317" s="119"/>
      <c r="AN317" s="119"/>
      <c r="AO317" s="692"/>
      <c r="AP317" s="692"/>
      <c r="AQ317" s="692"/>
      <c r="AR317" s="692"/>
      <c r="AS317" s="692"/>
      <c r="AT317" s="691">
        <f>CE317</f>
        <v/>
      </c>
      <c r="AU317" s="691">
        <f>CF317</f>
        <v/>
      </c>
      <c r="AV317" s="813"/>
      <c r="AW317" s="813"/>
      <c r="AX317" s="197">
        <f>CZ317</f>
        <v/>
      </c>
      <c r="AY317" s="197">
        <f>DE317</f>
        <v/>
      </c>
      <c r="AZ317" s="3379">
        <f>CO317</f>
        <v/>
      </c>
      <c r="BA317" s="3380"/>
      <c r="BB317" s="197">
        <f>CP317</f>
        <v/>
      </c>
      <c r="BC317" s="813"/>
      <c r="BD317" s="197">
        <f>CR317</f>
        <v/>
      </c>
      <c r="BE317" s="121">
        <f>CS317</f>
        <v/>
      </c>
      <c r="BF317" s="122">
        <f>CT317*60</f>
        <v/>
      </c>
      <c r="BG317" s="121">
        <f>BE317</f>
        <v/>
      </c>
      <c r="BH317" s="122">
        <f>CU317*60</f>
        <v/>
      </c>
      <c r="BI317" s="122">
        <f>CV317</f>
        <v/>
      </c>
      <c r="BJ317" s="117"/>
      <c r="BK317" s="812">
        <f>Overview!$E$7</f>
        <v/>
      </c>
      <c r="BL317" s="117"/>
      <c r="BM317" s="836">
        <f>CW317</f>
        <v/>
      </c>
      <c r="BN317" s="812">
        <f>Overview!$P$153</f>
        <v/>
      </c>
      <c r="BO317" s="117"/>
      <c r="BP317" s="117"/>
      <c r="BQ317" s="115"/>
      <c r="BR317" s="1478" t="inlineStr">
        <is>
          <t>N/A</t>
        </is>
      </c>
      <c r="BS317" s="1548"/>
      <c r="BT317" s="2071" t="inlineStr">
        <is>
          <t>GSM</t>
        </is>
      </c>
      <c r="BU317" s="2071">
        <v>1800</v>
      </c>
      <c r="BV317" s="415">
        <f>Overview!$H$31</f>
        <v/>
      </c>
      <c r="BW317" s="2010"/>
      <c r="BX317" s="2075"/>
      <c r="BY317" s="2072"/>
      <c r="BZ317" s="2072"/>
      <c r="CA317" s="418" t="str">
        <f>CONCATENATE(CA315," - Battery check 2")</f>
        <v>TBD - Battery check 2</v>
      </c>
      <c r="CB317" s="201">
        <v>5</v>
      </c>
      <c r="CC317" s="857">
        <f>IF(COUNT($CO$308:$CO$315)=0,"N/A",INDEX($CC$308:$CC$315,MATCH(MAX($CO$308:$CO$315),$CO$308:$CO$315,0)))</f>
        <v/>
      </c>
      <c r="CD317" s="857">
        <f>IF(COUNT($CO$308:$CO$315)=0,"N/A",INDEX($CD$308:$CD$315,MATCH(MAX($CO$308:$CO$315),$CO$308:$CO$315,0)))</f>
        <v/>
      </c>
      <c r="CE317" s="1874"/>
      <c r="CF317" s="1874"/>
      <c r="CG317" s="388" t="inlineStr">
        <is>
          <t>N/A</t>
        </is>
      </c>
      <c r="CH317" s="388">
        <f>BZ317</f>
        <v/>
      </c>
      <c r="CI317" s="388">
        <f>CA317</f>
        <v/>
      </c>
      <c r="CJ317" s="2046"/>
      <c r="CK317" s="2047"/>
      <c r="CL317" s="212">
        <f>IF(CF317=""," ",IF(ABS(CE317-CF317)&lt;=0.125,"Valid","Not valid"))</f>
        <v/>
      </c>
      <c r="CM317" s="213">
        <f> IF(CE317="","",IF(AND(CE317&lt;&gt;"",CF317=""),IF(CE317&gt;=1,"Medir+Sig Max","No"),IF(CF317&lt;&gt;"",IF(CF317&gt;=1,"Medir+Sig Max","No"),"")))</f>
        <v/>
      </c>
      <c r="CN317" s="1794"/>
      <c r="CO317" s="221">
        <f>IF(CK317="",IF(AND(CE317="",CF317=""),"",IF(CF317="",IF(DE317&gt;1,ROUND(DE317*CE317,3),CE317),IF(DE317&gt;1,ROUND(DE317*CF317,3),CF317))),IF(AND(CE317="",CF317=""),"",IF(CF317="",IF(DE317&gt;1,ROUND(DE317*CE317*(1/(CK317)),3),CE317*(1/(CK317))),IF(DE317&gt;1,ROUND(DE317*CF317*(1/(CK317)),3),CF317*(1/(CK317))))))</f>
        <v/>
      </c>
      <c r="CP317" s="2048">
        <f>$CP$3</f>
        <v/>
      </c>
      <c r="CQ317" s="1473">
        <f>IF(CO317="","",IF(CO317&gt;CP317,"Fail","Pass"))</f>
        <v/>
      </c>
      <c r="CR317" s="1482">
        <f>IF(CO317&lt;&gt;"",MAX($CR$3:CR316)+1,"")</f>
        <v/>
      </c>
      <c r="CS317" s="1566">
        <f>MyTimestamp(CQ317)</f>
        <v/>
      </c>
      <c r="CT317" s="1535">
        <f>IF(COUNT(CE317:CF317)=1,15,IF(COUNT(CE317:CF317)=0,0,30))</f>
        <v/>
      </c>
      <c r="CU317" s="1536">
        <f>IF(CT317=0,0,2)</f>
        <v/>
      </c>
      <c r="CV317" s="861" t="inlineStr">
        <is>
          <t>S/02</t>
        </is>
      </c>
      <c r="CW317" s="861" t="inlineStr">
        <is>
          <t>Dasy6</t>
        </is>
      </c>
      <c r="CX317" s="2038"/>
      <c r="CY317" s="2050"/>
      <c r="CZ317" s="1545">
        <f>10^(CJ317/20)*100-100</f>
        <v/>
      </c>
      <c r="DA317" s="1327">
        <f>IF('Tune-Up'!$H$21="","",'Tune-Up'!$H$21)</f>
        <v/>
      </c>
      <c r="DB317" s="703">
        <f>IF(COUNT($CO$308:$CO$315)=0,"N/A",IFERROR(INDEX($DB$308:$DB$315,MATCH(MAX($CO$308:$CO$315),$CO$308:$CO$315,0)),"N/A"))</f>
        <v/>
      </c>
      <c r="DC317" s="771">
        <f>IF(DA317="","",10^(DA317/10))</f>
        <v/>
      </c>
      <c r="DD317" s="1371">
        <f>IF(ISNUMBER(DB317)=FALSE,"N/A",10^(DB317/10))</f>
        <v/>
      </c>
      <c r="DE317" s="1545">
        <f>IF(AND(ISNUMBER(DC317),ISNUMBER(DD317)),IF(DC317/DD317&gt;1,ROUND((DC317)/DD317,3),1),1)</f>
        <v/>
      </c>
      <c r="DF317" s="1541"/>
      <c r="DG317" s="1541"/>
      <c r="DH317" s="1541"/>
      <c r="DI317" s="1541"/>
      <c r="DJ317" s="1541"/>
      <c r="DK317" s="1541"/>
      <c r="DL317" s="1541"/>
      <c r="DM317" s="1541"/>
      <c r="DN317" s="1541"/>
      <c r="DO317" s="1541"/>
      <c r="DP317" s="1541"/>
      <c r="DQ317" s="1541"/>
      <c r="DR317" s="1541"/>
    </row>
    <row r="318" ht="12.75" x14ac:dyDescent="0.2">
      <c r="A318" s="1541"/>
      <c r="B318" s="1541"/>
      <c r="C318"/>
      <c r="D318" s="130">
        <f>IF(BX$308="Close to Ear","EN 62209-1","EN 62209-2")</f>
        <v/>
      </c>
      <c r="E318" s="130">
        <f>IF(CG318="Close to Ear","2016","2010/A1:2019")</f>
        <v/>
      </c>
      <c r="F318" s="1488" t="inlineStr">
        <is>
          <t>5.1</t>
        </is>
      </c>
      <c r="G318" s="1497"/>
      <c r="H318" s="120">
        <f>BV318</f>
        <v/>
      </c>
      <c r="I318" s="120">
        <f>BW318</f>
        <v/>
      </c>
      <c r="J318" s="687">
        <f>BT318</f>
        <v/>
      </c>
      <c r="K318" s="194">
        <f>BU318</f>
        <v/>
      </c>
      <c r="L318" s="115"/>
      <c r="M318" s="120">
        <f>BZ318</f>
        <v/>
      </c>
      <c r="N318" s="119"/>
      <c r="O318" s="131"/>
      <c r="P318" s="6597"/>
      <c r="Q318" s="131"/>
      <c r="R318" s="131"/>
      <c r="S318" s="120">
        <f>CG318</f>
        <v/>
      </c>
      <c r="T318" s="120">
        <f>CC318</f>
        <v/>
      </c>
      <c r="U318" s="120">
        <f>CD318</f>
        <v/>
      </c>
      <c r="V318" s="119"/>
      <c r="W318" s="197">
        <f>CK318*100</f>
        <v/>
      </c>
      <c r="X318" s="119"/>
      <c r="Y318" s="119"/>
      <c r="Z318" s="119"/>
      <c r="AA318" s="115"/>
      <c r="AB318" s="115"/>
      <c r="AC318" s="689">
        <f>IF(OR(BX$308="Close to Ear",BX$308="Close to Head"),"Head",IF(BX$308="Extremity","Extremity","Body"))</f>
        <v/>
      </c>
      <c r="AD318" s="690">
        <f>CA318</f>
        <v/>
      </c>
      <c r="AE318" s="688">
        <f>CB318</f>
        <v/>
      </c>
      <c r="AF318" s="115"/>
      <c r="AG318" s="808">
        <f>IF(AZ318="","N/A",IF(CQ318="Pass","P","F"))</f>
        <v/>
      </c>
      <c r="AH318" s="129"/>
      <c r="AI318" s="129"/>
      <c r="AJ318" s="129"/>
      <c r="AK318" s="119"/>
      <c r="AL318" s="115"/>
      <c r="AM318" s="119"/>
      <c r="AN318" s="119"/>
      <c r="AO318" s="692"/>
      <c r="AP318" s="692"/>
      <c r="AQ318" s="692"/>
      <c r="AR318" s="692"/>
      <c r="AS318" s="692"/>
      <c r="AT318" s="691">
        <f>CE318</f>
        <v/>
      </c>
      <c r="AU318" s="691">
        <f>CF318</f>
        <v/>
      </c>
      <c r="AV318" s="813"/>
      <c r="AW318" s="813"/>
      <c r="AX318" s="197">
        <f>CZ318</f>
        <v/>
      </c>
      <c r="AY318" s="197">
        <f>DE318</f>
        <v/>
      </c>
      <c r="AZ318" s="3379">
        <f>CO318</f>
        <v/>
      </c>
      <c r="BA318" s="3380"/>
      <c r="BB318" s="197">
        <f>CP318</f>
        <v/>
      </c>
      <c r="BC318" s="813"/>
      <c r="BD318" s="197">
        <f>CR318</f>
        <v/>
      </c>
      <c r="BE318" s="121">
        <f>CS318</f>
        <v/>
      </c>
      <c r="BF318" s="122">
        <f>CT318*60</f>
        <v/>
      </c>
      <c r="BG318" s="121">
        <f>BE318</f>
        <v/>
      </c>
      <c r="BH318" s="122">
        <f>CU318*60</f>
        <v/>
      </c>
      <c r="BI318" s="122">
        <f>CV318</f>
        <v/>
      </c>
      <c r="BJ318" s="117"/>
      <c r="BK318" s="812">
        <f>Overview!$E$7</f>
        <v/>
      </c>
      <c r="BL318" s="117"/>
      <c r="BM318" s="836">
        <f>CW318</f>
        <v/>
      </c>
      <c r="BN318" s="812">
        <f>Overview!$P$153</f>
        <v/>
      </c>
      <c r="BO318" s="117"/>
      <c r="BP318" s="117"/>
      <c r="BQ318" s="115"/>
      <c r="BR318" s="1478" t="inlineStr">
        <is>
          <t>N/A</t>
        </is>
      </c>
      <c r="BS318" s="1548"/>
      <c r="BT318" s="2071" t="inlineStr">
        <is>
          <t>GSM</t>
        </is>
      </c>
      <c r="BU318" s="2071">
        <v>1800</v>
      </c>
      <c r="BV318" s="415">
        <f>Overview!$H$31</f>
        <v/>
      </c>
      <c r="BW318" s="2010"/>
      <c r="BX318" s="2075"/>
      <c r="BY318" s="2072"/>
      <c r="BZ318" s="2072"/>
      <c r="CA318" s="418" t="inlineStr">
        <is>
          <t>Front Face</t>
        </is>
      </c>
      <c r="CB318" s="201">
        <v>25</v>
      </c>
      <c r="CC318" s="857">
        <f>IF(COUNT($CO$308:$CO$315)=0,"N/A",INDEX($CC$308:$CC$315,MATCH(MAX($CO$308:$CO$315),$CO$308:$CO$315,0)))</f>
        <v/>
      </c>
      <c r="CD318" s="857">
        <f>IF(COUNT($CO$308:$CO$315)=0,"N/A",INDEX($CD$308:$CD$315,MATCH(MAX($CO$308:$CO$315),$CO$308:$CO$315,0)))</f>
        <v/>
      </c>
      <c r="CE318" s="1874"/>
      <c r="CF318" s="1874"/>
      <c r="CG318" s="388" t="inlineStr">
        <is>
          <t>N/A</t>
        </is>
      </c>
      <c r="CH318" s="388">
        <f>BZ318</f>
        <v/>
      </c>
      <c r="CI318" s="388">
        <f>CA318</f>
        <v/>
      </c>
      <c r="CJ318" s="2046"/>
      <c r="CK318" s="2047"/>
      <c r="CL318" s="212">
        <f>IF(CF318=""," ",IF(ABS(CE318-CF318)&lt;=0.125,"Valid","Not valid"))</f>
        <v/>
      </c>
      <c r="CM318" s="213">
        <f> IF(CE318="","",IF(AND(CE318&lt;&gt;"",CF318=""),IF(CE318&gt;=1,"Medir+Sig Max","No"),IF(CF318&lt;&gt;"",IF(CF318&gt;=1,"Medir+Sig Max","No"),"")))</f>
        <v/>
      </c>
      <c r="CN318" s="1794"/>
      <c r="CO318" s="221">
        <f>IF(CK318="",IF(AND(CE318="",CF318=""),"",IF(CF318="",IF(DE318&gt;1,ROUND(DE318*CE318,3),CE318),IF(DE318&gt;1,ROUND(DE318*CF318,3),CF318))),IF(AND(CE318="",CF318=""),"",IF(CF318="",IF(DE318&gt;1,ROUND(DE318*CE318*(1/(CK318)),3),CE318*(1/(CK318))),IF(DE318&gt;1,ROUND(DE318*CF318*(1/(CK318)),3),CF318*(1/(CK318))))))</f>
        <v/>
      </c>
      <c r="CP318" s="2048">
        <f>$CP$3</f>
        <v/>
      </c>
      <c r="CQ318" s="1473">
        <f>IF(CO318="","",IF(CO318&gt;CP318,"Fail","Pass"))</f>
        <v/>
      </c>
      <c r="CR318" s="1482">
        <f>IF(CO318&lt;&gt;"",MAX($CR$3:CR317)+1,"")</f>
        <v/>
      </c>
      <c r="CS318" s="1566">
        <f>MyTimestamp(CQ318)</f>
        <v/>
      </c>
      <c r="CT318" s="1535">
        <f>IF(COUNT(CE318:CF318)=1,15,IF(COUNT(CE318:CF318)=0,0,30))</f>
        <v/>
      </c>
      <c r="CU318" s="1536">
        <f>IF(CT318=0,0,2)</f>
        <v/>
      </c>
      <c r="CV318" s="861" t="inlineStr">
        <is>
          <t>S/02</t>
        </is>
      </c>
      <c r="CW318" s="861" t="inlineStr">
        <is>
          <t>Dasy6</t>
        </is>
      </c>
      <c r="CX318" s="2038"/>
      <c r="CY318" s="2050"/>
      <c r="CZ318" s="1545">
        <f>10^(CJ318/20)*100-100</f>
        <v/>
      </c>
      <c r="DA318" s="1327">
        <f>IF('Tune-Up'!$H$21="","",'Tune-Up'!$H$21)</f>
        <v/>
      </c>
      <c r="DB318" s="703">
        <f>IF(COUNT($CO$308:$CO$315)=0,"N/A",IFERROR(INDEX($DB$308:$DB$315,MATCH(MAX($CO$308:$CO$315),$CO$308:$CO$315,0)),"N/A"))</f>
        <v/>
      </c>
      <c r="DC318" s="771">
        <f>IF(DA318="","",10^(DA318/10))</f>
        <v/>
      </c>
      <c r="DD318" s="1371">
        <f>IF(ISNUMBER(DB318)=FALSE,"N/A",10^(DB318/10))</f>
        <v/>
      </c>
      <c r="DE318" s="1545">
        <f>IF(AND(ISNUMBER(DC318),ISNUMBER(DD318)),IF(DC318/DD318&gt;1,ROUND((DC318)/DD318,3),1),1)</f>
        <v/>
      </c>
      <c r="DF318" s="1541"/>
      <c r="DG318" s="1541"/>
      <c r="DH318" s="1541"/>
      <c r="DI318" s="1541"/>
      <c r="DJ318" s="1541"/>
      <c r="DK318" s="1541"/>
      <c r="DL318" s="1541"/>
      <c r="DM318" s="1541"/>
      <c r="DN318" s="1541"/>
      <c r="DO318" s="1541"/>
      <c r="DP318" s="1541"/>
      <c r="DQ318" s="1541"/>
      <c r="DR318" s="1541"/>
    </row>
    <row r="319" ht="12.75" x14ac:dyDescent="0.2">
      <c r="A319" s="1541"/>
      <c r="B319" s="1541"/>
      <c r="C319"/>
      <c r="D319" s="130">
        <f>IF(BX$308="Close to Ear","EN 62209-1","EN 62209-2")</f>
        <v/>
      </c>
      <c r="E319" s="130">
        <f>IF(CG319="Close to Ear","2016","2010/A1:2019")</f>
        <v/>
      </c>
      <c r="F319" s="1488" t="inlineStr">
        <is>
          <t>5.1</t>
        </is>
      </c>
      <c r="G319" s="1497"/>
      <c r="H319" s="120">
        <f>BV319</f>
        <v/>
      </c>
      <c r="I319" s="120">
        <f>BW319</f>
        <v/>
      </c>
      <c r="J319" s="687">
        <f>BT319</f>
        <v/>
      </c>
      <c r="K319" s="194">
        <f>BU319</f>
        <v/>
      </c>
      <c r="L319" s="115"/>
      <c r="M319" s="120">
        <f>BZ319</f>
        <v/>
      </c>
      <c r="N319" s="119"/>
      <c r="O319" s="131"/>
      <c r="P319" s="6597"/>
      <c r="Q319" s="131"/>
      <c r="R319" s="131"/>
      <c r="S319" s="120">
        <f>CG319</f>
        <v/>
      </c>
      <c r="T319" s="120">
        <f>CC319</f>
        <v/>
      </c>
      <c r="U319" s="120">
        <f>CD319</f>
        <v/>
      </c>
      <c r="V319" s="119"/>
      <c r="W319" s="197">
        <f>CK319*100</f>
        <v/>
      </c>
      <c r="X319" s="119"/>
      <c r="Y319" s="119"/>
      <c r="Z319" s="119"/>
      <c r="AA319" s="115"/>
      <c r="AB319" s="115"/>
      <c r="AC319" s="689">
        <f>IF(OR(BX$308="Close to Ear",BX$308="Close to Head"),"Head",IF(BX$308="Extremity","Extremity","Body"))</f>
        <v/>
      </c>
      <c r="AD319" s="690">
        <f>CA319</f>
        <v/>
      </c>
      <c r="AE319" s="688">
        <f>CB319</f>
        <v/>
      </c>
      <c r="AF319" s="115"/>
      <c r="AG319" s="808">
        <f>IF(AZ319="","N/A",IF(CQ319="Pass","P","F"))</f>
        <v/>
      </c>
      <c r="AH319" s="129"/>
      <c r="AI319" s="129"/>
      <c r="AJ319" s="129"/>
      <c r="AK319" s="119"/>
      <c r="AL319" s="115"/>
      <c r="AM319" s="119"/>
      <c r="AN319" s="119"/>
      <c r="AO319" s="692"/>
      <c r="AP319" s="692"/>
      <c r="AQ319" s="692"/>
      <c r="AR319" s="692"/>
      <c r="AS319" s="692"/>
      <c r="AT319" s="691">
        <f>CE319</f>
        <v/>
      </c>
      <c r="AU319" s="691">
        <f>CF319</f>
        <v/>
      </c>
      <c r="AV319" s="813"/>
      <c r="AW319" s="813"/>
      <c r="AX319" s="197">
        <f>CZ319</f>
        <v/>
      </c>
      <c r="AY319" s="197">
        <f>DE319</f>
        <v/>
      </c>
      <c r="AZ319" s="3379">
        <f>CO319</f>
        <v/>
      </c>
      <c r="BA319" s="3380"/>
      <c r="BB319" s="197">
        <f>CP319</f>
        <v/>
      </c>
      <c r="BC319" s="813"/>
      <c r="BD319" s="197">
        <f>CR319</f>
        <v/>
      </c>
      <c r="BE319" s="121">
        <f>CS319</f>
        <v/>
      </c>
      <c r="BF319" s="122">
        <f>CT319*60</f>
        <v/>
      </c>
      <c r="BG319" s="121">
        <f>BE319</f>
        <v/>
      </c>
      <c r="BH319" s="122">
        <f>CU319*60</f>
        <v/>
      </c>
      <c r="BI319" s="122">
        <f>CV319</f>
        <v/>
      </c>
      <c r="BJ319" s="117"/>
      <c r="BK319" s="812">
        <f>Overview!$E$7</f>
        <v/>
      </c>
      <c r="BL319" s="117"/>
      <c r="BM319" s="836">
        <f>CW319</f>
        <v/>
      </c>
      <c r="BN319" s="812">
        <f>Overview!$P$153</f>
        <v/>
      </c>
      <c r="BO319" s="117"/>
      <c r="BP319" s="117"/>
      <c r="BQ319" s="115"/>
      <c r="BR319" s="1478" t="inlineStr">
        <is>
          <t>N/A</t>
        </is>
      </c>
      <c r="BS319" s="1548"/>
      <c r="BT319" s="2071" t="inlineStr">
        <is>
          <t>GSM</t>
        </is>
      </c>
      <c r="BU319" s="2071">
        <v>1800</v>
      </c>
      <c r="BV319" s="415">
        <f>Overview!$H$31</f>
        <v/>
      </c>
      <c r="BW319" s="2010"/>
      <c r="BX319" s="2075"/>
      <c r="BY319" s="2072"/>
      <c r="BZ319" s="2072"/>
      <c r="CA319" s="418" t="inlineStr">
        <is>
          <t>Accesorio 1: Funda</t>
        </is>
      </c>
      <c r="CB319" s="201">
        <v>0</v>
      </c>
      <c r="CC319" s="857">
        <f>IF(COUNT($CO$308:$CO$315)=0,"N/A",INDEX($CC$308:$CC$315,MATCH(MAX($CO$308:$CO$315),$CO$308:$CO$315,0)))</f>
        <v/>
      </c>
      <c r="CD319" s="857">
        <f>IF(COUNT($CO$308:$CO$315)=0,"N/A",INDEX($CD$308:$CD$315,MATCH(MAX($CO$308:$CO$315),$CO$308:$CO$315,0)))</f>
        <v/>
      </c>
      <c r="CE319" s="1874"/>
      <c r="CF319" s="1874"/>
      <c r="CG319" s="388" t="inlineStr">
        <is>
          <t>N/A</t>
        </is>
      </c>
      <c r="CH319" s="388">
        <f>BZ319</f>
        <v/>
      </c>
      <c r="CI319" s="388">
        <f>CA319</f>
        <v/>
      </c>
      <c r="CJ319" s="2046"/>
      <c r="CK319" s="2047"/>
      <c r="CL319" s="212">
        <f>IF(CF319=""," ",IF(ABS(CE319-CF319)&lt;=0.125,"Valid","Not valid"))</f>
        <v/>
      </c>
      <c r="CM319" s="213">
        <f> IF(CE319="","",IF(AND(CE319&lt;&gt;"",CF319=""),IF(CE319&gt;=1,"Medir+Sig Max","No"),IF(CF319&lt;&gt;"",IF(CF319&gt;=1,"Medir+Sig Max","No"),"")))</f>
        <v/>
      </c>
      <c r="CN319" s="1794"/>
      <c r="CO319" s="221">
        <f>IF(CK319="",IF(AND(CE319="",CF319=""),"",IF(CF319="",IF(DE319&gt;1,ROUND(DE319*CE319,3),CE319),IF(DE319&gt;1,ROUND(DE319*CF319,3),CF319))),IF(AND(CE319="",CF319=""),"",IF(CF319="",IF(DE319&gt;1,ROUND(DE319*CE319*(1/(CK319)),3),CE319*(1/(CK319))),IF(DE319&gt;1,ROUND(DE319*CF319*(1/(CK319)),3),CF319*(1/(CK319))))))</f>
        <v/>
      </c>
      <c r="CP319" s="2048">
        <f>$CP$3</f>
        <v/>
      </c>
      <c r="CQ319" s="1473">
        <f>IF(CO319="","",IF(CO319&gt;CP319,"Fail","Pass"))</f>
        <v/>
      </c>
      <c r="CR319" s="1482">
        <f>IF(CO319&lt;&gt;"",MAX($CR$3:CR318)+1,"")</f>
        <v/>
      </c>
      <c r="CS319" s="1566">
        <f>MyTimestamp(CQ319)</f>
        <v/>
      </c>
      <c r="CT319" s="1535">
        <f>IF(COUNT(CE319:CF319)=1,15,IF(COUNT(CE319:CF319)=0,0,30))</f>
        <v/>
      </c>
      <c r="CU319" s="1536">
        <f>IF(CT319=0,0,2)</f>
        <v/>
      </c>
      <c r="CV319" s="861" t="inlineStr">
        <is>
          <t>S/02</t>
        </is>
      </c>
      <c r="CW319" s="861" t="inlineStr">
        <is>
          <t>Dasy6</t>
        </is>
      </c>
      <c r="CX319" s="2038"/>
      <c r="CY319" s="2050"/>
      <c r="CZ319" s="1545">
        <f>10^(CJ319/20)*100-100</f>
        <v/>
      </c>
      <c r="DA319" s="1327">
        <f>IF('Tune-Up'!$H$21="","",'Tune-Up'!$H$21)</f>
        <v/>
      </c>
      <c r="DB319" s="703">
        <f>IF(COUNT($CO$308:$CO$315)=0,"N/A",IFERROR(INDEX($DB$308:$DB$315,MATCH(MAX($CO$308:$CO$315),$CO$308:$CO$315,0)),"N/A"))</f>
        <v/>
      </c>
      <c r="DC319" s="771">
        <f>IF(DA319="","",10^(DA319/10))</f>
        <v/>
      </c>
      <c r="DD319" s="1371">
        <f>IF(ISNUMBER(DB319)=FALSE,"N/A",10^(DB319/10))</f>
        <v/>
      </c>
      <c r="DE319" s="1545">
        <f>IF(AND(ISNUMBER(DC319),ISNUMBER(DD319)),IF(DC319/DD319&gt;1,ROUND((DC319)/DD319,3),1),1)</f>
        <v/>
      </c>
      <c r="DF319" s="1541"/>
      <c r="DG319" s="1541"/>
      <c r="DH319" s="1541"/>
      <c r="DI319" s="1541"/>
      <c r="DJ319" s="1541"/>
      <c r="DK319" s="1541"/>
      <c r="DL319" s="1541"/>
      <c r="DM319" s="1541"/>
      <c r="DN319" s="1541"/>
      <c r="DO319" s="1541"/>
      <c r="DP319" s="1541"/>
      <c r="DQ319" s="1541"/>
      <c r="DR319" s="1541"/>
    </row>
    <row r="320" ht="12.75" x14ac:dyDescent="0.2">
      <c r="A320" s="1541"/>
      <c r="B320" s="1541"/>
      <c r="C320"/>
      <c r="D320" s="130">
        <f>IF(BX$308="Close to Ear","EN 62209-1","EN 62209-2")</f>
        <v/>
      </c>
      <c r="E320" s="130">
        <f>IF(CG320="Close to Ear","2016","2010/A1:2019")</f>
        <v/>
      </c>
      <c r="F320" s="1488" t="inlineStr">
        <is>
          <t>5.1</t>
        </is>
      </c>
      <c r="G320" s="1497"/>
      <c r="H320" s="120">
        <f>BV320</f>
        <v/>
      </c>
      <c r="I320" s="120">
        <f>BW320</f>
        <v/>
      </c>
      <c r="J320" s="687">
        <f>BT320</f>
        <v/>
      </c>
      <c r="K320" s="194">
        <f>BU320</f>
        <v/>
      </c>
      <c r="L320" s="115"/>
      <c r="M320" s="120">
        <f>BZ320</f>
        <v/>
      </c>
      <c r="N320" s="119"/>
      <c r="O320" s="131"/>
      <c r="P320" s="6597"/>
      <c r="Q320" s="131"/>
      <c r="R320" s="131"/>
      <c r="S320" s="120">
        <f>CG320</f>
        <v/>
      </c>
      <c r="T320" s="120">
        <f>CC320</f>
        <v/>
      </c>
      <c r="U320" s="120">
        <f>CD320</f>
        <v/>
      </c>
      <c r="V320" s="119"/>
      <c r="W320" s="197">
        <f>CK320*100</f>
        <v/>
      </c>
      <c r="X320" s="119"/>
      <c r="Y320" s="119"/>
      <c r="Z320" s="119"/>
      <c r="AA320" s="115"/>
      <c r="AB320" s="115"/>
      <c r="AC320" s="689">
        <f>IF(OR(BX$308="Close to Ear",BX$308="Close to Head"),"Head",IF(BX$308="Extremity","Extremity","Body"))</f>
        <v/>
      </c>
      <c r="AD320" s="690">
        <f>CA320</f>
        <v/>
      </c>
      <c r="AE320" s="688">
        <f>CB320</f>
        <v/>
      </c>
      <c r="AF320" s="115"/>
      <c r="AG320" s="808">
        <f>IF(AZ320="","N/A",IF(CQ320="Pass","P","F"))</f>
        <v/>
      </c>
      <c r="AH320" s="129"/>
      <c r="AI320" s="129"/>
      <c r="AJ320" s="129"/>
      <c r="AK320" s="119"/>
      <c r="AL320" s="115"/>
      <c r="AM320" s="119"/>
      <c r="AN320" s="119"/>
      <c r="AO320" s="692"/>
      <c r="AP320" s="692"/>
      <c r="AQ320" s="692"/>
      <c r="AR320" s="692"/>
      <c r="AS320" s="692"/>
      <c r="AT320" s="691">
        <f>CE320</f>
        <v/>
      </c>
      <c r="AU320" s="691">
        <f>CF320</f>
        <v/>
      </c>
      <c r="AV320" s="813"/>
      <c r="AW320" s="813"/>
      <c r="AX320" s="197">
        <f>CZ320</f>
        <v/>
      </c>
      <c r="AY320" s="197">
        <f>DE320</f>
        <v/>
      </c>
      <c r="AZ320" s="3379">
        <f>CO320</f>
        <v/>
      </c>
      <c r="BA320" s="3380"/>
      <c r="BB320" s="197">
        <f>CP320</f>
        <v/>
      </c>
      <c r="BC320" s="813"/>
      <c r="BD320" s="197">
        <f>CR320</f>
        <v/>
      </c>
      <c r="BE320" s="121">
        <f>CS320</f>
        <v/>
      </c>
      <c r="BF320" s="122">
        <f>CT320*60</f>
        <v/>
      </c>
      <c r="BG320" s="121">
        <f>BE320</f>
        <v/>
      </c>
      <c r="BH320" s="122">
        <f>CU320*60</f>
        <v/>
      </c>
      <c r="BI320" s="122">
        <f>CV320</f>
        <v/>
      </c>
      <c r="BJ320" s="117"/>
      <c r="BK320" s="812">
        <f>Overview!$E$7</f>
        <v/>
      </c>
      <c r="BL320" s="117"/>
      <c r="BM320" s="836">
        <f>CW320</f>
        <v/>
      </c>
      <c r="BN320" s="812">
        <f>Overview!$P$153</f>
        <v/>
      </c>
      <c r="BO320" s="117"/>
      <c r="BP320" s="117"/>
      <c r="BQ320" s="115"/>
      <c r="BR320" s="1478" t="inlineStr">
        <is>
          <t>N/A</t>
        </is>
      </c>
      <c r="BS320" s="1548"/>
      <c r="BT320" s="2071" t="inlineStr">
        <is>
          <t>GSM</t>
        </is>
      </c>
      <c r="BU320" s="2071">
        <v>1800</v>
      </c>
      <c r="BV320" s="415">
        <f>Overview!$H$31</f>
        <v/>
      </c>
      <c r="BW320" s="2010"/>
      <c r="BX320" s="2075"/>
      <c r="BY320" s="2072"/>
      <c r="BZ320" s="2072"/>
      <c r="CA320" s="418" t="inlineStr">
        <is>
          <t>Accesorio 2: Clip</t>
        </is>
      </c>
      <c r="CB320" s="201">
        <v>0</v>
      </c>
      <c r="CC320" s="857">
        <f>IF(COUNT($CO$308:$CO$315)=0,"N/A",INDEX($CC$308:$CC$315,MATCH(MAX($CO$308:$CO$315),$CO$308:$CO$315,0)))</f>
        <v/>
      </c>
      <c r="CD320" s="857">
        <f>IF(COUNT($CO$308:$CO$315)=0,"N/A",INDEX($CD$308:$CD$315,MATCH(MAX($CO$308:$CO$315),$CO$308:$CO$315,0)))</f>
        <v/>
      </c>
      <c r="CE320" s="1874"/>
      <c r="CF320" s="1874"/>
      <c r="CG320" s="388" t="inlineStr">
        <is>
          <t>N/A</t>
        </is>
      </c>
      <c r="CH320" s="388">
        <f>BZ320</f>
        <v/>
      </c>
      <c r="CI320" s="388">
        <f>CA320</f>
        <v/>
      </c>
      <c r="CJ320" s="2046"/>
      <c r="CK320" s="2047"/>
      <c r="CL320" s="212">
        <f>IF(CF320=""," ",IF(ABS(CE320-CF320)&lt;=0.125,"Valid","Not valid"))</f>
        <v/>
      </c>
      <c r="CM320" s="213">
        <f> IF(CE320="","",IF(AND(CE320&lt;&gt;"",CF320=""),IF(CE320&gt;=1,"Medir+Sig Max","No"),IF(CF320&lt;&gt;"",IF(CF320&gt;=1,"Medir+Sig Max","No"),"")))</f>
        <v/>
      </c>
      <c r="CN320" s="1794"/>
      <c r="CO320" s="221">
        <f>IF(CK320="",IF(AND(CE320="",CF320=""),"",IF(CF320="",IF(DE320&gt;1,ROUND(DE320*CE320,3),CE320),IF(DE320&gt;1,ROUND(DE320*CF320,3),CF320))),IF(AND(CE320="",CF320=""),"",IF(CF320="",IF(DE320&gt;1,ROUND(DE320*CE320*(1/(CK320)),3),CE320*(1/(CK320))),IF(DE320&gt;1,ROUND(DE320*CF320*(1/(CK320)),3),CF320*(1/(CK320))))))</f>
        <v/>
      </c>
      <c r="CP320" s="2048">
        <f>$CP$3</f>
        <v/>
      </c>
      <c r="CQ320" s="1473">
        <f>IF(CO320="","",IF(CO320&gt;CP320,"Fail","Pass"))</f>
        <v/>
      </c>
      <c r="CR320" s="1482">
        <f>IF(CO320&lt;&gt;"",MAX($CR$3:CR319)+1,"")</f>
        <v/>
      </c>
      <c r="CS320" s="1566">
        <f>MyTimestamp(CQ320)</f>
        <v/>
      </c>
      <c r="CT320" s="1535">
        <f>IF(COUNT(CE320:CF320)=1,15,IF(COUNT(CE320:CF320)=0,0,30))</f>
        <v/>
      </c>
      <c r="CU320" s="1536">
        <f>IF(CT320=0,0,2)</f>
        <v/>
      </c>
      <c r="CV320" s="861" t="inlineStr">
        <is>
          <t>S/02</t>
        </is>
      </c>
      <c r="CW320" s="861" t="inlineStr">
        <is>
          <t>Dasy6</t>
        </is>
      </c>
      <c r="CX320" s="2038"/>
      <c r="CY320" s="2050"/>
      <c r="CZ320" s="1545">
        <f>10^(CJ320/20)*100-100</f>
        <v/>
      </c>
      <c r="DA320" s="1327">
        <f>IF('Tune-Up'!$H$21="","",'Tune-Up'!$H$21)</f>
        <v/>
      </c>
      <c r="DB320" s="703">
        <f>IF(COUNT($CO$308:$CO$315)=0,"N/A",IFERROR(INDEX($DB$308:$DB$315,MATCH(MAX($CO$308:$CO$315),$CO$308:$CO$315,0)),"N/A"))</f>
        <v/>
      </c>
      <c r="DC320" s="771">
        <f>IF(DA320="","",10^(DA320/10))</f>
        <v/>
      </c>
      <c r="DD320" s="1371">
        <f>IF(ISNUMBER(DB320)=FALSE,"N/A",10^(DB320/10))</f>
        <v/>
      </c>
      <c r="DE320" s="1545">
        <f>IF(AND(ISNUMBER(DC320),ISNUMBER(DD320)),IF(DC320/DD320&gt;1,ROUND((DC320)/DD320,3),1),1)</f>
        <v/>
      </c>
      <c r="DF320" s="1541"/>
      <c r="DG320" s="1541"/>
      <c r="DH320" s="1541"/>
      <c r="DI320" s="1541"/>
      <c r="DJ320" s="1541"/>
      <c r="DK320" s="1541"/>
      <c r="DL320" s="1541"/>
      <c r="DM320" s="1541"/>
      <c r="DN320" s="1541"/>
      <c r="DO320" s="1541"/>
      <c r="DP320" s="1541"/>
      <c r="DQ320" s="1541"/>
      <c r="DR320" s="1541"/>
    </row>
    <row r="321" ht="12.75" x14ac:dyDescent="0.2">
      <c r="A321" s="1541"/>
      <c r="B321" s="1541"/>
      <c r="C321"/>
      <c r="D321" s="130">
        <f>IF(BX$321="Close to Ear","EN 62209-1","EN 62209-2")</f>
        <v/>
      </c>
      <c r="E321" s="130">
        <f>IF(CG321="Close to Ear","2016","2010/A1:2019")</f>
        <v/>
      </c>
      <c r="F321" s="1488" t="inlineStr">
        <is>
          <t>5.1</t>
        </is>
      </c>
      <c r="G321" s="1497"/>
      <c r="H321" s="120">
        <f>BV321</f>
        <v/>
      </c>
      <c r="I321" s="120">
        <f>BW321</f>
        <v/>
      </c>
      <c r="J321" s="687" t="str">
        <f>BT321</f>
        <v>GSM</v>
      </c>
      <c r="K321" s="194">
        <f>BU321</f>
        <v>1800</v>
      </c>
      <c r="L321" s="115"/>
      <c r="M321" s="120">
        <f>BZ321</f>
        <v>0</v>
      </c>
      <c r="N321" s="119"/>
      <c r="O321" s="131"/>
      <c r="P321" s="6597"/>
      <c r="Q321" s="131"/>
      <c r="R321" s="131"/>
      <c r="S321" s="120">
        <f>CG321</f>
        <v>0</v>
      </c>
      <c r="T321" s="120">
        <f>CC321</f>
        <v>698</v>
      </c>
      <c r="U321" s="120">
        <f>CD321</f>
        <v>1747.4</v>
      </c>
      <c r="V321" s="119"/>
      <c r="W321" s="197">
        <f>CK321*100</f>
        <v/>
      </c>
      <c r="X321" s="119"/>
      <c r="Y321" s="119"/>
      <c r="Z321" s="119"/>
      <c r="AA321" s="115"/>
      <c r="AB321" s="115"/>
      <c r="AC321" s="689">
        <f>IF(OR(BX$321="Close to Ear",BX$321="Close to Head"),"Head",IF(BX$321="Extremity","Extremity","Body"))</f>
        <v/>
      </c>
      <c r="AD321" s="690">
        <f>CA321</f>
        <v/>
      </c>
      <c r="AE321" s="688">
        <f>CB321</f>
        <v/>
      </c>
      <c r="AF321" s="115"/>
      <c r="AG321" s="808">
        <f>IF(AZ321="","N/A",IF(CQ321="Pass","P","F"))</f>
        <v/>
      </c>
      <c r="AH321" s="129"/>
      <c r="AI321" s="129"/>
      <c r="AJ321" s="129"/>
      <c r="AK321" s="119"/>
      <c r="AL321" s="115"/>
      <c r="AM321" s="119"/>
      <c r="AN321" s="119"/>
      <c r="AO321" s="692"/>
      <c r="AP321" s="692"/>
      <c r="AQ321" s="692"/>
      <c r="AR321" s="692"/>
      <c r="AS321" s="692"/>
      <c r="AT321" s="691">
        <f>CE321</f>
        <v/>
      </c>
      <c r="AU321" s="691">
        <f>CF321</f>
        <v/>
      </c>
      <c r="AV321" s="813"/>
      <c r="AW321" s="813"/>
      <c r="AX321" s="197">
        <f>CZ321</f>
        <v/>
      </c>
      <c r="AY321" s="197">
        <f>DE321</f>
        <v/>
      </c>
      <c r="AZ321" s="3379">
        <f>CO321</f>
        <v/>
      </c>
      <c r="BA321" s="3380"/>
      <c r="BB321" s="197">
        <f>CP321</f>
        <v/>
      </c>
      <c r="BC321" s="813"/>
      <c r="BD321" s="197">
        <f>CR321</f>
        <v/>
      </c>
      <c r="BE321" s="121">
        <f>CS321</f>
        <v/>
      </c>
      <c r="BF321" s="122">
        <f>CT321*60</f>
        <v/>
      </c>
      <c r="BG321" s="121">
        <f>BE321</f>
        <v/>
      </c>
      <c r="BH321" s="122">
        <f>CU321*60</f>
        <v/>
      </c>
      <c r="BI321" s="122">
        <f>CV321</f>
        <v/>
      </c>
      <c r="BJ321" s="117"/>
      <c r="BK321" s="812">
        <f>Overview!$E$7</f>
        <v/>
      </c>
      <c r="BL321" s="117"/>
      <c r="BM321" s="836">
        <f>CW321</f>
        <v/>
      </c>
      <c r="BN321" s="812">
        <f>Overview!$P$153</f>
        <v/>
      </c>
      <c r="BO321" s="117"/>
      <c r="BP321" s="117"/>
      <c r="BQ321" s="115"/>
      <c r="BR321" s="1478" t="inlineStr">
        <is>
          <t>N/A</t>
        </is>
      </c>
      <c r="BS321" s="1548"/>
      <c r="BT321" s="2071" t="inlineStr">
        <is>
          <t>GSM</t>
        </is>
      </c>
      <c r="BU321" s="2071">
        <v>1800</v>
      </c>
      <c r="BV321" s="415">
        <f>Overview!$H$31</f>
        <v/>
      </c>
      <c r="BW321" s="2010"/>
      <c r="BX321" s="7675" t="inlineStr">
        <is>
          <t>Extremity</t>
        </is>
      </c>
      <c r="BY321" s="2072"/>
      <c r="BZ321" s="2072"/>
      <c r="CA321" s="1996" t="inlineStr">
        <is>
          <t>Front Face</t>
        </is>
      </c>
      <c r="CB321" s="200">
        <v>5</v>
      </c>
      <c r="CC321" s="856">
        <f>'2G-3G'!BX36</f>
        <v>698</v>
      </c>
      <c r="CD321" s="856">
        <f>'2G-3G'!BY36</f>
        <v>1747.4</v>
      </c>
      <c r="CE321" s="2051"/>
      <c r="CF321" s="2051"/>
      <c r="CG321" s="389" t="str">
        <f>IF(OR($BY$167="",$BY$167=""),"",$BY$167)</f>
        <v/>
      </c>
      <c r="CH321" s="389">
        <f>BZ321</f>
        <v/>
      </c>
      <c r="CI321" s="389">
        <f>CA321</f>
        <v/>
      </c>
      <c r="CJ321" s="2052"/>
      <c r="CK321" s="2070"/>
      <c r="CL321" s="203">
        <f>IF(CF321=""," ",IF(ABS(CE321-CF321)&lt;=0.25,"Valid","Not valid"))</f>
        <v/>
      </c>
      <c r="CM321" s="204">
        <f> IF(CE321="","",IF(AND(CE321&lt;&gt;"",CF321=""),IF(CE321&gt;=2,"Medir+Sig Max","No"),IF(CF321&lt;&gt;"",IF(CF321&gt;=2,"Medir+Sig Max","No"),"")))</f>
        <v/>
      </c>
      <c r="CN321" s="1798"/>
      <c r="CO321" s="222">
        <f>IF(CK321="",IF(AND(CE321="",CF321=""),"",IF(CF321="",IF(DE321&gt;1,ROUND(DE321*CE321,3),CE321),IF(DE321&gt;1,ROUND(DE321*CF321,3),CF321))),IF(AND(CE321="",CF321=""),"",IF(CF321="",IF(DE321&gt;1,ROUND(DE321*CE321*(1/(CK321)),3),CE321*(1/(CK321))),IF(DE321&gt;1,ROUND(DE321*CF321*(1/(CK321)),3),CF321*(1/(CK321))))))</f>
        <v/>
      </c>
      <c r="CP321" s="2053">
        <f>$CP$34</f>
        <v/>
      </c>
      <c r="CQ321" s="1474">
        <f>IF(CO321="","",IF(CO321&gt;CP321,"Fail","Pass"))</f>
        <v/>
      </c>
      <c r="CR321" s="1480">
        <f>IF(AND(MAX(CO321:CO328)=CO321,CO321&lt;&gt;0),COUNT($CR$3:CR315)+1,"")</f>
        <v/>
      </c>
      <c r="CS321" s="2054">
        <f>MyTimestamp(CO321)</f>
        <v/>
      </c>
      <c r="CT321" s="1537">
        <f>IF(CE321="",0,15)+IF(CF321="",0,15)</f>
        <v/>
      </c>
      <c r="CU321" s="1538">
        <f>IF(CT321=0,0,2)</f>
        <v/>
      </c>
      <c r="CV321" s="2055" t="inlineStr">
        <is>
          <t>S/02</t>
        </is>
      </c>
      <c r="CW321" s="2055" t="inlineStr">
        <is>
          <t>Dasy6</t>
        </is>
      </c>
      <c r="CX321" s="2038"/>
      <c r="CY321" s="2056"/>
      <c r="CZ321" s="1546">
        <f>10^(CJ321/20)*100-100</f>
        <v/>
      </c>
      <c r="DA321" s="1324">
        <f>IF('Tune-Up'!$H$21="","",'Tune-Up'!$H$21)</f>
        <v/>
      </c>
      <c r="DB321" s="700">
        <f>'2G-3G'!BZ36</f>
        <v/>
      </c>
      <c r="DC321" s="768">
        <f>IF(DA321="","",10^(DA321/10))</f>
        <v/>
      </c>
      <c r="DD321" s="1368">
        <f>IF(ISNUMBER(DB321)=FALSE,"",10^(DB321/10))</f>
        <v/>
      </c>
      <c r="DE321" s="1546">
        <f>IF(AND(ISNUMBER(DC321),ISNUMBER(DD321)),IF(DC321/DD321&gt;1,ROUND((DC321)/DD321,3),1),1)</f>
        <v/>
      </c>
      <c r="DF321" s="1541"/>
      <c r="DG321" s="1541"/>
      <c r="DH321" s="1541"/>
      <c r="DI321" s="1541"/>
      <c r="DJ321" s="1541"/>
      <c r="DK321" s="1541"/>
      <c r="DL321" s="1541"/>
      <c r="DM321" s="1541"/>
      <c r="DN321" s="1541"/>
      <c r="DO321" s="1541"/>
      <c r="DP321" s="1541"/>
      <c r="DQ321" s="1541"/>
      <c r="DR321" s="1541"/>
    </row>
    <row r="322" ht="12.75" x14ac:dyDescent="0.2">
      <c r="A322" s="1541"/>
      <c r="B322" s="1541"/>
      <c r="C322"/>
      <c r="D322" s="130">
        <f>IF(BX$321="Close to Ear","EN 62209-1","EN 62209-2")</f>
        <v/>
      </c>
      <c r="E322" s="130">
        <f>IF(CG322="Close to Ear","2016","2010/A1:2019")</f>
        <v/>
      </c>
      <c r="F322" s="1488" t="inlineStr">
        <is>
          <t>5.1</t>
        </is>
      </c>
      <c r="G322" s="1497"/>
      <c r="H322" s="120">
        <f>BV322</f>
        <v/>
      </c>
      <c r="I322" s="120">
        <f>BW322</f>
        <v/>
      </c>
      <c r="J322" s="687" t="str">
        <f>BT322</f>
        <v>GSM</v>
      </c>
      <c r="K322" s="194">
        <f>BU322</f>
        <v>1800</v>
      </c>
      <c r="L322" s="115"/>
      <c r="M322" s="120">
        <f>BZ322</f>
        <v>0</v>
      </c>
      <c r="N322" s="119"/>
      <c r="O322" s="131"/>
      <c r="P322" s="6597"/>
      <c r="Q322" s="131"/>
      <c r="R322" s="131"/>
      <c r="S322" s="120">
        <f>CG322</f>
        <v>0</v>
      </c>
      <c r="T322" s="120">
        <f>CC322</f>
        <v>698</v>
      </c>
      <c r="U322" s="120">
        <f>CD322</f>
        <v>1747.4</v>
      </c>
      <c r="V322" s="119"/>
      <c r="W322" s="197">
        <f>CK322*100</f>
        <v/>
      </c>
      <c r="X322" s="119"/>
      <c r="Y322" s="119"/>
      <c r="Z322" s="119"/>
      <c r="AA322" s="115"/>
      <c r="AB322" s="115"/>
      <c r="AC322" s="689">
        <f>IF(OR(BX$321="Close to Ear",BX$321="Close to Head"),"Head",IF(BX$321="Extremity","Extremity","Body"))</f>
        <v/>
      </c>
      <c r="AD322" s="690">
        <f>CA322</f>
        <v/>
      </c>
      <c r="AE322" s="688">
        <f>CB322</f>
        <v/>
      </c>
      <c r="AF322" s="115"/>
      <c r="AG322" s="808">
        <f>IF(AZ322="","N/A",IF(CQ322="Pass","P","F"))</f>
        <v/>
      </c>
      <c r="AH322" s="129"/>
      <c r="AI322" s="129"/>
      <c r="AJ322" s="129"/>
      <c r="AK322" s="119"/>
      <c r="AL322" s="115"/>
      <c r="AM322" s="119"/>
      <c r="AN322" s="119"/>
      <c r="AO322" s="692"/>
      <c r="AP322" s="692"/>
      <c r="AQ322" s="692"/>
      <c r="AR322" s="692"/>
      <c r="AS322" s="692"/>
      <c r="AT322" s="691">
        <f>CE322</f>
        <v/>
      </c>
      <c r="AU322" s="691">
        <f>CF322</f>
        <v/>
      </c>
      <c r="AV322" s="813"/>
      <c r="AW322" s="813"/>
      <c r="AX322" s="197">
        <f>CZ322</f>
        <v/>
      </c>
      <c r="AY322" s="197">
        <f>DE322</f>
        <v/>
      </c>
      <c r="AZ322" s="3379">
        <f>CO322</f>
        <v/>
      </c>
      <c r="BA322" s="3380"/>
      <c r="BB322" s="197">
        <f>CP322</f>
        <v/>
      </c>
      <c r="BC322" s="813"/>
      <c r="BD322" s="197">
        <f>CR322</f>
        <v/>
      </c>
      <c r="BE322" s="121">
        <f>CS322</f>
        <v/>
      </c>
      <c r="BF322" s="122">
        <f>CT322*60</f>
        <v/>
      </c>
      <c r="BG322" s="121">
        <f>BE322</f>
        <v/>
      </c>
      <c r="BH322" s="122">
        <f>CU322*60</f>
        <v/>
      </c>
      <c r="BI322" s="122">
        <f>CV322</f>
        <v/>
      </c>
      <c r="BJ322" s="117"/>
      <c r="BK322" s="812">
        <f>Overview!$E$7</f>
        <v/>
      </c>
      <c r="BL322" s="117"/>
      <c r="BM322" s="836">
        <f>CW322</f>
        <v/>
      </c>
      <c r="BN322" s="812">
        <f>Overview!$P$153</f>
        <v/>
      </c>
      <c r="BO322" s="117"/>
      <c r="BP322" s="117"/>
      <c r="BQ322" s="115"/>
      <c r="BR322" s="1478" t="inlineStr">
        <is>
          <t>N/A</t>
        </is>
      </c>
      <c r="BS322" s="1548"/>
      <c r="BT322" s="2071" t="inlineStr">
        <is>
          <t>GSM</t>
        </is>
      </c>
      <c r="BU322" s="2071">
        <v>1800</v>
      </c>
      <c r="BV322" s="415">
        <f>Overview!$H$31</f>
        <v/>
      </c>
      <c r="BW322" s="2010"/>
      <c r="BX322" s="2071"/>
      <c r="BY322" s="2072"/>
      <c r="BZ322" s="2072"/>
      <c r="CA322" s="1997" t="inlineStr">
        <is>
          <t>Back Face</t>
        </is>
      </c>
      <c r="CB322" s="200">
        <v>5</v>
      </c>
      <c r="CC322" s="902">
        <f>'2G-3G'!BX36</f>
        <v>698</v>
      </c>
      <c r="CD322" s="902">
        <f>'2G-3G'!BY36</f>
        <v>1747.4</v>
      </c>
      <c r="CE322" s="1523"/>
      <c r="CF322" s="1523"/>
      <c r="CG322" s="387" t="str">
        <f>IF(OR($BY$167="",$BY$167=""),"",$BY$167)</f>
        <v/>
      </c>
      <c r="CH322" s="387">
        <f>BZ322</f>
        <v/>
      </c>
      <c r="CI322" s="387">
        <f>CA322</f>
        <v/>
      </c>
      <c r="CJ322" s="1527"/>
      <c r="CK322" s="2042"/>
      <c r="CL322" s="206">
        <f>IF(CF322=""," ",IF(ABS(CE322-CF322)&lt;=0.25,"Valid","Not valid"))</f>
        <v/>
      </c>
      <c r="CM322" s="207">
        <f> IF(CE322="","",IF(AND(CE322&lt;&gt;"",CF322=""),IF(CE322&gt;=2,"Medir+Sig Max","No"),IF(CF322&lt;&gt;"",IF(CF322&gt;=2,"Medir+Sig Max","No"),"")))</f>
        <v/>
      </c>
      <c r="CN322" s="1787"/>
      <c r="CO322" s="220">
        <f>IF(CK322="",IF(AND(CE322="",CF322=""),"",IF(CF322="",IF(DE322&gt;1,ROUND(DE322*CE322,3),CE322),IF(DE322&gt;1,ROUND(DE322*CF322,3),CF322))),IF(AND(CE322="",CF322=""),"",IF(CF322="",IF(DE322&gt;1,ROUND(DE322*CE322*(1/(CK322)),3),CE322*(1/(CK322))),IF(DE322&gt;1,ROUND(DE322*CF322*(1/(CK322)),3),CF322*(1/(CK322))))))</f>
        <v/>
      </c>
      <c r="CP322" s="2043">
        <f>$CP$34</f>
        <v/>
      </c>
      <c r="CQ322" s="1472">
        <f>IF(CO322="","",IF(CO322&gt;CP322,"Fail","Pass"))</f>
        <v/>
      </c>
      <c r="CR322" s="1481">
        <f>IF(AND(MAX(CO321:CO328)=CO322,CO322&lt;&gt;0),COUNT($CR$3:CR321)+1,"")</f>
        <v/>
      </c>
      <c r="CS322" s="1565">
        <f>MyTimestamp(CO322)</f>
        <v/>
      </c>
      <c r="CT322" s="1531">
        <f>IF(CE322="",0,15)+IF(CF322="",0,15)</f>
        <v/>
      </c>
      <c r="CU322" s="1532">
        <f>IF(CT322=0,0,2)</f>
        <v/>
      </c>
      <c r="CV322" s="859" t="inlineStr">
        <is>
          <t>S/02</t>
        </is>
      </c>
      <c r="CW322" s="859" t="inlineStr">
        <is>
          <t>Dasy6</t>
        </is>
      </c>
      <c r="CX322" s="2038"/>
      <c r="CY322" s="2044"/>
      <c r="CZ322" s="1543">
        <f>10^(CJ322/20)*100-100</f>
        <v/>
      </c>
      <c r="DA322" s="1325">
        <f>IF('Tune-Up'!$H$21="","",'Tune-Up'!$H$21)</f>
        <v/>
      </c>
      <c r="DB322" s="701">
        <f>'2G-3G'!BZ36</f>
        <v/>
      </c>
      <c r="DC322" s="769">
        <f>IF(DA322="","",10^(DA322/10))</f>
        <v/>
      </c>
      <c r="DD322" s="1369">
        <f>IF(ISNUMBER(DB322)=FALSE,"",10^(DB322/10))</f>
        <v/>
      </c>
      <c r="DE322" s="1543">
        <f>IF(AND(ISNUMBER(DC322),ISNUMBER(DD322)),IF(DC322/DD322&gt;1,ROUND((DC322)/DD322,3),1),1)</f>
        <v/>
      </c>
      <c r="DF322" s="1541"/>
      <c r="DG322" s="1541"/>
      <c r="DH322" s="1541"/>
      <c r="DI322" s="1541"/>
      <c r="DJ322" s="1541"/>
      <c r="DK322" s="1541"/>
      <c r="DL322" s="1541"/>
      <c r="DM322" s="1541"/>
      <c r="DN322" s="1541"/>
      <c r="DO322" s="1541"/>
      <c r="DP322" s="1541"/>
      <c r="DQ322" s="1541"/>
      <c r="DR322" s="1541"/>
    </row>
    <row r="323" ht="12.75" x14ac:dyDescent="0.2">
      <c r="A323" s="1541"/>
      <c r="B323" s="1541"/>
      <c r="C323"/>
      <c r="D323" s="130">
        <f>IF(BX$321="Close to Ear","EN 62209-1","EN 62209-2")</f>
        <v/>
      </c>
      <c r="E323" s="130">
        <f>IF(CG323="Close to Ear","2016","2010/A1:2019")</f>
        <v/>
      </c>
      <c r="F323" s="1488" t="inlineStr">
        <is>
          <t>5.1</t>
        </is>
      </c>
      <c r="G323" s="1497"/>
      <c r="H323" s="120">
        <f>BV323</f>
        <v/>
      </c>
      <c r="I323" s="120">
        <f>BW323</f>
        <v/>
      </c>
      <c r="J323" s="687" t="str">
        <f>BT323</f>
        <v>GSM</v>
      </c>
      <c r="K323" s="194">
        <f>BU323</f>
        <v>1800</v>
      </c>
      <c r="L323" s="115"/>
      <c r="M323" s="120">
        <f>BZ323</f>
        <v>0</v>
      </c>
      <c r="N323" s="119"/>
      <c r="O323" s="131"/>
      <c r="P323" s="6597"/>
      <c r="Q323" s="131"/>
      <c r="R323" s="131"/>
      <c r="S323" s="120">
        <f>CG323</f>
        <v>0</v>
      </c>
      <c r="T323" s="120">
        <f>CC323</f>
        <v>698</v>
      </c>
      <c r="U323" s="120">
        <f>CD323</f>
        <v>1747.4</v>
      </c>
      <c r="V323" s="119"/>
      <c r="W323" s="197">
        <f>CK323*100</f>
        <v/>
      </c>
      <c r="X323" s="119"/>
      <c r="Y323" s="119"/>
      <c r="Z323" s="119"/>
      <c r="AA323" s="115"/>
      <c r="AB323" s="115"/>
      <c r="AC323" s="689">
        <f>IF(OR(BX$321="Close to Ear",BX$321="Close to Head"),"Head",IF(BX$321="Extremity","Extremity","Body"))</f>
        <v/>
      </c>
      <c r="AD323" s="690">
        <f>CA323</f>
        <v/>
      </c>
      <c r="AE323" s="688">
        <f>CB323</f>
        <v/>
      </c>
      <c r="AF323" s="115"/>
      <c r="AG323" s="808">
        <f>IF(AZ323="","N/A",IF(CQ323="Pass","P","F"))</f>
        <v/>
      </c>
      <c r="AH323" s="129"/>
      <c r="AI323" s="129"/>
      <c r="AJ323" s="129"/>
      <c r="AK323" s="119"/>
      <c r="AL323" s="115"/>
      <c r="AM323" s="119"/>
      <c r="AN323" s="119"/>
      <c r="AO323" s="692"/>
      <c r="AP323" s="692"/>
      <c r="AQ323" s="692"/>
      <c r="AR323" s="692"/>
      <c r="AS323" s="692"/>
      <c r="AT323" s="691">
        <f>CE323</f>
        <v/>
      </c>
      <c r="AU323" s="691">
        <f>CF323</f>
        <v/>
      </c>
      <c r="AV323" s="813"/>
      <c r="AW323" s="813"/>
      <c r="AX323" s="197">
        <f>CZ323</f>
        <v/>
      </c>
      <c r="AY323" s="197">
        <f>DE323</f>
        <v/>
      </c>
      <c r="AZ323" s="3379">
        <f>CO323</f>
        <v/>
      </c>
      <c r="BA323" s="3380"/>
      <c r="BB323" s="197">
        <f>CP323</f>
        <v/>
      </c>
      <c r="BC323" s="813"/>
      <c r="BD323" s="197">
        <f>CR323</f>
        <v/>
      </c>
      <c r="BE323" s="121">
        <f>CS323</f>
        <v/>
      </c>
      <c r="BF323" s="122">
        <f>CT323*60</f>
        <v/>
      </c>
      <c r="BG323" s="121">
        <f>BE323</f>
        <v/>
      </c>
      <c r="BH323" s="122">
        <f>CU323*60</f>
        <v/>
      </c>
      <c r="BI323" s="122">
        <f>CV323</f>
        <v/>
      </c>
      <c r="BJ323" s="117"/>
      <c r="BK323" s="812">
        <f>Overview!$E$7</f>
        <v/>
      </c>
      <c r="BL323" s="117"/>
      <c r="BM323" s="836">
        <f>CW323</f>
        <v/>
      </c>
      <c r="BN323" s="812">
        <f>Overview!$P$153</f>
        <v/>
      </c>
      <c r="BO323" s="117"/>
      <c r="BP323" s="117"/>
      <c r="BQ323" s="115"/>
      <c r="BR323" s="1478" t="inlineStr">
        <is>
          <t>N/A</t>
        </is>
      </c>
      <c r="BS323" s="1548"/>
      <c r="BT323" s="2071" t="inlineStr">
        <is>
          <t>GSM</t>
        </is>
      </c>
      <c r="BU323" s="2071">
        <v>1800</v>
      </c>
      <c r="BV323" s="415">
        <f>Overview!$H$31</f>
        <v/>
      </c>
      <c r="BW323" s="2010"/>
      <c r="BX323" s="2071"/>
      <c r="BY323" s="2072"/>
      <c r="BZ323" s="2072"/>
      <c r="CA323" s="1997" t="inlineStr">
        <is>
          <t>Left Edge</t>
        </is>
      </c>
      <c r="CB323" s="200">
        <v>5</v>
      </c>
      <c r="CC323" s="902">
        <f>'2G-3G'!BX36</f>
        <v>698</v>
      </c>
      <c r="CD323" s="902">
        <f>'2G-3G'!BY36</f>
        <v>1747.4</v>
      </c>
      <c r="CE323" s="1523"/>
      <c r="CF323" s="1523"/>
      <c r="CG323" s="387" t="str">
        <f>IF(OR($BY$167="",$BY$167=""),"",$BY$167)</f>
        <v/>
      </c>
      <c r="CH323" s="387">
        <f>BZ323</f>
        <v/>
      </c>
      <c r="CI323" s="387">
        <f>CA323</f>
        <v/>
      </c>
      <c r="CJ323" s="1527"/>
      <c r="CK323" s="2042"/>
      <c r="CL323" s="206">
        <f>IF(CF323=""," ",IF(ABS(CE323-CF323)&lt;=0.25,"Valid","Not valid"))</f>
        <v/>
      </c>
      <c r="CM323" s="207">
        <f> IF(CE323="","",IF(AND(CE323&lt;&gt;"",CF323=""),IF(CE323&gt;=2,"Medir+Sig Max","No"),IF(CF323&lt;&gt;"",IF(CF323&gt;=2,"Medir+Sig Max","No"),"")))</f>
        <v/>
      </c>
      <c r="CN323" s="1787"/>
      <c r="CO323" s="220">
        <f>IF(CK323="",IF(AND(CE323="",CF323=""),"",IF(CF323="",IF(DE323&gt;1,ROUND(DE323*CE323,3),CE323),IF(DE323&gt;1,ROUND(DE323*CF323,3),CF323))),IF(AND(CE323="",CF323=""),"",IF(CF323="",IF(DE323&gt;1,ROUND(DE323*CE323*(1/(CK323)),3),CE323*(1/(CK323))),IF(DE323&gt;1,ROUND(DE323*CF323*(1/(CK323)),3),CF323*(1/(CK323))))))</f>
        <v/>
      </c>
      <c r="CP323" s="2043">
        <f>$CP$34</f>
        <v/>
      </c>
      <c r="CQ323" s="1472">
        <f>IF(CO323="","",IF(CO323&gt;CP323,"Fail","Pass"))</f>
        <v/>
      </c>
      <c r="CR323" s="1481">
        <f>IF(AND(MAX(CO321:CO328)=CO323,CO323&lt;&gt;0),COUNT($CR$3:CR322)+1,"")</f>
        <v/>
      </c>
      <c r="CS323" s="1565">
        <f>MyTimestamp(CO323)</f>
        <v/>
      </c>
      <c r="CT323" s="1531">
        <f>IF(CE323="",0,15)+IF(CF323="",0,15)</f>
        <v/>
      </c>
      <c r="CU323" s="1532">
        <f>IF(CT323=0,0,2)</f>
        <v/>
      </c>
      <c r="CV323" s="859" t="inlineStr">
        <is>
          <t>S/02</t>
        </is>
      </c>
      <c r="CW323" s="859" t="inlineStr">
        <is>
          <t>Dasy6</t>
        </is>
      </c>
      <c r="CX323" s="2038"/>
      <c r="CY323" s="2044"/>
      <c r="CZ323" s="1543">
        <f>10^(CJ323/20)*100-100</f>
        <v/>
      </c>
      <c r="DA323" s="1325">
        <f>IF('Tune-Up'!$H$21="","",'Tune-Up'!$H$21)</f>
        <v/>
      </c>
      <c r="DB323" s="701">
        <f>'2G-3G'!BZ36</f>
        <v/>
      </c>
      <c r="DC323" s="769">
        <f>IF(DA323="","",10^(DA323/10))</f>
        <v/>
      </c>
      <c r="DD323" s="1369">
        <f>IF(ISNUMBER(DB323)=FALSE,"",10^(DB323/10))</f>
        <v/>
      </c>
      <c r="DE323" s="1543">
        <f>IF(AND(ISNUMBER(DC323),ISNUMBER(DD323)),IF(DC323/DD323&gt;1,ROUND((DC323)/DD323,3),1),1)</f>
        <v/>
      </c>
      <c r="DF323" s="1541"/>
      <c r="DG323" s="1541"/>
      <c r="DH323" s="1541"/>
      <c r="DI323" s="1541"/>
      <c r="DJ323" s="1541"/>
      <c r="DK323" s="1541"/>
      <c r="DL323" s="1541"/>
      <c r="DM323" s="1541"/>
      <c r="DN323" s="1541"/>
      <c r="DO323" s="1541"/>
      <c r="DP323" s="1541"/>
      <c r="DQ323" s="1541"/>
      <c r="DR323" s="1541"/>
    </row>
    <row r="324" ht="12.75" x14ac:dyDescent="0.2">
      <c r="A324" s="1541"/>
      <c r="B324" s="1541"/>
      <c r="C324"/>
      <c r="D324" s="130">
        <f>IF(BX$321="Close to Ear","EN 62209-1","EN 62209-2")</f>
        <v/>
      </c>
      <c r="E324" s="130">
        <f>IF(CG324="Close to Ear","2016","2010/A1:2019")</f>
        <v/>
      </c>
      <c r="F324" s="1488" t="inlineStr">
        <is>
          <t>5.1</t>
        </is>
      </c>
      <c r="G324" s="1497"/>
      <c r="H324" s="120">
        <f>BV324</f>
        <v/>
      </c>
      <c r="I324" s="120">
        <f>BW324</f>
        <v/>
      </c>
      <c r="J324" s="687" t="str">
        <f>BT324</f>
        <v>GSM</v>
      </c>
      <c r="K324" s="194">
        <f>BU324</f>
        <v>1800</v>
      </c>
      <c r="L324" s="115"/>
      <c r="M324" s="120">
        <f>BZ324</f>
        <v>0</v>
      </c>
      <c r="N324" s="119"/>
      <c r="O324" s="131"/>
      <c r="P324" s="6597"/>
      <c r="Q324" s="131"/>
      <c r="R324" s="131"/>
      <c r="S324" s="120">
        <f>CG324</f>
        <v>0</v>
      </c>
      <c r="T324" s="120">
        <f>CC324</f>
        <v>698</v>
      </c>
      <c r="U324" s="120">
        <f>CD324</f>
        <v>1747.4</v>
      </c>
      <c r="V324" s="119"/>
      <c r="W324" s="197">
        <f>CK324*100</f>
        <v/>
      </c>
      <c r="X324" s="119"/>
      <c r="Y324" s="119"/>
      <c r="Z324" s="119"/>
      <c r="AA324" s="115"/>
      <c r="AB324" s="115"/>
      <c r="AC324" s="689">
        <f>IF(OR(BX$321="Close to Ear",BX$321="Close to Head"),"Head",IF(BX$321="Extremity","Extremity","Body"))</f>
        <v/>
      </c>
      <c r="AD324" s="690">
        <f>CA324</f>
        <v/>
      </c>
      <c r="AE324" s="688">
        <f>CB324</f>
        <v/>
      </c>
      <c r="AF324" s="115"/>
      <c r="AG324" s="808">
        <f>IF(AZ324="","N/A",IF(CQ324="Pass","P","F"))</f>
        <v/>
      </c>
      <c r="AH324" s="129"/>
      <c r="AI324" s="129"/>
      <c r="AJ324" s="129"/>
      <c r="AK324" s="119"/>
      <c r="AL324" s="115"/>
      <c r="AM324" s="119"/>
      <c r="AN324" s="119"/>
      <c r="AO324" s="692"/>
      <c r="AP324" s="692"/>
      <c r="AQ324" s="692"/>
      <c r="AR324" s="692"/>
      <c r="AS324" s="692"/>
      <c r="AT324" s="691">
        <f>CE324</f>
        <v/>
      </c>
      <c r="AU324" s="691">
        <f>CF324</f>
        <v/>
      </c>
      <c r="AV324" s="813"/>
      <c r="AW324" s="813"/>
      <c r="AX324" s="197">
        <f>CZ324</f>
        <v/>
      </c>
      <c r="AY324" s="197">
        <f>DE324</f>
        <v/>
      </c>
      <c r="AZ324" s="3379">
        <f>CO324</f>
        <v/>
      </c>
      <c r="BA324" s="3380"/>
      <c r="BB324" s="197">
        <f>CP324</f>
        <v/>
      </c>
      <c r="BC324" s="813"/>
      <c r="BD324" s="197">
        <f>CR324</f>
        <v/>
      </c>
      <c r="BE324" s="121">
        <f>CS324</f>
        <v/>
      </c>
      <c r="BF324" s="122">
        <f>CT324*60</f>
        <v/>
      </c>
      <c r="BG324" s="121">
        <f>BE324</f>
        <v/>
      </c>
      <c r="BH324" s="122">
        <f>CU324*60</f>
        <v/>
      </c>
      <c r="BI324" s="122">
        <f>CV324</f>
        <v/>
      </c>
      <c r="BJ324" s="117"/>
      <c r="BK324" s="812">
        <f>Overview!$E$7</f>
        <v/>
      </c>
      <c r="BL324" s="117"/>
      <c r="BM324" s="836">
        <f>CW324</f>
        <v/>
      </c>
      <c r="BN324" s="812">
        <f>Overview!$P$153</f>
        <v/>
      </c>
      <c r="BO324" s="117"/>
      <c r="BP324" s="117"/>
      <c r="BQ324" s="115"/>
      <c r="BR324" s="1478" t="inlineStr">
        <is>
          <t>N/A</t>
        </is>
      </c>
      <c r="BS324" s="1548"/>
      <c r="BT324" s="1891" t="inlineStr">
        <is>
          <t>GSM</t>
        </is>
      </c>
      <c r="BU324" s="1891">
        <v>1800</v>
      </c>
      <c r="BV324" s="417">
        <f>Overview!$H$31</f>
        <v/>
      </c>
      <c r="BW324" s="2010"/>
      <c r="BX324" s="1891"/>
      <c r="BY324" s="2072"/>
      <c r="BZ324" s="2072"/>
      <c r="CA324" s="1997" t="inlineStr">
        <is>
          <t>Right Edge</t>
        </is>
      </c>
      <c r="CB324" s="200">
        <v>5</v>
      </c>
      <c r="CC324" s="902">
        <f>'2G-3G'!BX36</f>
        <v>698</v>
      </c>
      <c r="CD324" s="902">
        <f>'2G-3G'!BY36</f>
        <v>1747.4</v>
      </c>
      <c r="CE324" s="1523"/>
      <c r="CF324" s="1523"/>
      <c r="CG324" s="387" t="str">
        <f>IF(OR($BY$167="",$BY$167=""),"",$BY$167)</f>
        <v/>
      </c>
      <c r="CH324" s="387">
        <f>BZ324</f>
        <v/>
      </c>
      <c r="CI324" s="387">
        <f>CA324</f>
        <v/>
      </c>
      <c r="CJ324" s="1527"/>
      <c r="CK324" s="2042"/>
      <c r="CL324" s="206">
        <f>IF(CF324=""," ",IF(ABS(CE324-CF324)&lt;=0.25,"Valid","Not valid"))</f>
        <v/>
      </c>
      <c r="CM324" s="207">
        <f> IF(CE324="","",IF(AND(CE324&lt;&gt;"",CF324=""),IF(CE324&gt;=2,"Medir+Sig Max","No"),IF(CF324&lt;&gt;"",IF(CF324&gt;=2,"Medir+Sig Max","No"),"")))</f>
        <v/>
      </c>
      <c r="CN324" s="1787"/>
      <c r="CO324" s="220">
        <f>IF(CK324="",IF(AND(CE324="",CF324=""),"",IF(CF324="",IF(DE324&gt;1,ROUND(DE324*CE324,3),CE324),IF(DE324&gt;1,ROUND(DE324*CF324,3),CF324))),IF(AND(CE324="",CF324=""),"",IF(CF324="",IF(DE324&gt;1,ROUND(DE324*CE324*(1/(CK324)),3),CE324*(1/(CK324))),IF(DE324&gt;1,ROUND(DE324*CF324*(1/(CK324)),3),CF324*(1/(CK324))))))</f>
        <v/>
      </c>
      <c r="CP324" s="2043">
        <f>$CP$34</f>
        <v/>
      </c>
      <c r="CQ324" s="1472">
        <f>IF(CO324="","",IF(CO324&gt;CP324,"Fail","Pass"))</f>
        <v/>
      </c>
      <c r="CR324" s="1481">
        <f>IF(AND(MAX(CO321:CO328)=CO324,CO324&lt;&gt;0),COUNT($CR$3:CR323)+1,"")</f>
        <v/>
      </c>
      <c r="CS324" s="1565">
        <f>MyTimestamp(CO324)</f>
        <v/>
      </c>
      <c r="CT324" s="1531">
        <f>IF(CE324="",0,15)+IF(CF324="",0,15)</f>
        <v/>
      </c>
      <c r="CU324" s="1532">
        <f>IF(CT324=0,0,2)</f>
        <v/>
      </c>
      <c r="CV324" s="859" t="inlineStr">
        <is>
          <t>S/02</t>
        </is>
      </c>
      <c r="CW324" s="859" t="inlineStr">
        <is>
          <t>Dasy6</t>
        </is>
      </c>
      <c r="CX324" s="2038"/>
      <c r="CY324" s="2044"/>
      <c r="CZ324" s="1543">
        <f>10^(CJ324/20)*100-100</f>
        <v/>
      </c>
      <c r="DA324" s="1325">
        <f>IF('Tune-Up'!$H$21="","",'Tune-Up'!$H$21)</f>
        <v/>
      </c>
      <c r="DB324" s="701">
        <f>'2G-3G'!BZ36</f>
        <v/>
      </c>
      <c r="DC324" s="769">
        <f>IF(DA324="","",10^(DA324/10))</f>
        <v/>
      </c>
      <c r="DD324" s="1369">
        <f>IF(ISNUMBER(DB324)=FALSE,"",10^(DB324/10))</f>
        <v/>
      </c>
      <c r="DE324" s="1543">
        <f>IF(AND(ISNUMBER(DC324),ISNUMBER(DD324)),IF(DC324/DD324&gt;1,ROUND((DC324)/DD324,3),1),1)</f>
        <v/>
      </c>
      <c r="DF324" s="1541"/>
      <c r="DG324" s="1541"/>
      <c r="DH324" s="1541"/>
      <c r="DI324" s="1541"/>
      <c r="DJ324" s="1541"/>
      <c r="DK324" s="1541"/>
      <c r="DL324" s="1541"/>
      <c r="DM324" s="1541"/>
      <c r="DN324" s="1541"/>
      <c r="DO324" s="1541"/>
      <c r="DP324" s="1541"/>
      <c r="DQ324" s="1541"/>
      <c r="DR324" s="1541"/>
    </row>
    <row r="325" ht="12.75" x14ac:dyDescent="0.2">
      <c r="A325" s="1541"/>
      <c r="B325" s="1541"/>
      <c r="C325"/>
      <c r="D325" s="130">
        <f>IF(BX$321="Close to Ear","EN 62209-1","EN 62209-2")</f>
        <v/>
      </c>
      <c r="E325" s="130">
        <f>IF(CG325="Close to Ear","2016","2010/A1:2019")</f>
        <v/>
      </c>
      <c r="F325" s="1488" t="inlineStr">
        <is>
          <t>5.1</t>
        </is>
      </c>
      <c r="G325" s="1497"/>
      <c r="H325" s="120">
        <f>BV325</f>
        <v/>
      </c>
      <c r="I325" s="120">
        <f>BW325</f>
        <v/>
      </c>
      <c r="J325" s="687" t="str">
        <f>BT325</f>
        <v>GSM</v>
      </c>
      <c r="K325" s="194">
        <f>BU325</f>
        <v>1800</v>
      </c>
      <c r="L325" s="115"/>
      <c r="M325" s="120">
        <f>BZ325</f>
        <v>0</v>
      </c>
      <c r="N325" s="119"/>
      <c r="O325" s="131"/>
      <c r="P325" s="6597"/>
      <c r="Q325" s="131"/>
      <c r="R325" s="131"/>
      <c r="S325" s="120">
        <f>CG325</f>
        <v>0</v>
      </c>
      <c r="T325" s="120">
        <f>CC325</f>
        <v>698</v>
      </c>
      <c r="U325" s="120">
        <f>CD325</f>
        <v>1747.4</v>
      </c>
      <c r="V325" s="119"/>
      <c r="W325" s="197">
        <f>CK325*100</f>
        <v/>
      </c>
      <c r="X325" s="119"/>
      <c r="Y325" s="119"/>
      <c r="Z325" s="119"/>
      <c r="AA325" s="115"/>
      <c r="AB325" s="115"/>
      <c r="AC325" s="689">
        <f>IF(OR(BX$321="Close to Ear",BX$321="Close to Head"),"Head",IF(BX$321="Extremity","Extremity","Body"))</f>
        <v/>
      </c>
      <c r="AD325" s="690">
        <f>CA325</f>
        <v/>
      </c>
      <c r="AE325" s="688">
        <f>CB325</f>
        <v/>
      </c>
      <c r="AF325" s="115"/>
      <c r="AG325" s="808">
        <f>IF(AZ325="","N/A",IF(CQ325="Pass","P","F"))</f>
        <v/>
      </c>
      <c r="AH325" s="129"/>
      <c r="AI325" s="129"/>
      <c r="AJ325" s="129"/>
      <c r="AK325" s="119"/>
      <c r="AL325" s="115"/>
      <c r="AM325" s="119"/>
      <c r="AN325" s="119"/>
      <c r="AO325" s="692"/>
      <c r="AP325" s="692"/>
      <c r="AQ325" s="692"/>
      <c r="AR325" s="692"/>
      <c r="AS325" s="692"/>
      <c r="AT325" s="691">
        <f>CE325</f>
        <v/>
      </c>
      <c r="AU325" s="691">
        <f>CF325</f>
        <v/>
      </c>
      <c r="AV325" s="813"/>
      <c r="AW325" s="813"/>
      <c r="AX325" s="197">
        <f>CZ325</f>
        <v/>
      </c>
      <c r="AY325" s="197">
        <f>DE325</f>
        <v/>
      </c>
      <c r="AZ325" s="3379">
        <f>CO325</f>
        <v/>
      </c>
      <c r="BA325" s="3380"/>
      <c r="BB325" s="197">
        <f>CP325</f>
        <v/>
      </c>
      <c r="BC325" s="813"/>
      <c r="BD325" s="197">
        <f>CR325</f>
        <v/>
      </c>
      <c r="BE325" s="121">
        <f>CS325</f>
        <v/>
      </c>
      <c r="BF325" s="122">
        <f>CT325*60</f>
        <v/>
      </c>
      <c r="BG325" s="121">
        <f>BE325</f>
        <v/>
      </c>
      <c r="BH325" s="122">
        <f>CU325*60</f>
        <v/>
      </c>
      <c r="BI325" s="122">
        <f>CV325</f>
        <v/>
      </c>
      <c r="BJ325" s="117"/>
      <c r="BK325" s="812">
        <f>Overview!$E$7</f>
        <v/>
      </c>
      <c r="BL325" s="117"/>
      <c r="BM325" s="836">
        <f>CW325</f>
        <v/>
      </c>
      <c r="BN325" s="812">
        <f>Overview!$P$153</f>
        <v/>
      </c>
      <c r="BO325" s="117"/>
      <c r="BP325" s="117"/>
      <c r="BQ325" s="115"/>
      <c r="BR325" s="1478" t="inlineStr">
        <is>
          <t>N/A</t>
        </is>
      </c>
      <c r="BS325" s="1548"/>
      <c r="BT325" s="2071" t="inlineStr">
        <is>
          <t>GSM</t>
        </is>
      </c>
      <c r="BU325" s="2071">
        <v>1800</v>
      </c>
      <c r="BV325" s="415">
        <f>Overview!$H$31</f>
        <v/>
      </c>
      <c r="BW325" s="2010"/>
      <c r="BX325" s="2071"/>
      <c r="BY325" s="2072"/>
      <c r="BZ325" s="2072"/>
      <c r="CA325" s="1997" t="inlineStr">
        <is>
          <t>Top Edge</t>
        </is>
      </c>
      <c r="CB325" s="200">
        <v>5</v>
      </c>
      <c r="CC325" s="902">
        <f>'2G-3G'!BX36</f>
        <v>698</v>
      </c>
      <c r="CD325" s="902">
        <f>'2G-3G'!BY36</f>
        <v>1747.4</v>
      </c>
      <c r="CE325" s="1523"/>
      <c r="CF325" s="1523"/>
      <c r="CG325" s="387" t="str">
        <f>IF(OR($BY$167="",$BY$167=""),"",$BY$167)</f>
        <v/>
      </c>
      <c r="CH325" s="387">
        <f>BZ325</f>
        <v/>
      </c>
      <c r="CI325" s="387">
        <f>CA325</f>
        <v/>
      </c>
      <c r="CJ325" s="1527"/>
      <c r="CK325" s="2042"/>
      <c r="CL325" s="206">
        <f>IF(CF325=""," ",IF(ABS(CE325-CF325)&lt;=0.25,"Valid","Not valid"))</f>
        <v/>
      </c>
      <c r="CM325" s="207">
        <f> IF(CE325="","",IF(AND(CE325&lt;&gt;"",CF325=""),IF(CE325&gt;=2,"Medir+Sig Max","No"),IF(CF325&lt;&gt;"",IF(CF325&gt;=2,"Medir+Sig Max","No"),"")))</f>
        <v/>
      </c>
      <c r="CN325" s="1787"/>
      <c r="CO325" s="220">
        <f>IF(CK325="",IF(AND(CE325="",CF325=""),"",IF(CF325="",IF(DE325&gt;1,ROUND(DE325*CE325,3),CE325),IF(DE325&gt;1,ROUND(DE325*CF325,3),CF325))),IF(AND(CE325="",CF325=""),"",IF(CF325="",IF(DE325&gt;1,ROUND(DE325*CE325*(1/(CK325)),3),CE325*(1/(CK325))),IF(DE325&gt;1,ROUND(DE325*CF325*(1/(CK325)),3),CF325*(1/(CK325))))))</f>
        <v/>
      </c>
      <c r="CP325" s="2043">
        <f>$CP$34</f>
        <v/>
      </c>
      <c r="CQ325" s="1472">
        <f>IF(CO325="","",IF(CO325&gt;CP325,"Fail","Pass"))</f>
        <v/>
      </c>
      <c r="CR325" s="1481">
        <f>IF(AND(MAX(CO321:CO328)=CO325,CO325&lt;&gt;0),COUNT($CR$3:CR324)+1,"")</f>
        <v/>
      </c>
      <c r="CS325" s="1565">
        <f>MyTimestamp(CO325)</f>
        <v/>
      </c>
      <c r="CT325" s="1531">
        <f>IF(CE325="",0,15)+IF(CF325="",0,15)</f>
        <v/>
      </c>
      <c r="CU325" s="1532">
        <f>IF(CT325=0,0,2)</f>
        <v/>
      </c>
      <c r="CV325" s="859" t="inlineStr">
        <is>
          <t>S/02</t>
        </is>
      </c>
      <c r="CW325" s="859" t="inlineStr">
        <is>
          <t>Dasy6</t>
        </is>
      </c>
      <c r="CX325" s="2038"/>
      <c r="CY325" s="2044"/>
      <c r="CZ325" s="1543">
        <f>10^(CJ325/20)*100-100</f>
        <v/>
      </c>
      <c r="DA325" s="1325">
        <f>IF('Tune-Up'!$H$21="","",'Tune-Up'!$H$21)</f>
        <v/>
      </c>
      <c r="DB325" s="701">
        <f>'2G-3G'!BZ36</f>
        <v/>
      </c>
      <c r="DC325" s="769">
        <f>IF(DA325="","",10^(DA325/10))</f>
        <v/>
      </c>
      <c r="DD325" s="1369">
        <f>IF(ISNUMBER(DB325)=FALSE,"",10^(DB325/10))</f>
        <v/>
      </c>
      <c r="DE325" s="1543">
        <f>IF(AND(ISNUMBER(DC325),ISNUMBER(DD325)),IF(DC325/DD325&gt;1,ROUND((DC325)/DD325,3),1),1)</f>
        <v/>
      </c>
      <c r="DF325" s="1541"/>
      <c r="DG325" s="1541"/>
      <c r="DH325" s="1541"/>
      <c r="DI325" s="1541"/>
      <c r="DJ325" s="1541"/>
      <c r="DK325" s="1541"/>
      <c r="DL325" s="1541"/>
      <c r="DM325" s="1541"/>
      <c r="DN325" s="1541"/>
      <c r="DO325" s="1541"/>
      <c r="DP325" s="1541"/>
      <c r="DQ325" s="1541"/>
      <c r="DR325" s="1541"/>
    </row>
    <row r="326" ht="12.75" x14ac:dyDescent="0.2">
      <c r="A326" s="1541"/>
      <c r="B326" s="1541"/>
      <c r="C326"/>
      <c r="D326" s="130">
        <f>IF(BX$321="Close to Ear","EN 62209-1","EN 62209-2")</f>
        <v/>
      </c>
      <c r="E326" s="130">
        <f>IF(CG326="Close to Ear","2016","2010/A1:2019")</f>
        <v/>
      </c>
      <c r="F326" s="1488" t="inlineStr">
        <is>
          <t>5.1</t>
        </is>
      </c>
      <c r="G326" s="1497"/>
      <c r="H326" s="120">
        <f>BV326</f>
        <v/>
      </c>
      <c r="I326" s="120">
        <f>BW326</f>
        <v/>
      </c>
      <c r="J326" s="687" t="str">
        <f>BT326</f>
        <v>GSM</v>
      </c>
      <c r="K326" s="194">
        <f>BU326</f>
        <v>1800</v>
      </c>
      <c r="L326" s="115"/>
      <c r="M326" s="120">
        <f>BZ326</f>
        <v>0</v>
      </c>
      <c r="N326" s="119"/>
      <c r="O326" s="131"/>
      <c r="P326" s="6597"/>
      <c r="Q326" s="131"/>
      <c r="R326" s="131"/>
      <c r="S326" s="120">
        <f>CG326</f>
        <v>0</v>
      </c>
      <c r="T326" s="120">
        <f>CC326</f>
        <v>698</v>
      </c>
      <c r="U326" s="120">
        <f>CD326</f>
        <v>1747.4</v>
      </c>
      <c r="V326" s="119"/>
      <c r="W326" s="197">
        <f>CK326*100</f>
        <v/>
      </c>
      <c r="X326" s="119"/>
      <c r="Y326" s="119"/>
      <c r="Z326" s="119"/>
      <c r="AA326" s="115"/>
      <c r="AB326" s="115"/>
      <c r="AC326" s="689">
        <f>IF(OR(BX$321="Close to Ear",BX$321="Close to Head"),"Head",IF(BX$321="Extremity","Extremity","Body"))</f>
        <v/>
      </c>
      <c r="AD326" s="690">
        <f>CA326</f>
        <v/>
      </c>
      <c r="AE326" s="688">
        <f>CB326</f>
        <v/>
      </c>
      <c r="AF326" s="115"/>
      <c r="AG326" s="808">
        <f>IF(AZ326="","N/A",IF(CQ326="Pass","P","F"))</f>
        <v/>
      </c>
      <c r="AH326" s="129"/>
      <c r="AI326" s="129"/>
      <c r="AJ326" s="129"/>
      <c r="AK326" s="119"/>
      <c r="AL326" s="115"/>
      <c r="AM326" s="119"/>
      <c r="AN326" s="119"/>
      <c r="AO326" s="692"/>
      <c r="AP326" s="692"/>
      <c r="AQ326" s="692"/>
      <c r="AR326" s="692"/>
      <c r="AS326" s="692"/>
      <c r="AT326" s="691">
        <f>CE326</f>
        <v/>
      </c>
      <c r="AU326" s="691">
        <f>CF326</f>
        <v/>
      </c>
      <c r="AV326" s="813"/>
      <c r="AW326" s="813"/>
      <c r="AX326" s="197">
        <f>CZ326</f>
        <v/>
      </c>
      <c r="AY326" s="197">
        <f>DE326</f>
        <v/>
      </c>
      <c r="AZ326" s="3379">
        <f>CO326</f>
        <v/>
      </c>
      <c r="BA326" s="3380"/>
      <c r="BB326" s="197">
        <f>CP326</f>
        <v/>
      </c>
      <c r="BC326" s="813"/>
      <c r="BD326" s="197">
        <f>CR326</f>
        <v/>
      </c>
      <c r="BE326" s="121">
        <f>CS326</f>
        <v/>
      </c>
      <c r="BF326" s="122">
        <f>CT326*60</f>
        <v/>
      </c>
      <c r="BG326" s="121">
        <f>BE326</f>
        <v/>
      </c>
      <c r="BH326" s="122">
        <f>CU326*60</f>
        <v/>
      </c>
      <c r="BI326" s="122">
        <f>CV326</f>
        <v/>
      </c>
      <c r="BJ326" s="117"/>
      <c r="BK326" s="812">
        <f>Overview!$E$7</f>
        <v/>
      </c>
      <c r="BL326" s="117"/>
      <c r="BM326" s="836">
        <f>CW326</f>
        <v/>
      </c>
      <c r="BN326" s="812">
        <f>Overview!$P$153</f>
        <v/>
      </c>
      <c r="BO326" s="117"/>
      <c r="BP326" s="117"/>
      <c r="BQ326" s="115"/>
      <c r="BR326" s="1478" t="inlineStr">
        <is>
          <t>N/A</t>
        </is>
      </c>
      <c r="BS326" s="1548"/>
      <c r="BT326" s="2071" t="inlineStr">
        <is>
          <t>GSM</t>
        </is>
      </c>
      <c r="BU326" s="2071">
        <v>1800</v>
      </c>
      <c r="BV326" s="415">
        <f>Overview!$H$31</f>
        <v/>
      </c>
      <c r="BW326" s="2010"/>
      <c r="BX326" s="2071"/>
      <c r="BY326" s="2072"/>
      <c r="BZ326" s="2072"/>
      <c r="CA326" s="1997" t="inlineStr">
        <is>
          <t>Bottom Edge</t>
        </is>
      </c>
      <c r="CB326" s="200">
        <v>5</v>
      </c>
      <c r="CC326" s="902">
        <f>'2G-3G'!BX36</f>
        <v>698</v>
      </c>
      <c r="CD326" s="902">
        <f>'2G-3G'!BY36</f>
        <v>1747.4</v>
      </c>
      <c r="CE326" s="1523"/>
      <c r="CF326" s="1523"/>
      <c r="CG326" s="387" t="str">
        <f>IF(OR($BY$167="",$BY$167=""),"",$BY$167)</f>
        <v/>
      </c>
      <c r="CH326" s="387">
        <f>BZ326</f>
        <v/>
      </c>
      <c r="CI326" s="387">
        <f>CA326</f>
        <v/>
      </c>
      <c r="CJ326" s="1527"/>
      <c r="CK326" s="2042"/>
      <c r="CL326" s="206">
        <f>IF(CF326=""," ",IF(ABS(CE326-CF326)&lt;=0.25,"Valid","Not valid"))</f>
        <v/>
      </c>
      <c r="CM326" s="207">
        <f> IF(CE326="","",IF(AND(CE326&lt;&gt;"",CF326=""),IF(CE326&gt;=2,"Medir+Sig Max","No"),IF(CF326&lt;&gt;"",IF(CF326&gt;=2,"Medir+Sig Max","No"),"")))</f>
        <v/>
      </c>
      <c r="CN326" s="1787"/>
      <c r="CO326" s="220">
        <f>IF(CK326="",IF(AND(CE326="",CF326=""),"",IF(CF326="",IF(DE326&gt;1,ROUND(DE326*CE326,3),CE326),IF(DE326&gt;1,ROUND(DE326*CF326,3),CF326))),IF(AND(CE326="",CF326=""),"",IF(CF326="",IF(DE326&gt;1,ROUND(DE326*CE326*(1/(CK326)),3),CE326*(1/(CK326))),IF(DE326&gt;1,ROUND(DE326*CF326*(1/(CK326)),3),CF326*(1/(CK326))))))</f>
        <v/>
      </c>
      <c r="CP326" s="2043">
        <f>$CP$34</f>
        <v/>
      </c>
      <c r="CQ326" s="1472">
        <f>IF(CO326="","",IF(CO326&gt;CP326,"Fail","Pass"))</f>
        <v/>
      </c>
      <c r="CR326" s="1481">
        <f>IF(AND(MAX(CO321:CO328)=CO326,CO326&lt;&gt;0),COUNT($CR$3:CR325)+1,"")</f>
        <v/>
      </c>
      <c r="CS326" s="1565">
        <f>MyTimestamp(CO326)</f>
        <v/>
      </c>
      <c r="CT326" s="1531">
        <f>IF(CE326="",0,15)+IF(CF326="",0,15)</f>
        <v/>
      </c>
      <c r="CU326" s="1532">
        <f>IF(CT326=0,0,2)</f>
        <v/>
      </c>
      <c r="CV326" s="859" t="inlineStr">
        <is>
          <t>S/02</t>
        </is>
      </c>
      <c r="CW326" s="859" t="inlineStr">
        <is>
          <t>Dasy6</t>
        </is>
      </c>
      <c r="CX326" s="2038"/>
      <c r="CY326" s="2044"/>
      <c r="CZ326" s="1543">
        <f>10^(CJ326/20)*100-100</f>
        <v/>
      </c>
      <c r="DA326" s="1325">
        <f>IF('Tune-Up'!$H$21="","",'Tune-Up'!$H$21)</f>
        <v/>
      </c>
      <c r="DB326" s="701">
        <f>'2G-3G'!BZ36</f>
        <v/>
      </c>
      <c r="DC326" s="769">
        <f>IF(DA326="","",10^(DA326/10))</f>
        <v/>
      </c>
      <c r="DD326" s="1369">
        <f>IF(ISNUMBER(DB326)=FALSE,"",10^(DB326/10))</f>
        <v/>
      </c>
      <c r="DE326" s="1543">
        <f>IF(AND(ISNUMBER(DC326),ISNUMBER(DD326)),IF(DC326/DD326&gt;1,ROUND((DC326)/DD326,3),1),1)</f>
        <v/>
      </c>
      <c r="DF326" s="1541"/>
      <c r="DG326" s="1541"/>
      <c r="DH326" s="1541"/>
      <c r="DI326" s="1541"/>
      <c r="DJ326" s="1541"/>
      <c r="DK326" s="1541"/>
      <c r="DL326" s="1541"/>
      <c r="DM326" s="1541"/>
      <c r="DN326" s="1541"/>
      <c r="DO326" s="1541"/>
      <c r="DP326" s="1541"/>
      <c r="DQ326" s="1541"/>
      <c r="DR326" s="1541"/>
    </row>
    <row r="327" ht="12.75" x14ac:dyDescent="0.2">
      <c r="A327" s="1541"/>
      <c r="B327" s="1541"/>
      <c r="C327"/>
      <c r="D327" s="130">
        <f>IF(BX$321="Close to Ear","EN 62209-1","EN 62209-2")</f>
        <v/>
      </c>
      <c r="E327" s="130">
        <f>IF(CG327="Close to Ear","2016","2010/A1:2019")</f>
        <v/>
      </c>
      <c r="F327" s="1488" t="inlineStr">
        <is>
          <t>5.1</t>
        </is>
      </c>
      <c r="G327" s="1497"/>
      <c r="H327" s="120">
        <f>BV327</f>
        <v/>
      </c>
      <c r="I327" s="120">
        <f>BW327</f>
        <v/>
      </c>
      <c r="J327" s="687" t="str">
        <f>BT327</f>
        <v>GSM</v>
      </c>
      <c r="K327" s="194">
        <f>BU327</f>
        <v>1800</v>
      </c>
      <c r="L327" s="115"/>
      <c r="M327" s="120">
        <f>BZ327</f>
        <v>0</v>
      </c>
      <c r="N327" s="119"/>
      <c r="O327" s="131"/>
      <c r="P327" s="6597"/>
      <c r="Q327" s="131"/>
      <c r="R327" s="131"/>
      <c r="S327" s="120">
        <f>CG327</f>
        <v>0</v>
      </c>
      <c r="T327" s="120">
        <f>CC327</f>
        <v>512</v>
      </c>
      <c r="U327" s="120">
        <f>CD327</f>
        <v>1710.2</v>
      </c>
      <c r="V327" s="119"/>
      <c r="W327" s="197">
        <f>CK327*100</f>
        <v/>
      </c>
      <c r="X327" s="119"/>
      <c r="Y327" s="119"/>
      <c r="Z327" s="119"/>
      <c r="AA327" s="115"/>
      <c r="AB327" s="115"/>
      <c r="AC327" s="689">
        <f>IF(OR(BX$321="Close to Ear",BX$321="Close to Head"),"Head",IF(BX$321="Extremity","Extremity","Body"))</f>
        <v/>
      </c>
      <c r="AD327" s="690">
        <f>CA327</f>
        <v/>
      </c>
      <c r="AE327" s="688">
        <f>CB327</f>
        <v/>
      </c>
      <c r="AF327" s="115"/>
      <c r="AG327" s="808">
        <f>IF(AZ327="","N/A",IF(CQ327="Pass","P","F"))</f>
        <v/>
      </c>
      <c r="AH327" s="129"/>
      <c r="AI327" s="129"/>
      <c r="AJ327" s="129"/>
      <c r="AK327" s="119"/>
      <c r="AL327" s="115"/>
      <c r="AM327" s="119"/>
      <c r="AN327" s="119"/>
      <c r="AO327" s="692"/>
      <c r="AP327" s="692"/>
      <c r="AQ327" s="692"/>
      <c r="AR327" s="692"/>
      <c r="AS327" s="692"/>
      <c r="AT327" s="691">
        <f>CE327</f>
        <v/>
      </c>
      <c r="AU327" s="691">
        <f>CF327</f>
        <v/>
      </c>
      <c r="AV327" s="813"/>
      <c r="AW327" s="813"/>
      <c r="AX327" s="197">
        <f>CZ327</f>
        <v/>
      </c>
      <c r="AY327" s="197">
        <f>DE327</f>
        <v/>
      </c>
      <c r="AZ327" s="3379">
        <f>CO327</f>
        <v/>
      </c>
      <c r="BA327" s="3380"/>
      <c r="BB327" s="197">
        <f>CP327</f>
        <v/>
      </c>
      <c r="BC327" s="813"/>
      <c r="BD327" s="197">
        <f>CR327</f>
        <v/>
      </c>
      <c r="BE327" s="121">
        <f>CS327</f>
        <v/>
      </c>
      <c r="BF327" s="122">
        <f>CT327*60</f>
        <v/>
      </c>
      <c r="BG327" s="121">
        <f>BE327</f>
        <v/>
      </c>
      <c r="BH327" s="122">
        <f>CU327*60</f>
        <v/>
      </c>
      <c r="BI327" s="122">
        <f>CV327</f>
        <v/>
      </c>
      <c r="BJ327" s="117"/>
      <c r="BK327" s="812">
        <f>Overview!$E$7</f>
        <v/>
      </c>
      <c r="BL327" s="117"/>
      <c r="BM327" s="836">
        <f>CW327</f>
        <v/>
      </c>
      <c r="BN327" s="812">
        <f>Overview!$P$153</f>
        <v/>
      </c>
      <c r="BO327" s="117"/>
      <c r="BP327" s="117"/>
      <c r="BQ327" s="115"/>
      <c r="BR327" s="1478" t="inlineStr">
        <is>
          <t>N/A</t>
        </is>
      </c>
      <c r="BS327" s="1548"/>
      <c r="BT327" s="2071" t="inlineStr">
        <is>
          <t>GSM</t>
        </is>
      </c>
      <c r="BU327" s="2071">
        <v>1800</v>
      </c>
      <c r="BV327" s="415">
        <f>Overview!$H$31</f>
        <v/>
      </c>
      <c r="BW327" s="2010"/>
      <c r="BX327" s="2071"/>
      <c r="BY327" s="2072"/>
      <c r="BZ327" s="2072"/>
      <c r="CA327" s="416" t="str">
        <f>IF(COUNT(CF321:CF326)=0,IF(COUNT(CE321:CE326)=0,"TBD",VLOOKUP(MAX(CE321:CE326),CE321:CI326,5,FALSE)),VLOOKUP(MAX(CF321:CF326),CF321:CI326,4,FALSE))</f>
        <v>TBD</v>
      </c>
      <c r="CB327" s="200">
        <v>5</v>
      </c>
      <c r="CC327" s="902">
        <f>'2G-3G'!BX37</f>
        <v>512</v>
      </c>
      <c r="CD327" s="902">
        <f>'2G-3G'!BY37</f>
        <v>1710.2</v>
      </c>
      <c r="CE327" s="1523"/>
      <c r="CF327" s="1523"/>
      <c r="CG327" s="387" t="str">
        <f>IF(OR($BY$167="",$BY$167=""),"",$BY$167)</f>
        <v/>
      </c>
      <c r="CH327" s="387">
        <f>BZ327</f>
        <v/>
      </c>
      <c r="CI327" s="387">
        <f>CA327</f>
        <v/>
      </c>
      <c r="CJ327" s="1527"/>
      <c r="CK327" s="2042"/>
      <c r="CL327" s="206">
        <f>IF(CF327=""," ",IF(ABS(CE327-CF327)&lt;=0.25,"Valid","Not valid"))</f>
        <v/>
      </c>
      <c r="CM327" s="207">
        <f> IF(CE327="","",IF(AND(CE327&lt;&gt;"",CF327=""),IF(CE327&gt;=2,"Medir+Sig Max","No"),IF(CF327&lt;&gt;"",IF(CF327&gt;=2,"Medir+Sig Max","No"),"")))</f>
        <v/>
      </c>
      <c r="CN327" s="1787"/>
      <c r="CO327" s="220">
        <f>IF(CK327="",IF(AND(CE327="",CF327=""),"",IF(CF327="",IF(DE327&gt;1,ROUND(DE327*CE327,3),CE327),IF(DE327&gt;1,ROUND(DE327*CF327,3),CF327))),IF(AND(CE327="",CF327=""),"",IF(CF327="",IF(DE327&gt;1,ROUND(DE327*CE327*(1/(CK327)),3),CE327*(1/(CK327))),IF(DE327&gt;1,ROUND(DE327*CF327*(1/(CK327)),3),CF327*(1/(CK327))))))</f>
        <v/>
      </c>
      <c r="CP327" s="2043">
        <f>$CP$34</f>
        <v/>
      </c>
      <c r="CQ327" s="1472">
        <f>IF(CO327="","",IF(CO327&gt;CP327,"Fail","Pass"))</f>
        <v/>
      </c>
      <c r="CR327" s="1481">
        <f>IF(AND(MAX(CO321:CO328)=CO327,CO327&lt;&gt;0),COUNT($CR$3:CR326)+1,"")</f>
        <v/>
      </c>
      <c r="CS327" s="1565">
        <f>MyTimestamp(CO327)</f>
        <v/>
      </c>
      <c r="CT327" s="1531">
        <f>IF(CE327="",0,15)+IF(CF327="",0,15)</f>
        <v/>
      </c>
      <c r="CU327" s="1532">
        <f>IF(CT327=0,0,2)</f>
        <v/>
      </c>
      <c r="CV327" s="859" t="inlineStr">
        <is>
          <t>S/02</t>
        </is>
      </c>
      <c r="CW327" s="859" t="inlineStr">
        <is>
          <t>Dasy6</t>
        </is>
      </c>
      <c r="CX327" s="2038"/>
      <c r="CY327" s="2044"/>
      <c r="CZ327" s="1543">
        <f>10^(CJ327/20)*100-100</f>
        <v/>
      </c>
      <c r="DA327" s="1325">
        <f>IF('Tune-Up'!$H$21="","",'Tune-Up'!$H$21)</f>
        <v/>
      </c>
      <c r="DB327" s="701">
        <f>'2G-3G'!BZ37</f>
        <v/>
      </c>
      <c r="DC327" s="769">
        <f>IF(DA327="","",10^(DA327/10))</f>
        <v/>
      </c>
      <c r="DD327" s="1369">
        <f>IF(ISNUMBER(DB327)=FALSE,"",10^(DB327/10))</f>
        <v/>
      </c>
      <c r="DE327" s="1543">
        <f>IF(AND(ISNUMBER(DC327),ISNUMBER(DD327)),IF(DC327/DD327&gt;1,ROUND((DC327)/DD327,3),1),1)</f>
        <v/>
      </c>
      <c r="DF327" s="1541"/>
      <c r="DG327" s="1541"/>
      <c r="DH327" s="1541"/>
      <c r="DI327" s="1541"/>
      <c r="DJ327" s="1541"/>
      <c r="DK327" s="1541"/>
      <c r="DL327" s="1541"/>
      <c r="DM327" s="1541"/>
      <c r="DN327" s="1541"/>
      <c r="DO327" s="1541"/>
      <c r="DP327" s="1541"/>
      <c r="DQ327" s="1541"/>
      <c r="DR327" s="1541"/>
    </row>
    <row r="328" ht="12.75" x14ac:dyDescent="0.2">
      <c r="A328" s="1541"/>
      <c r="B328" s="1541"/>
      <c r="C328"/>
      <c r="D328" s="130">
        <f>IF(BX$321="Close to Ear","EN 62209-1","EN 62209-2")</f>
        <v/>
      </c>
      <c r="E328" s="130">
        <f>IF(CG328="Close to Ear","2016","2010/A1:2019")</f>
        <v/>
      </c>
      <c r="F328" s="1488" t="inlineStr">
        <is>
          <t>5.1</t>
        </is>
      </c>
      <c r="G328" s="1497"/>
      <c r="H328" s="120">
        <f>BV328</f>
        <v/>
      </c>
      <c r="I328" s="120">
        <f>BW328</f>
        <v/>
      </c>
      <c r="J328" s="687" t="str">
        <f>BT328</f>
        <v>GSM</v>
      </c>
      <c r="K328" s="194">
        <f>BU328</f>
        <v>1800</v>
      </c>
      <c r="L328" s="115"/>
      <c r="M328" s="120">
        <f>BZ328</f>
        <v>0</v>
      </c>
      <c r="N328" s="119"/>
      <c r="O328" s="131"/>
      <c r="P328" s="6597"/>
      <c r="Q328" s="131"/>
      <c r="R328" s="131"/>
      <c r="S328" s="120">
        <f>CG328</f>
        <v>0</v>
      </c>
      <c r="T328" s="120">
        <f>CC328</f>
        <v>885</v>
      </c>
      <c r="U328" s="120">
        <f>CD328</f>
        <v>1784.8</v>
      </c>
      <c r="V328" s="119"/>
      <c r="W328" s="197">
        <f>CK328*100</f>
        <v/>
      </c>
      <c r="X328" s="119"/>
      <c r="Y328" s="119"/>
      <c r="Z328" s="119"/>
      <c r="AA328" s="115"/>
      <c r="AB328" s="115"/>
      <c r="AC328" s="689">
        <f>IF(OR(BX$321="Close to Ear",BX$321="Close to Head"),"Head",IF(BX$321="Extremity","Extremity","Body"))</f>
        <v/>
      </c>
      <c r="AD328" s="690">
        <f>CA328</f>
        <v/>
      </c>
      <c r="AE328" s="688">
        <f>CB328</f>
        <v/>
      </c>
      <c r="AF328" s="115"/>
      <c r="AG328" s="808">
        <f>IF(AZ328="","N/A",IF(CQ328="Pass","P","F"))</f>
        <v/>
      </c>
      <c r="AH328" s="129"/>
      <c r="AI328" s="129"/>
      <c r="AJ328" s="129"/>
      <c r="AK328" s="119"/>
      <c r="AL328" s="115"/>
      <c r="AM328" s="119"/>
      <c r="AN328" s="119"/>
      <c r="AO328" s="692"/>
      <c r="AP328" s="692"/>
      <c r="AQ328" s="692"/>
      <c r="AR328" s="692"/>
      <c r="AS328" s="692"/>
      <c r="AT328" s="691">
        <f>CE328</f>
        <v/>
      </c>
      <c r="AU328" s="691">
        <f>CF328</f>
        <v/>
      </c>
      <c r="AV328" s="813"/>
      <c r="AW328" s="813"/>
      <c r="AX328" s="197">
        <f>CZ328</f>
        <v/>
      </c>
      <c r="AY328" s="197">
        <f>DE328</f>
        <v/>
      </c>
      <c r="AZ328" s="3379">
        <f>CO328</f>
        <v/>
      </c>
      <c r="BA328" s="3380"/>
      <c r="BB328" s="197">
        <f>CP328</f>
        <v/>
      </c>
      <c r="BC328" s="813"/>
      <c r="BD328" s="197">
        <f>CR328</f>
        <v/>
      </c>
      <c r="BE328" s="121">
        <f>CS328</f>
        <v/>
      </c>
      <c r="BF328" s="122">
        <f>CT328*60</f>
        <v/>
      </c>
      <c r="BG328" s="121">
        <f>BE328</f>
        <v/>
      </c>
      <c r="BH328" s="122">
        <f>CU328*60</f>
        <v/>
      </c>
      <c r="BI328" s="122">
        <f>CV328</f>
        <v/>
      </c>
      <c r="BJ328" s="117"/>
      <c r="BK328" s="812">
        <f>Overview!$E$7</f>
        <v/>
      </c>
      <c r="BL328" s="117"/>
      <c r="BM328" s="836">
        <f>CW328</f>
        <v/>
      </c>
      <c r="BN328" s="812">
        <f>Overview!$P$153</f>
        <v/>
      </c>
      <c r="BO328" s="117"/>
      <c r="BP328" s="117"/>
      <c r="BQ328" s="115"/>
      <c r="BR328" s="1478" t="inlineStr">
        <is>
          <t>N/A</t>
        </is>
      </c>
      <c r="BS328" s="1548"/>
      <c r="BT328" s="2075" t="inlineStr">
        <is>
          <t>GSM</t>
        </is>
      </c>
      <c r="BU328" s="2075">
        <v>1800</v>
      </c>
      <c r="BV328" s="419">
        <f>Overview!$H$31</f>
        <v/>
      </c>
      <c r="BW328" s="2016"/>
      <c r="BX328" s="2075"/>
      <c r="BY328" s="2076"/>
      <c r="BZ328" s="2072"/>
      <c r="CA328" s="418" t="str">
        <f>IF(COUNT(CF321:CF326)=0,IF(COUNT(CE321:CE326)=0,"TBD",VLOOKUP(MAX(CE321:CE326),CE321:CI326,5,FALSE)),VLOOKUP(MAX(CF321:CF326),CF321:CI326,4,FALSE))</f>
        <v>TBD</v>
      </c>
      <c r="CB328" s="201">
        <v>5</v>
      </c>
      <c r="CC328" s="857">
        <f>'2G-3G'!BX38</f>
        <v>885</v>
      </c>
      <c r="CD328" s="857">
        <f>'2G-3G'!BY38</f>
        <v>1784.8</v>
      </c>
      <c r="CE328" s="1874"/>
      <c r="CF328" s="1874"/>
      <c r="CG328" s="388" t="str">
        <f>IF(OR($BY$167="",$BY$167=""),"",$BY$167)</f>
        <v/>
      </c>
      <c r="CH328" s="388">
        <f>BZ328</f>
        <v/>
      </c>
      <c r="CI328" s="388">
        <f>CA328</f>
        <v/>
      </c>
      <c r="CJ328" s="2046"/>
      <c r="CK328" s="2047"/>
      <c r="CL328" s="212">
        <f>IF(CF328=""," ",IF(ABS(CE328-CF328)&lt;=0.25,"Valid","Not valid"))</f>
        <v/>
      </c>
      <c r="CM328" s="213">
        <f> IF(CE328="","",IF(AND(CE328&lt;&gt;"",CF328=""),IF(CE328&gt;=2,"Medir+Sig Max","No"),IF(CF328&lt;&gt;"",IF(CF328&gt;=2,"Medir+Sig Max","No"),"")))</f>
        <v/>
      </c>
      <c r="CN328" s="1794"/>
      <c r="CO328" s="221">
        <f>IF(CK328="",IF(AND(CE328="",CF328=""),"",IF(CF328="",IF(DE328&gt;1,ROUND(DE328*CE328,3),CE328),IF(DE328&gt;1,ROUND(DE328*CF328,3),CF328))),IF(AND(CE328="",CF328=""),"",IF(CF328="",IF(DE328&gt;1,ROUND(DE328*CE328*(1/(CK328)),3),CE328*(1/(CK328))),IF(DE328&gt;1,ROUND(DE328*CF328*(1/(CK328)),3),CF328*(1/(CK328))))))</f>
        <v/>
      </c>
      <c r="CP328" s="2048">
        <f>$CP$34</f>
        <v/>
      </c>
      <c r="CQ328" s="1473">
        <f>IF(CO328="","",IF(CO328&gt;CP328,"Fail","Pass"))</f>
        <v/>
      </c>
      <c r="CR328" s="1482">
        <f>IF(AND(MAX(CO321:CO328)=CO328,CO328&lt;&gt;0),COUNT($CR$3:CR327)+1,"")</f>
        <v/>
      </c>
      <c r="CS328" s="1566">
        <f>MyTimestamp(CO328)</f>
        <v/>
      </c>
      <c r="CT328" s="1535">
        <f>IF(CE328="",0,15)+IF(CF328="",0,15)</f>
        <v/>
      </c>
      <c r="CU328" s="1536">
        <f>IF(CT328=0,0,2)</f>
        <v/>
      </c>
      <c r="CV328" s="861" t="inlineStr">
        <is>
          <t>S/02</t>
        </is>
      </c>
      <c r="CW328" s="861" t="inlineStr">
        <is>
          <t>Dasy6</t>
        </is>
      </c>
      <c r="CX328" s="2038"/>
      <c r="CY328" s="2050"/>
      <c r="CZ328" s="1545">
        <f>10^(CJ328/20)*100-100</f>
        <v/>
      </c>
      <c r="DA328" s="1327">
        <f>IF('Tune-Up'!$H$21="","",'Tune-Up'!$H$21)</f>
        <v/>
      </c>
      <c r="DB328" s="703">
        <f>'2G-3G'!BZ38</f>
        <v/>
      </c>
      <c r="DC328" s="771">
        <f>IF(DA328="","",10^(DA328/10))</f>
        <v/>
      </c>
      <c r="DD328" s="1371">
        <f>IF(ISNUMBER(DB328)=FALSE,"",10^(DB328/10))</f>
        <v/>
      </c>
      <c r="DE328" s="1545">
        <f>IF(AND(ISNUMBER(DC328),ISNUMBER(DD328)),IF(DC328/DD328&gt;1,ROUND((DC328)/DD328,3),1),1)</f>
        <v/>
      </c>
      <c r="DF328" s="1541"/>
      <c r="DG328" s="1541"/>
      <c r="DH328" s="1541"/>
      <c r="DI328" s="1541"/>
      <c r="DJ328" s="1541"/>
      <c r="DK328" s="1541"/>
      <c r="DL328" s="1541"/>
      <c r="DM328" s="1541"/>
      <c r="DN328" s="1541"/>
      <c r="DO328" s="1541"/>
      <c r="DP328" s="1541"/>
      <c r="DQ328" s="1541"/>
      <c r="DR328" s="1541"/>
    </row>
    <row r="329" ht="12.75" x14ac:dyDescent="0.2">
      <c r="A329" s="1541"/>
      <c r="B329" s="1541"/>
      <c r="C329"/>
      <c r="D329" s="130">
        <f>IF(BX$321="Close to Ear","EN 62209-1","EN 62209-2")</f>
        <v/>
      </c>
      <c r="E329" s="130">
        <f>IF(CG329="Close to Ear","2016","2010/A1:2019")</f>
        <v/>
      </c>
      <c r="F329" s="1488" t="inlineStr">
        <is>
          <t>5.1</t>
        </is>
      </c>
      <c r="G329" s="1497"/>
      <c r="H329" s="120">
        <f>BV329</f>
        <v/>
      </c>
      <c r="I329" s="120">
        <f>BW329</f>
        <v/>
      </c>
      <c r="J329" s="687">
        <f>BT329</f>
        <v/>
      </c>
      <c r="K329" s="194">
        <f>BU329</f>
        <v/>
      </c>
      <c r="L329" s="115"/>
      <c r="M329" s="120">
        <f>BZ329</f>
        <v/>
      </c>
      <c r="N329" s="119"/>
      <c r="O329" s="131"/>
      <c r="P329" s="6597"/>
      <c r="Q329" s="131"/>
      <c r="R329" s="131"/>
      <c r="S329" s="120">
        <f>CG329</f>
        <v/>
      </c>
      <c r="T329" s="120">
        <f>CC329</f>
        <v/>
      </c>
      <c r="U329" s="120">
        <f>CD329</f>
        <v/>
      </c>
      <c r="V329" s="119"/>
      <c r="W329" s="197">
        <f>CK329*100</f>
        <v/>
      </c>
      <c r="X329" s="119"/>
      <c r="Y329" s="119"/>
      <c r="Z329" s="119"/>
      <c r="AA329" s="115"/>
      <c r="AB329" s="115"/>
      <c r="AC329" s="689">
        <f>IF(OR(BX$321="Close to Ear",BX$321="Close to Head"),"Head",IF(BX$321="Extremity","Extremity","Body"))</f>
        <v/>
      </c>
      <c r="AD329" s="690">
        <f>CA329</f>
        <v/>
      </c>
      <c r="AE329" s="688">
        <f>CB329</f>
        <v/>
      </c>
      <c r="AF329" s="115"/>
      <c r="AG329" s="808">
        <f>IF(AZ329="","N/A",IF(CQ329="Pass","P","F"))</f>
        <v/>
      </c>
      <c r="AH329" s="129"/>
      <c r="AI329" s="129"/>
      <c r="AJ329" s="129"/>
      <c r="AK329" s="119"/>
      <c r="AL329" s="115"/>
      <c r="AM329" s="119"/>
      <c r="AN329" s="119"/>
      <c r="AO329" s="692"/>
      <c r="AP329" s="692"/>
      <c r="AQ329" s="692"/>
      <c r="AR329" s="692"/>
      <c r="AS329" s="692"/>
      <c r="AT329" s="691">
        <f>CE329</f>
        <v/>
      </c>
      <c r="AU329" s="691">
        <f>CF329</f>
        <v/>
      </c>
      <c r="AV329" s="813"/>
      <c r="AW329" s="813"/>
      <c r="AX329" s="197">
        <f>CZ329</f>
        <v/>
      </c>
      <c r="AY329" s="197">
        <f>DE329</f>
        <v/>
      </c>
      <c r="AZ329" s="3379">
        <f>CO329</f>
        <v/>
      </c>
      <c r="BA329" s="3380"/>
      <c r="BB329" s="197">
        <f>CP329</f>
        <v/>
      </c>
      <c r="BC329" s="813"/>
      <c r="BD329" s="197">
        <f>CR329</f>
        <v/>
      </c>
      <c r="BE329" s="121">
        <f>CS329</f>
        <v/>
      </c>
      <c r="BF329" s="122">
        <f>CT329*60</f>
        <v/>
      </c>
      <c r="BG329" s="121">
        <f>BE329</f>
        <v/>
      </c>
      <c r="BH329" s="122">
        <f>CU329*60</f>
        <v/>
      </c>
      <c r="BI329" s="122">
        <f>CV329</f>
        <v/>
      </c>
      <c r="BJ329" s="117"/>
      <c r="BK329" s="812">
        <f>Overview!$E$7</f>
        <v/>
      </c>
      <c r="BL329" s="117"/>
      <c r="BM329" s="836">
        <f>CW329</f>
        <v/>
      </c>
      <c r="BN329" s="812">
        <f>Overview!$P$153</f>
        <v/>
      </c>
      <c r="BO329" s="117"/>
      <c r="BP329" s="117"/>
      <c r="BQ329" s="115"/>
      <c r="BR329" s="1478" t="inlineStr">
        <is>
          <t>N/A</t>
        </is>
      </c>
      <c r="BS329" s="1548"/>
      <c r="BT329" s="2075" t="inlineStr">
        <is>
          <t>GSM</t>
        </is>
      </c>
      <c r="BU329" s="2075">
        <v>1800</v>
      </c>
      <c r="BV329" s="419">
        <f>Overview!$H$31</f>
        <v/>
      </c>
      <c r="BW329" s="2016"/>
      <c r="BX329" s="2075"/>
      <c r="BY329" s="2076"/>
      <c r="BZ329" s="2072"/>
      <c r="CA329" s="418" t="str">
        <f>CONCATENATE(CA327," - Battery check 1")</f>
        <v>TBD - Battery check 1</v>
      </c>
      <c r="CB329" s="201">
        <v>5</v>
      </c>
      <c r="CC329" s="857">
        <f>IF(COUNT($CO$321:$CO$328)=0,"N/A",INDEX($CC$321:$CC$328,MATCH(MAX($CO$321:$CO$328),$CO$321:$CO$328,0)))</f>
        <v/>
      </c>
      <c r="CD329" s="857">
        <f>IF(COUNT($CO$321:$CO$328)=0,"N/A",INDEX($CD$321:$CD$328,MATCH(MAX($CO$321:$CO$328),$CO$321:$CO$328,0)))</f>
        <v/>
      </c>
      <c r="CE329" s="1874"/>
      <c r="CF329" s="1874"/>
      <c r="CG329" s="388" t="inlineStr">
        <is>
          <t>N/A</t>
        </is>
      </c>
      <c r="CH329" s="388">
        <f>BZ329</f>
        <v/>
      </c>
      <c r="CI329" s="388">
        <f>CA329</f>
        <v/>
      </c>
      <c r="CJ329" s="2046"/>
      <c r="CK329" s="2047"/>
      <c r="CL329" s="212">
        <f>IF(CF329=""," ",IF(ABS(CE329-CF329)&lt;=0.25,"Valid","Not valid"))</f>
        <v/>
      </c>
      <c r="CM329" s="213">
        <f> IF(CE329="","",IF(AND(CE329&lt;&gt;"",CF329=""),IF(CE329&gt;=2,"Medir+Sig Max","No"),IF(CF329&lt;&gt;"",IF(CF329&gt;=2,"Medir+Sig Max","No"),"")))</f>
        <v/>
      </c>
      <c r="CN329" s="1794"/>
      <c r="CO329" s="221">
        <f>IF(CK329="",IF(AND(CE329="",CF329=""),"",IF(CF329="",IF(DE329&gt;1,ROUND(DE329*CE329,3),CE329),IF(DE329&gt;1,ROUND(DE329*CF329,3),CF329))),IF(AND(CE329="",CF329=""),"",IF(CF329="",IF(DE329&gt;1,ROUND(DE329*CE329*(1/(CK329)),3),CE329*(1/(CK329))),IF(DE329&gt;1,ROUND(DE329*CF329*(1/(CK329)),3),CF329*(1/(CK329))))))</f>
        <v/>
      </c>
      <c r="CP329" s="2048">
        <f>$CP$34</f>
        <v/>
      </c>
      <c r="CQ329" s="1473">
        <f>IF(CO329="","",IF(CO329&gt;CP329,"Fail","Pass"))</f>
        <v/>
      </c>
      <c r="CR329" s="1482">
        <f>IF(CO329&lt;&gt;"",MAX($CR$3:CR328)+1,"")</f>
        <v/>
      </c>
      <c r="CS329" s="1566">
        <f>MyTimestamp(CQ329)</f>
        <v/>
      </c>
      <c r="CT329" s="1535">
        <f>IF(COUNT(CE329:CF329)=1,15,IF(COUNT(CE329:CF329)=0,0,30))</f>
        <v/>
      </c>
      <c r="CU329" s="1536">
        <f>IF(CT329=0,0,2)</f>
        <v/>
      </c>
      <c r="CV329" s="861" t="inlineStr">
        <is>
          <t>S/02</t>
        </is>
      </c>
      <c r="CW329" s="861" t="inlineStr">
        <is>
          <t>Dasy6</t>
        </is>
      </c>
      <c r="CX329" s="2038"/>
      <c r="CY329" s="2050"/>
      <c r="CZ329" s="1545">
        <f>10^(CJ329/20)*100-100</f>
        <v/>
      </c>
      <c r="DA329" s="1327">
        <f>IF('Tune-Up'!$H$21="","",'Tune-Up'!$H$21)</f>
        <v/>
      </c>
      <c r="DB329" s="703">
        <f>IF(COUNT($CO$321:$CO$328)=0,"N/A",IFERROR(INDEX($DB$321:$DB$328,MATCH(MAX($CO$321:$CO$328),$CO$321:$CO$328,0)),"N/A"))</f>
        <v/>
      </c>
      <c r="DC329" s="771">
        <f>IF(DA329="","",10^(DA329/10))</f>
        <v/>
      </c>
      <c r="DD329" s="1371">
        <f>IF(ISNUMBER(DB329)=FALSE,"N/A",10^(DB329/10))</f>
        <v/>
      </c>
      <c r="DE329" s="1545">
        <f>IF(AND(ISNUMBER(DC329),ISNUMBER(DD329)),IF(DC329/DD329&gt;1,ROUND((DC329)/DD329,3),1),1)</f>
        <v/>
      </c>
      <c r="DF329" s="1541"/>
      <c r="DG329" s="1541"/>
      <c r="DH329" s="1541"/>
      <c r="DI329" s="1541"/>
      <c r="DJ329" s="1541"/>
      <c r="DK329" s="1541"/>
      <c r="DL329" s="1541"/>
      <c r="DM329" s="1541"/>
      <c r="DN329" s="1541"/>
      <c r="DO329" s="1541"/>
      <c r="DP329" s="1541"/>
      <c r="DQ329" s="1541"/>
      <c r="DR329" s="1541"/>
    </row>
    <row r="330" ht="12.75" x14ac:dyDescent="0.2">
      <c r="A330" s="1541"/>
      <c r="B330" s="1541"/>
      <c r="C330"/>
      <c r="D330" s="130">
        <f>IF(BX$321="Close to Ear","EN 62209-1","EN 62209-2")</f>
        <v/>
      </c>
      <c r="E330" s="130">
        <f>IF(CG330="Close to Ear","2016","2010/A1:2019")</f>
        <v/>
      </c>
      <c r="F330" s="1488" t="inlineStr">
        <is>
          <t>5.1</t>
        </is>
      </c>
      <c r="G330" s="1497"/>
      <c r="H330" s="120">
        <f>BV330</f>
        <v/>
      </c>
      <c r="I330" s="120">
        <f>BW330</f>
        <v/>
      </c>
      <c r="J330" s="687">
        <f>BT330</f>
        <v/>
      </c>
      <c r="K330" s="194">
        <f>BU330</f>
        <v/>
      </c>
      <c r="L330" s="115"/>
      <c r="M330" s="120">
        <f>BZ330</f>
        <v/>
      </c>
      <c r="N330" s="119"/>
      <c r="O330" s="131"/>
      <c r="P330" s="6597"/>
      <c r="Q330" s="131"/>
      <c r="R330" s="131"/>
      <c r="S330" s="120">
        <f>CG330</f>
        <v/>
      </c>
      <c r="T330" s="120">
        <f>CC330</f>
        <v/>
      </c>
      <c r="U330" s="120">
        <f>CD330</f>
        <v/>
      </c>
      <c r="V330" s="119"/>
      <c r="W330" s="197">
        <f>CK330*100</f>
        <v/>
      </c>
      <c r="X330" s="119"/>
      <c r="Y330" s="119"/>
      <c r="Z330" s="119"/>
      <c r="AA330" s="115"/>
      <c r="AB330" s="115"/>
      <c r="AC330" s="689">
        <f>IF(OR(BX$321="Close to Ear",BX$321="Close to Head"),"Head",IF(BX$321="Extremity","Extremity","Body"))</f>
        <v/>
      </c>
      <c r="AD330" s="690">
        <f>CA330</f>
        <v/>
      </c>
      <c r="AE330" s="688">
        <f>CB330</f>
        <v/>
      </c>
      <c r="AF330" s="115"/>
      <c r="AG330" s="808">
        <f>IF(AZ330="","N/A",IF(CQ330="Pass","P","F"))</f>
        <v/>
      </c>
      <c r="AH330" s="129"/>
      <c r="AI330" s="129"/>
      <c r="AJ330" s="129"/>
      <c r="AK330" s="119"/>
      <c r="AL330" s="115"/>
      <c r="AM330" s="119"/>
      <c r="AN330" s="119"/>
      <c r="AO330" s="692"/>
      <c r="AP330" s="692"/>
      <c r="AQ330" s="692"/>
      <c r="AR330" s="692"/>
      <c r="AS330" s="692"/>
      <c r="AT330" s="691">
        <f>CE330</f>
        <v/>
      </c>
      <c r="AU330" s="691">
        <f>CF330</f>
        <v/>
      </c>
      <c r="AV330" s="813"/>
      <c r="AW330" s="813"/>
      <c r="AX330" s="197">
        <f>CZ330</f>
        <v/>
      </c>
      <c r="AY330" s="197">
        <f>DE330</f>
        <v/>
      </c>
      <c r="AZ330" s="3379">
        <f>CO330</f>
        <v/>
      </c>
      <c r="BA330" s="3380"/>
      <c r="BB330" s="197">
        <f>CP330</f>
        <v/>
      </c>
      <c r="BC330" s="813"/>
      <c r="BD330" s="197">
        <f>CR330</f>
        <v/>
      </c>
      <c r="BE330" s="121">
        <f>CS330</f>
        <v/>
      </c>
      <c r="BF330" s="122">
        <f>CT330*60</f>
        <v/>
      </c>
      <c r="BG330" s="121">
        <f>BE330</f>
        <v/>
      </c>
      <c r="BH330" s="122">
        <f>CU330*60</f>
        <v/>
      </c>
      <c r="BI330" s="122">
        <f>CV330</f>
        <v/>
      </c>
      <c r="BJ330" s="117"/>
      <c r="BK330" s="812">
        <f>Overview!$E$7</f>
        <v/>
      </c>
      <c r="BL330" s="117"/>
      <c r="BM330" s="836">
        <f>CW330</f>
        <v/>
      </c>
      <c r="BN330" s="812">
        <f>Overview!$P$153</f>
        <v/>
      </c>
      <c r="BO330" s="117"/>
      <c r="BP330" s="117"/>
      <c r="BQ330" s="115"/>
      <c r="BR330" s="1478" t="inlineStr">
        <is>
          <t>N/A</t>
        </is>
      </c>
      <c r="BS330" s="1548"/>
      <c r="BT330" s="2075" t="inlineStr">
        <is>
          <t>GSM</t>
        </is>
      </c>
      <c r="BU330" s="2075">
        <v>1800</v>
      </c>
      <c r="BV330" s="419">
        <f>Overview!$H$31</f>
        <v/>
      </c>
      <c r="BW330" s="2016"/>
      <c r="BX330" s="2075"/>
      <c r="BY330" s="2076"/>
      <c r="BZ330" s="2072"/>
      <c r="CA330" s="418" t="str">
        <f>CONCATENATE(CA328," - Battery check 2")</f>
        <v>TBD - Battery check 2</v>
      </c>
      <c r="CB330" s="201">
        <v>5</v>
      </c>
      <c r="CC330" s="857">
        <f>IF(COUNT($CO$321:$CO$328)=0,"N/A",INDEX($CC$321:$CC$328,MATCH(MAX($CO$321:$CO$328),$CO$321:$CO$328,0)))</f>
        <v/>
      </c>
      <c r="CD330" s="857">
        <f>IF(COUNT($CO$321:$CO$328)=0,"N/A",INDEX($CD$321:$CD$328,MATCH(MAX($CO$321:$CO$328),$CO$321:$CO$328,0)))</f>
        <v/>
      </c>
      <c r="CE330" s="1874"/>
      <c r="CF330" s="1874"/>
      <c r="CG330" s="388" t="inlineStr">
        <is>
          <t>N/A</t>
        </is>
      </c>
      <c r="CH330" s="388">
        <f>BZ330</f>
        <v/>
      </c>
      <c r="CI330" s="388">
        <f>CA330</f>
        <v/>
      </c>
      <c r="CJ330" s="2046"/>
      <c r="CK330" s="2047"/>
      <c r="CL330" s="212">
        <f>IF(CF330=""," ",IF(ABS(CE330-CF330)&lt;=0.25,"Valid","Not valid"))</f>
        <v/>
      </c>
      <c r="CM330" s="213">
        <f> IF(CE330="","",IF(AND(CE330&lt;&gt;"",CF330=""),IF(CE330&gt;=2,"Medir+Sig Max","No"),IF(CF330&lt;&gt;"",IF(CF330&gt;=2,"Medir+Sig Max","No"),"")))</f>
        <v/>
      </c>
      <c r="CN330" s="1794"/>
      <c r="CO330" s="221">
        <f>IF(CK330="",IF(AND(CE330="",CF330=""),"",IF(CF330="",IF(DE330&gt;1,ROUND(DE330*CE330,3),CE330),IF(DE330&gt;1,ROUND(DE330*CF330,3),CF330))),IF(AND(CE330="",CF330=""),"",IF(CF330="",IF(DE330&gt;1,ROUND(DE330*CE330*(1/(CK330)),3),CE330*(1/(CK330))),IF(DE330&gt;1,ROUND(DE330*CF330*(1/(CK330)),3),CF330*(1/(CK330))))))</f>
        <v/>
      </c>
      <c r="CP330" s="2048">
        <f>$CP$34</f>
        <v/>
      </c>
      <c r="CQ330" s="1473">
        <f>IF(CO330="","",IF(CO330&gt;CP330,"Fail","Pass"))</f>
        <v/>
      </c>
      <c r="CR330" s="1482">
        <f>IF(CO330&lt;&gt;"",MAX($CR$3:CR329)+1,"")</f>
        <v/>
      </c>
      <c r="CS330" s="1566">
        <f>MyTimestamp(CQ330)</f>
        <v/>
      </c>
      <c r="CT330" s="1535">
        <f>IF(COUNT(CE330:CF330)=1,15,IF(COUNT(CE330:CF330)=0,0,30))</f>
        <v/>
      </c>
      <c r="CU330" s="1536">
        <f>IF(CT330=0,0,2)</f>
        <v/>
      </c>
      <c r="CV330" s="861" t="inlineStr">
        <is>
          <t>S/02</t>
        </is>
      </c>
      <c r="CW330" s="861" t="inlineStr">
        <is>
          <t>Dasy6</t>
        </is>
      </c>
      <c r="CX330" s="2038"/>
      <c r="CY330" s="2050"/>
      <c r="CZ330" s="1545">
        <f>10^(CJ330/20)*100-100</f>
        <v/>
      </c>
      <c r="DA330" s="1327">
        <f>IF('Tune-Up'!$H$21="","",'Tune-Up'!$H$21)</f>
        <v/>
      </c>
      <c r="DB330" s="703">
        <f>IF(COUNT($CO$321:$CO$328)=0,"N/A",IFERROR(INDEX($DB$321:$DB$328,MATCH(MAX($CO$321:$CO$328),$CO$321:$CO$328,0)),"N/A"))</f>
        <v/>
      </c>
      <c r="DC330" s="771">
        <f>IF(DA330="","",10^(DA330/10))</f>
        <v/>
      </c>
      <c r="DD330" s="1371">
        <f>IF(ISNUMBER(DB330)=FALSE,"N/A",10^(DB330/10))</f>
        <v/>
      </c>
      <c r="DE330" s="1545">
        <f>IF(AND(ISNUMBER(DC330),ISNUMBER(DD330)),IF(DC330/DD330&gt;1,ROUND((DC330)/DD330,3),1),1)</f>
        <v/>
      </c>
      <c r="DF330" s="1541"/>
      <c r="DG330" s="1541"/>
      <c r="DH330" s="1541"/>
      <c r="DI330" s="1541"/>
      <c r="DJ330" s="1541"/>
      <c r="DK330" s="1541"/>
      <c r="DL330" s="1541"/>
      <c r="DM330" s="1541"/>
      <c r="DN330" s="1541"/>
      <c r="DO330" s="1541"/>
      <c r="DP330" s="1541"/>
      <c r="DQ330" s="1541"/>
      <c r="DR330" s="1541"/>
    </row>
  </sheetData>
  <sheetProtection sheet="1" autoFilter="0"/>
  <autoFilter ref="C2:DE330" xr:uid="{00000000-0009-0000-0000-00000A000000}"/>
  <mergeCells count="34">
    <mergeCell ref="BY3:BY166"/>
    <mergeCell ref="BY167:BY330"/>
    <mergeCell ref="BX3:BX10"/>
    <mergeCell ref="BX11:BX20"/>
    <mergeCell ref="BX21:BX33"/>
    <mergeCell ref="BX34:BX43"/>
    <mergeCell ref="BX44:BX51"/>
    <mergeCell ref="BX52:BX61"/>
    <mergeCell ref="BX62:BX74"/>
    <mergeCell ref="BX75:BX84"/>
    <mergeCell ref="BX85:BX92"/>
    <mergeCell ref="BX93:BX102"/>
    <mergeCell ref="BX103:BX115"/>
    <mergeCell ref="BX116:BX125"/>
    <mergeCell ref="BX126:BX133"/>
    <mergeCell ref="BX134:BX143"/>
    <mergeCell ref="BX144:BX156"/>
    <mergeCell ref="BX157:BX166"/>
    <mergeCell ref="BX167:BX174"/>
    <mergeCell ref="BX175:BX184"/>
    <mergeCell ref="BX185:BX197"/>
    <mergeCell ref="BX198:BX207"/>
    <mergeCell ref="BX208:BX215"/>
    <mergeCell ref="BX216:BX225"/>
    <mergeCell ref="BX226:BX238"/>
    <mergeCell ref="BX239:BX248"/>
    <mergeCell ref="BX249:BX256"/>
    <mergeCell ref="BX257:BX266"/>
    <mergeCell ref="BX267:BX279"/>
    <mergeCell ref="BX280:BX289"/>
    <mergeCell ref="BX290:BX297"/>
    <mergeCell ref="BX298:BX307"/>
    <mergeCell ref="BX308:BX320"/>
    <mergeCell ref="BX321:BX330"/>
  </mergeCells>
  <dataValidations count="8">
    <dataValidation allowBlank="1" showErrorMessage="1" sqref="AY1:AY2" xr:uid="{00000000-0002-0000-0A00-000001000000}"/>
    <dataValidation type="list" allowBlank="1" showErrorMessage="1" sqref="BP3:BP330" xr:uid="{00000000-0002-0000-0A00-000002000000}">
      <formula1>"Yes,No,N/A"</formula1>
    </dataValidation>
    <dataValidation type="list" allowBlank="1" showErrorMessage="1" sqref="AG3:AG330" xr:uid="{00000000-0002-0000-0A00-000003000000}">
      <formula1>"F,I,N/A,P"</formula1>
    </dataValidation>
    <dataValidation type="list" allowBlank="1" showErrorMessage="1" sqref="AF3:AF330" xr:uid="{00000000-0002-0000-0A00-000004000000}">
      <formula1>"10-g,1-g"</formula1>
    </dataValidation>
    <dataValidation type="list" allowBlank="1" showErrorMessage="1" sqref="L3:L330" xr:uid="{00000000-0002-0000-0A00-000005000000}">
      <formula1>"15,30"</formula1>
    </dataValidation>
    <dataValidation type="decimal" allowBlank="1" showErrorMessage="1" sqref="AA3:AA330 AK3:AK330" xr:uid="{00000000-0002-0000-0A00-000006000000}">
      <formula1>0</formula1>
      <formula2>1000</formula2>
    </dataValidation>
    <dataValidation type="decimal" allowBlank="1" showErrorMessage="1" sqref="AM3:AN330 AX3:AX330 AH3:AJ330" xr:uid="{00000000-0002-0000-0A00-000007000000}">
      <formula1>-100</formula1>
      <formula2>100</formula2>
    </dataValidation>
    <dataValidation type="decimal" allowBlank="1" showErrorMessage="1" sqref="AO3:AS330 O3:P330" xr:uid="{00000000-0002-0000-0A00-000008000000}">
      <formula1>0</formula1>
      <formula2>10</formula2>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3">
    <tabColor rgb="FF92D050"/>
  </sheetPr>
  <dimension ref="A1:BP1"/>
  <sheetViews>
    <sheetView zoomScale="85" zoomScaleNormal="85" workbookViewId="0">
      <selection activeCell="A2" sqref="A2:XFD4"/>
    </sheetView>
  </sheetViews>
  <sheetFormatPr baseColWidth="10" defaultColWidth="9.42578125" defaultRowHeight="12.75" x14ac:dyDescent="0.2"/>
  <cols>
    <col min="1" max="1" width="17.42578125" customWidth="1"/>
    <col min="2" max="2" width="50.42578125" customWidth="1"/>
    <col min="3" max="3" width="14.5703125" bestFit="1" customWidth="1"/>
    <col min="4" max="4" width="9" bestFit="1" customWidth="1"/>
    <col min="5" max="5" width="12.42578125" bestFit="1" customWidth="1"/>
    <col min="6" max="6" width="8.5703125" bestFit="1" customWidth="1"/>
    <col min="7" max="7" width="15.5703125" bestFit="1" customWidth="1"/>
    <col min="8" max="8" width="11.42578125" bestFit="1" customWidth="1"/>
    <col min="9" max="9" width="10.7109375" bestFit="1" customWidth="1"/>
    <col min="10" max="10" width="14.5703125" bestFit="1" customWidth="1"/>
    <col min="11" max="11" width="16.5703125" bestFit="1" customWidth="1"/>
    <col min="12" max="12" width="11.42578125" bestFit="1" customWidth="1"/>
    <col min="13" max="13" width="7" customWidth="1"/>
    <col min="14" max="14" width="9.5703125" customWidth="1"/>
    <col min="15" max="15" width="15.42578125" bestFit="1" customWidth="1"/>
    <col min="16" max="16" width="16.5703125" customWidth="1"/>
    <col min="17" max="17" width="17.85546875" customWidth="1"/>
    <col min="18" max="19" width="16.42578125" bestFit="1" customWidth="1"/>
    <col min="20" max="20" width="9.42578125" bestFit="1" customWidth="1"/>
    <col min="21" max="21" width="13.5703125" bestFit="1" customWidth="1"/>
    <col min="22" max="22" width="11.5703125" bestFit="1" customWidth="1"/>
    <col min="23" max="23" width="7.5703125" bestFit="1" customWidth="1"/>
    <col min="24" max="24" width="9.85546875" customWidth="1"/>
    <col min="25" max="25" width="19.5703125" bestFit="1" customWidth="1"/>
    <col min="26" max="26" width="27" bestFit="1" customWidth="1"/>
    <col min="27" max="27" width="19.42578125" bestFit="1" customWidth="1"/>
    <col min="28" max="28" width="8.42578125" bestFit="1" customWidth="1"/>
    <col min="29" max="29" width="13.5703125" bestFit="1" customWidth="1"/>
    <col min="30" max="30" width="8.5703125" bestFit="1" customWidth="1"/>
    <col min="31" max="31" width="6.5703125" bestFit="1" customWidth="1"/>
    <col min="32" max="32" width="27.42578125" bestFit="1" customWidth="1"/>
    <col min="33" max="33" width="33.5703125" bestFit="1" customWidth="1"/>
    <col min="34" max="34" width="32.5703125" bestFit="1" customWidth="1"/>
    <col min="35" max="35" width="24.42578125" bestFit="1" customWidth="1"/>
    <col min="36" max="36" width="30.42578125" bestFit="1" customWidth="1"/>
    <col min="37" max="37" width="24.42578125" bestFit="1" customWidth="1"/>
    <col min="38" max="38" width="24.5703125" bestFit="1" customWidth="1"/>
    <col min="39" max="39" width="15.42578125" bestFit="1" customWidth="1"/>
    <col min="40" max="40" width="11.42578125" bestFit="1" customWidth="1"/>
    <col min="41" max="41" width="21.42578125" bestFit="1" customWidth="1"/>
    <col min="42" max="42" width="19.5703125" bestFit="1" customWidth="1"/>
    <col min="43" max="43" width="8.42578125" bestFit="1" customWidth="1"/>
    <col min="44" max="44" width="25" bestFit="1" customWidth="1"/>
    <col min="45" max="45" width="15.42578125" bestFit="1" customWidth="1"/>
    <col min="46" max="46" width="24" bestFit="1" customWidth="1"/>
    <col min="47" max="47" width="14.42578125" bestFit="1" customWidth="1"/>
    <col min="48" max="48" width="14.5703125" bestFit="1" customWidth="1"/>
    <col min="49" max="49" width="13.5703125" bestFit="1" customWidth="1"/>
    <col min="50" max="50" width="24.42578125" bestFit="1" customWidth="1"/>
    <col min="51" max="51" width="23.42578125" bestFit="1" customWidth="1"/>
    <col min="52" max="52" width="21.5703125" bestFit="1" customWidth="1"/>
    <col min="53" max="53" width="20.42578125" bestFit="1" customWidth="1"/>
    <col min="54" max="54" width="10.5703125" bestFit="1" customWidth="1"/>
    <col min="55" max="55" width="18" bestFit="1" customWidth="1"/>
    <col min="56" max="56" width="12.5703125" bestFit="1" customWidth="1"/>
    <col min="57" max="57" width="19" customWidth="1"/>
    <col min="58" max="58" width="14.42578125" bestFit="1" customWidth="1"/>
    <col min="59" max="59" width="8.42578125" bestFit="1" customWidth="1"/>
    <col min="60" max="60" width="15.5703125" bestFit="1" customWidth="1"/>
    <col min="61" max="61" width="13.42578125" bestFit="1" customWidth="1"/>
    <col min="62" max="62" width="11.42578125" bestFit="1" customWidth="1"/>
    <col min="63" max="63" width="8.42578125" customWidth="1"/>
    <col min="64" max="64" width="20" bestFit="1" customWidth="1"/>
    <col min="65" max="65" width="9.5703125" bestFit="1" customWidth="1"/>
    <col min="66" max="66" width="15.42578125" bestFit="1" customWidth="1"/>
    <col min="67" max="67" width="15" bestFit="1" customWidth="1"/>
    <col min="68" max="68" width="14.5703125" bestFit="1" customWidth="1"/>
  </cols>
  <sheetData>
    <row r="1" spans="1:68" s="13" customFormat="1" ht="15" customHeight="1" x14ac:dyDescent="0.2">
      <c r="A1" s="6092" t="s">
        <v>111</v>
      </c>
      <c r="B1" s="123" t="s">
        <v>112</v>
      </c>
      <c r="C1" s="123" t="s">
        <v>113</v>
      </c>
      <c r="D1" s="123" t="s">
        <v>114</v>
      </c>
      <c r="E1" s="1494" t="s">
        <v>116</v>
      </c>
      <c r="F1" s="1494" t="s">
        <v>115</v>
      </c>
      <c r="G1" s="123" t="s">
        <v>415</v>
      </c>
      <c r="H1" s="123" t="s">
        <v>96</v>
      </c>
      <c r="I1" s="123" t="s">
        <v>40</v>
      </c>
      <c r="J1" s="123" t="s">
        <v>118</v>
      </c>
      <c r="K1" s="123" t="s">
        <v>117</v>
      </c>
      <c r="L1" s="123" t="s">
        <v>35</v>
      </c>
      <c r="M1" s="123" t="s">
        <v>27</v>
      </c>
      <c r="N1" s="6060" t="s">
        <v>1100</v>
      </c>
      <c r="O1" s="123" t="s">
        <v>26</v>
      </c>
      <c r="P1" s="123" t="s">
        <v>259</v>
      </c>
      <c r="Q1" s="123" t="s">
        <v>25</v>
      </c>
      <c r="R1" s="123" t="s">
        <v>32</v>
      </c>
      <c r="S1" s="123" t="s">
        <v>121</v>
      </c>
      <c r="T1" s="123" t="s">
        <v>46</v>
      </c>
      <c r="U1" s="123" t="s">
        <v>413</v>
      </c>
      <c r="V1" s="123" t="s">
        <v>109</v>
      </c>
      <c r="W1" s="123" t="s">
        <v>29</v>
      </c>
      <c r="X1" s="123" t="s">
        <v>34</v>
      </c>
      <c r="Y1" s="123" t="s">
        <v>119</v>
      </c>
      <c r="Z1" s="123" t="s">
        <v>120</v>
      </c>
      <c r="AA1" s="123" t="s">
        <v>416</v>
      </c>
      <c r="AB1" s="123" t="s">
        <v>58</v>
      </c>
      <c r="AC1" s="123" t="s">
        <v>123</v>
      </c>
      <c r="AD1" s="123" t="s">
        <v>93</v>
      </c>
      <c r="AE1" t="s">
        <v>124</v>
      </c>
      <c r="AF1" s="124" t="s">
        <v>42</v>
      </c>
      <c r="AG1" s="125" t="s">
        <v>98</v>
      </c>
      <c r="AH1" s="125" t="s">
        <v>129</v>
      </c>
      <c r="AI1" s="124" t="s">
        <v>126</v>
      </c>
      <c r="AJ1" s="124" t="s">
        <v>132</v>
      </c>
      <c r="AK1" s="124" t="s">
        <v>134</v>
      </c>
      <c r="AL1" s="124" t="s">
        <v>136</v>
      </c>
      <c r="AM1" s="124" t="s">
        <v>127</v>
      </c>
      <c r="AN1" s="124" t="s">
        <v>130</v>
      </c>
      <c r="AO1" s="124" t="s">
        <v>122</v>
      </c>
      <c r="AP1" s="124" t="s">
        <v>131</v>
      </c>
      <c r="AQ1" s="124" t="s">
        <v>135</v>
      </c>
      <c r="AR1" s="124" t="s">
        <v>125</v>
      </c>
      <c r="AS1" s="124" t="s">
        <v>128</v>
      </c>
      <c r="AT1" s="124" t="s">
        <v>647</v>
      </c>
      <c r="AU1" s="124" t="s">
        <v>648</v>
      </c>
      <c r="AV1" s="124" t="s">
        <v>133</v>
      </c>
      <c r="AW1" s="124" t="s">
        <v>646</v>
      </c>
      <c r="AX1" s="124" t="s">
        <v>266</v>
      </c>
      <c r="AY1" s="124" t="s">
        <v>650</v>
      </c>
      <c r="AZ1" s="124" t="s">
        <v>698</v>
      </c>
      <c r="BA1" s="124" t="s">
        <v>699</v>
      </c>
      <c r="BB1" s="124" t="s">
        <v>137</v>
      </c>
      <c r="BC1" s="126" t="s">
        <v>138</v>
      </c>
      <c r="BD1" s="127" t="s">
        <v>1157</v>
      </c>
      <c r="BE1" s="126" t="s">
        <v>306</v>
      </c>
      <c r="BF1" s="127" t="s">
        <v>307</v>
      </c>
      <c r="BG1" s="127" t="s">
        <v>139</v>
      </c>
      <c r="BH1" s="127" t="s">
        <v>140</v>
      </c>
      <c r="BI1" s="127" t="s">
        <v>141</v>
      </c>
      <c r="BJ1" s="127" t="s">
        <v>142</v>
      </c>
      <c r="BK1" s="820" t="s">
        <v>661</v>
      </c>
      <c r="BL1" s="127" t="s">
        <v>143</v>
      </c>
      <c r="BM1" s="127" t="s">
        <v>144</v>
      </c>
      <c r="BN1" s="127" t="s">
        <v>145</v>
      </c>
      <c r="BO1" s="127" t="s">
        <v>146</v>
      </c>
      <c r="BP1" s="127" t="s">
        <v>147</v>
      </c>
    </row>
  </sheetData>
  <sheetProtection autoFilter="0"/>
  <autoFilter ref="A1:BP1" xr:uid="{00000000-0009-0000-0000-00000B000000}"/>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Overview</vt:lpstr>
      <vt:lpstr>Tune-Up</vt:lpstr>
      <vt:lpstr>2G-3G</vt:lpstr>
      <vt:lpstr>SAR EN</vt:lpstr>
      <vt:lpstr>Test Campaign</vt:lpstr>
    </vt:vector>
  </TitlesOfParts>
  <Company>AT4WIRELESS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XXXXX</dc:subject>
  <dc:creator>FJSC</dc:creator>
  <cp:lastModifiedBy>Ismael Gamarro Castaño</cp:lastModifiedBy>
  <cp:lastPrinted>2021-06-25T13:18:24Z</cp:lastPrinted>
  <dcterms:created xsi:type="dcterms:W3CDTF">2003-09-05T12:52:19Z</dcterms:created>
  <dcterms:modified xsi:type="dcterms:W3CDTF">2026-10-20T07:18:01Z</dcterms:modified>
</cp:coreProperties>
</file>